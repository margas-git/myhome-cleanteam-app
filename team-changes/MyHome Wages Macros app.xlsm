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/Web/MyHome CleanTeam/team-changes/"/>
    </mc:Choice>
  </mc:AlternateContent>
  <xr:revisionPtr revIDLastSave="0" documentId="13_ncr:1_{4FEAF129-7B34-4144-B61A-6083E32D9FE3}" xr6:coauthVersionLast="47" xr6:coauthVersionMax="47" xr10:uidLastSave="{00000000-0000-0000-0000-000000000000}"/>
  <bookViews>
    <workbookView xWindow="-67080" yWindow="-20140" windowWidth="42740" windowHeight="24280" firstSheet="14" activeTab="14" xr2:uid="{BEDBA783-C056-5B47-8B7F-B7986B3BD912}"/>
  </bookViews>
  <sheets>
    <sheet name="Totals" sheetId="13" r:id="rId1"/>
    <sheet name="11 July 25" sheetId="39" r:id="rId2"/>
    <sheet name="4 July 25 " sheetId="38" r:id="rId3"/>
    <sheet name="27 June 25" sheetId="11" r:id="rId4"/>
    <sheet name="20 June 25" sheetId="37" r:id="rId5"/>
    <sheet name="13 June 25" sheetId="36" r:id="rId6"/>
    <sheet name="6 June 25" sheetId="35" r:id="rId7"/>
    <sheet name="23 May 25" sheetId="33" r:id="rId8"/>
    <sheet name="30 May 25" sheetId="34" r:id="rId9"/>
    <sheet name="17 May 25" sheetId="32" r:id="rId10"/>
    <sheet name="9 May 25" sheetId="29" r:id="rId11"/>
    <sheet name="2 May 25" sheetId="40" r:id="rId12"/>
    <sheet name="25 April 25" sheetId="31" r:id="rId13"/>
    <sheet name="18 April 25" sheetId="26" r:id="rId14"/>
    <sheet name="11 April 25" sheetId="25" r:id="rId15"/>
    <sheet name="4 April 25" sheetId="24" r:id="rId16"/>
    <sheet name="28 March 25" sheetId="23" r:id="rId17"/>
    <sheet name="21 March 25" sheetId="22" r:id="rId18"/>
    <sheet name="14 March 25" sheetId="21" r:id="rId19"/>
    <sheet name="07 March 25" sheetId="20" r:id="rId20"/>
    <sheet name="28 Feb 25" sheetId="19" r:id="rId21"/>
    <sheet name="21 Feb 25" sheetId="17" r:id="rId22"/>
    <sheet name="14 Feb 25" sheetId="16" r:id="rId23"/>
    <sheet name="07 Feb 25" sheetId="15" r:id="rId24"/>
    <sheet name="31 Jan 25" sheetId="14" r:id="rId25"/>
    <sheet name="24 Jan 25" sheetId="12" r:id="rId26"/>
    <sheet name="17 Jan 25" sheetId="10" r:id="rId27"/>
    <sheet name="10 Jan 25" sheetId="9" r:id="rId28"/>
    <sheet name="03 Jan 25" sheetId="8" r:id="rId29"/>
    <sheet name="27 Dec 24" sheetId="6" r:id="rId30"/>
    <sheet name="20 Dec 24" sheetId="5" r:id="rId31"/>
    <sheet name="13 Dec 24" sheetId="4" r:id="rId32"/>
    <sheet name="06 Dec 24" sheetId="1" r:id="rId33"/>
    <sheet name="Parameters" sheetId="2" r:id="rId34"/>
    <sheet name="Active Jobs" sheetId="3" r:id="rId35"/>
  </sheets>
  <functionGroups builtInGroupCount="19"/>
  <definedNames>
    <definedName name="CustomerName">'Active Jobs'!$B$2:$B$154</definedName>
    <definedName name="HourlyRate">Parameters!$D$1</definedName>
    <definedName name="Super">Parameters!$D$2</definedName>
    <definedName name="Teams">Parameters!$A$2:$A$51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5" l="1"/>
  <c r="I2" i="25"/>
  <c r="J2" i="25"/>
  <c r="K2" i="25" s="1"/>
  <c r="F3" i="25"/>
  <c r="G3" i="25" s="1"/>
  <c r="J3" i="25" s="1"/>
  <c r="F4" i="25"/>
  <c r="G4" i="25" s="1"/>
  <c r="J4" i="25" s="1"/>
  <c r="H4" i="25"/>
  <c r="G5" i="25"/>
  <c r="H5" i="25"/>
  <c r="K5" i="25" s="1"/>
  <c r="L5" i="25" s="1"/>
  <c r="I5" i="25"/>
  <c r="J5" i="25"/>
  <c r="F7" i="25"/>
  <c r="G7" i="25"/>
  <c r="J7" i="25" s="1"/>
  <c r="H7" i="25"/>
  <c r="K7" i="25" s="1"/>
  <c r="L7" i="25" s="1"/>
  <c r="I7" i="25"/>
  <c r="G8" i="25"/>
  <c r="J8" i="25" s="1"/>
  <c r="H8" i="25"/>
  <c r="I8" i="25"/>
  <c r="F9" i="25"/>
  <c r="G9" i="25" s="1"/>
  <c r="J9" i="25" s="1"/>
  <c r="K9" i="25" s="1"/>
  <c r="L9" i="25" s="1"/>
  <c r="H9" i="25"/>
  <c r="F10" i="25"/>
  <c r="G10" i="25"/>
  <c r="J10" i="25" s="1"/>
  <c r="K10" i="25" s="1"/>
  <c r="L10" i="25" s="1"/>
  <c r="I10" i="25"/>
  <c r="G11" i="25"/>
  <c r="H11" i="25"/>
  <c r="K11" i="25" s="1"/>
  <c r="L11" i="25" s="1"/>
  <c r="I11" i="25"/>
  <c r="J11" i="25"/>
  <c r="F12" i="25"/>
  <c r="G12" i="25" s="1"/>
  <c r="J12" i="25" s="1"/>
  <c r="H12" i="25"/>
  <c r="F13" i="25"/>
  <c r="G13" i="25" s="1"/>
  <c r="J13" i="25" s="1"/>
  <c r="K13" i="25" s="1"/>
  <c r="L13" i="25" s="1"/>
  <c r="I13" i="25"/>
  <c r="F14" i="25"/>
  <c r="G14" i="25" s="1"/>
  <c r="J14" i="25" s="1"/>
  <c r="K14" i="25" s="1"/>
  <c r="L14" i="25" s="1"/>
  <c r="G15" i="25"/>
  <c r="J15" i="25" s="1"/>
  <c r="H15" i="25"/>
  <c r="K15" i="25" s="1"/>
  <c r="L15" i="25" s="1"/>
  <c r="I15" i="25"/>
  <c r="F16" i="25"/>
  <c r="I16" i="25" s="1"/>
  <c r="G16" i="25"/>
  <c r="J16" i="25" s="1"/>
  <c r="H16" i="25"/>
  <c r="K16" i="25" s="1"/>
  <c r="L16" i="25" s="1"/>
  <c r="F17" i="25"/>
  <c r="G17" i="25" s="1"/>
  <c r="J17" i="25" s="1"/>
  <c r="K17" i="25" s="1"/>
  <c r="L17" i="25" s="1"/>
  <c r="H17" i="25"/>
  <c r="F18" i="25"/>
  <c r="G18" i="25" s="1"/>
  <c r="J18" i="25" s="1"/>
  <c r="H18" i="25"/>
  <c r="K18" i="25" s="1"/>
  <c r="L18" i="25" s="1"/>
  <c r="G19" i="25"/>
  <c r="J19" i="25" s="1"/>
  <c r="H19" i="25"/>
  <c r="I19" i="25"/>
  <c r="F20" i="25"/>
  <c r="G20" i="25" s="1"/>
  <c r="J20" i="25" s="1"/>
  <c r="K20" i="25" s="1"/>
  <c r="L20" i="25" s="1"/>
  <c r="H20" i="25"/>
  <c r="G21" i="25"/>
  <c r="J21" i="25" s="1"/>
  <c r="K21" i="25" s="1"/>
  <c r="L21" i="25" s="1"/>
  <c r="I21" i="25"/>
  <c r="F22" i="25"/>
  <c r="G22" i="25"/>
  <c r="I22" i="25"/>
  <c r="J22" i="25"/>
  <c r="K22" i="25" s="1"/>
  <c r="L22" i="25" s="1"/>
  <c r="G23" i="25"/>
  <c r="J23" i="25" s="1"/>
  <c r="H23" i="25"/>
  <c r="K23" i="25" s="1"/>
  <c r="L23" i="25" s="1"/>
  <c r="I23" i="25"/>
  <c r="F24" i="25"/>
  <c r="I24" i="25" s="1"/>
  <c r="F25" i="25"/>
  <c r="G25" i="25" s="1"/>
  <c r="J25" i="25" s="1"/>
  <c r="K25" i="25" s="1"/>
  <c r="L25" i="25" s="1"/>
  <c r="H25" i="25"/>
  <c r="G26" i="25"/>
  <c r="J26" i="25" s="1"/>
  <c r="H26" i="25"/>
  <c r="I26" i="25"/>
  <c r="F27" i="25"/>
  <c r="I27" i="25" s="1"/>
  <c r="G27" i="25"/>
  <c r="J27" i="25" s="1"/>
  <c r="H27" i="25"/>
  <c r="K27" i="25" s="1"/>
  <c r="L27" i="25" s="1"/>
  <c r="F28" i="25"/>
  <c r="G28" i="25" s="1"/>
  <c r="J28" i="25" s="1"/>
  <c r="K28" i="25" s="1"/>
  <c r="L28" i="25" s="1"/>
  <c r="H28" i="25"/>
  <c r="F29" i="25"/>
  <c r="G29" i="25" s="1"/>
  <c r="J29" i="25" s="1"/>
  <c r="H29" i="25"/>
  <c r="G30" i="25"/>
  <c r="J30" i="25" s="1"/>
  <c r="K30" i="25" s="1"/>
  <c r="L30" i="25" s="1"/>
  <c r="I30" i="25"/>
  <c r="F31" i="25"/>
  <c r="G31" i="25" s="1"/>
  <c r="J31" i="25" s="1"/>
  <c r="K31" i="25" s="1"/>
  <c r="L31" i="25" s="1"/>
  <c r="H31" i="25"/>
  <c r="F32" i="25"/>
  <c r="G32" i="25"/>
  <c r="J32" i="25" s="1"/>
  <c r="K32" i="25" s="1"/>
  <c r="L32" i="25" s="1"/>
  <c r="I32" i="25"/>
  <c r="F33" i="25"/>
  <c r="G33" i="25"/>
  <c r="J33" i="25" s="1"/>
  <c r="H33" i="25"/>
  <c r="I33" i="25"/>
  <c r="G34" i="25"/>
  <c r="J34" i="25" s="1"/>
  <c r="H34" i="25"/>
  <c r="K34" i="25" s="1"/>
  <c r="L34" i="25" s="1"/>
  <c r="I34" i="25"/>
  <c r="F35" i="25"/>
  <c r="G35" i="25" s="1"/>
  <c r="J35" i="25" s="1"/>
  <c r="H35" i="25"/>
  <c r="K35" i="25" s="1"/>
  <c r="L35" i="25" s="1"/>
  <c r="F36" i="25"/>
  <c r="G36" i="25"/>
  <c r="J36" i="25" s="1"/>
  <c r="H36" i="25"/>
  <c r="K36" i="25" s="1"/>
  <c r="L36" i="25" s="1"/>
  <c r="I36" i="25"/>
  <c r="F37" i="25"/>
  <c r="G37" i="25" s="1"/>
  <c r="J37" i="25" s="1"/>
  <c r="K37" i="25" s="1"/>
  <c r="L37" i="25" s="1"/>
  <c r="G38" i="25"/>
  <c r="J38" i="25" s="1"/>
  <c r="K38" i="25" s="1"/>
  <c r="L38" i="25" s="1"/>
  <c r="H38" i="25"/>
  <c r="I38" i="25"/>
  <c r="F39" i="25"/>
  <c r="G39" i="25" s="1"/>
  <c r="J39" i="25" s="1"/>
  <c r="H39" i="25"/>
  <c r="K39" i="25" s="1"/>
  <c r="L39" i="25" s="1"/>
  <c r="I39" i="25"/>
  <c r="F40" i="25"/>
  <c r="G40" i="25" s="1"/>
  <c r="J40" i="25" s="1"/>
  <c r="H40" i="25"/>
  <c r="K40" i="25" s="1"/>
  <c r="L40" i="25" s="1"/>
  <c r="G41" i="25"/>
  <c r="J41" i="25" s="1"/>
  <c r="K41" i="25" s="1"/>
  <c r="L41" i="25" s="1"/>
  <c r="I41" i="25"/>
  <c r="F42" i="25"/>
  <c r="G42" i="25" s="1"/>
  <c r="J42" i="25" s="1"/>
  <c r="K42" i="25" s="1"/>
  <c r="L42" i="25" s="1"/>
  <c r="F43" i="25"/>
  <c r="G43" i="25"/>
  <c r="J43" i="25" s="1"/>
  <c r="H43" i="25"/>
  <c r="K43" i="25" s="1"/>
  <c r="L43" i="25" s="1"/>
  <c r="I43" i="25"/>
  <c r="F44" i="25"/>
  <c r="I44" i="25" s="1"/>
  <c r="G44" i="25"/>
  <c r="J44" i="25" s="1"/>
  <c r="H44" i="25"/>
  <c r="K44" i="25" s="1"/>
  <c r="L44" i="25" s="1"/>
  <c r="F45" i="25"/>
  <c r="G45" i="25" s="1"/>
  <c r="J45" i="25" s="1"/>
  <c r="K45" i="25" s="1"/>
  <c r="L45" i="25" s="1"/>
  <c r="H45" i="25"/>
  <c r="G46" i="25"/>
  <c r="J46" i="25" s="1"/>
  <c r="K46" i="25" s="1"/>
  <c r="L46" i="25" s="1"/>
  <c r="I46" i="25"/>
  <c r="F47" i="25"/>
  <c r="G47" i="25"/>
  <c r="J47" i="25" s="1"/>
  <c r="H47" i="25"/>
  <c r="K47" i="25" s="1"/>
  <c r="L47" i="25" s="1"/>
  <c r="I47" i="25"/>
  <c r="F7" i="10"/>
  <c r="I7" i="10" s="1"/>
  <c r="J6" i="10"/>
  <c r="I6" i="10"/>
  <c r="H6" i="10"/>
  <c r="K6" i="10" s="1"/>
  <c r="L6" i="10" s="1"/>
  <c r="G6" i="10"/>
  <c r="H5" i="10"/>
  <c r="F5" i="10"/>
  <c r="I5" i="10" s="1"/>
  <c r="F27" i="9"/>
  <c r="I27" i="9" s="1"/>
  <c r="F26" i="9"/>
  <c r="G26" i="9" s="1"/>
  <c r="J26" i="9" s="1"/>
  <c r="K26" i="9" s="1"/>
  <c r="L26" i="9" s="1"/>
  <c r="J25" i="9"/>
  <c r="I25" i="9"/>
  <c r="H25" i="9"/>
  <c r="K25" i="9" s="1"/>
  <c r="L25" i="9" s="1"/>
  <c r="G25" i="9"/>
  <c r="H24" i="9"/>
  <c r="F24" i="9"/>
  <c r="G24" i="9" s="1"/>
  <c r="J24" i="9" s="1"/>
  <c r="H43" i="23"/>
  <c r="F43" i="23"/>
  <c r="I43" i="23" s="1"/>
  <c r="J42" i="23"/>
  <c r="H42" i="23"/>
  <c r="G42" i="23"/>
  <c r="F42" i="23"/>
  <c r="I42" i="23" s="1"/>
  <c r="I41" i="23"/>
  <c r="H41" i="23"/>
  <c r="G41" i="23"/>
  <c r="J41" i="23" s="1"/>
  <c r="H40" i="23"/>
  <c r="F40" i="23"/>
  <c r="I40" i="23" s="1"/>
  <c r="H7" i="20"/>
  <c r="F7" i="20"/>
  <c r="I7" i="20" s="1"/>
  <c r="I6" i="20"/>
  <c r="H6" i="20"/>
  <c r="G6" i="20"/>
  <c r="J6" i="20" s="1"/>
  <c r="F5" i="20"/>
  <c r="I5" i="20" s="1"/>
  <c r="H47" i="40"/>
  <c r="K47" i="40" s="1"/>
  <c r="L47" i="40" s="1"/>
  <c r="F47" i="40"/>
  <c r="I47" i="40" s="1"/>
  <c r="H46" i="40"/>
  <c r="K46" i="40" s="1"/>
  <c r="L46" i="40" s="1"/>
  <c r="G46" i="40"/>
  <c r="J46" i="40" s="1"/>
  <c r="F46" i="40"/>
  <c r="I46" i="40" s="1"/>
  <c r="H45" i="40"/>
  <c r="K45" i="40" s="1"/>
  <c r="L45" i="40" s="1"/>
  <c r="G45" i="40"/>
  <c r="J45" i="40" s="1"/>
  <c r="F45" i="40"/>
  <c r="I45" i="40" s="1"/>
  <c r="H44" i="40"/>
  <c r="K44" i="40" s="1"/>
  <c r="L44" i="40" s="1"/>
  <c r="G44" i="40"/>
  <c r="J44" i="40" s="1"/>
  <c r="F44" i="40"/>
  <c r="I44" i="40" s="1"/>
  <c r="H43" i="40"/>
  <c r="K43" i="40" s="1"/>
  <c r="L43" i="40" s="1"/>
  <c r="G43" i="40"/>
  <c r="J43" i="40" s="1"/>
  <c r="F43" i="40"/>
  <c r="I43" i="40" s="1"/>
  <c r="H42" i="40"/>
  <c r="K42" i="40" s="1"/>
  <c r="L42" i="40" s="1"/>
  <c r="F42" i="40"/>
  <c r="I42" i="40" s="1"/>
  <c r="H41" i="40"/>
  <c r="K41" i="40" s="1"/>
  <c r="L41" i="40" s="1"/>
  <c r="G41" i="40"/>
  <c r="J41" i="40" s="1"/>
  <c r="F41" i="40"/>
  <c r="I41" i="40" s="1"/>
  <c r="H40" i="40"/>
  <c r="K40" i="40" s="1"/>
  <c r="L40" i="40" s="1"/>
  <c r="G40" i="40"/>
  <c r="J40" i="40" s="1"/>
  <c r="F40" i="40"/>
  <c r="I40" i="40" s="1"/>
  <c r="H39" i="40"/>
  <c r="K39" i="40" s="1"/>
  <c r="L39" i="40" s="1"/>
  <c r="F39" i="40"/>
  <c r="I39" i="40" s="1"/>
  <c r="H38" i="40"/>
  <c r="K38" i="40" s="1"/>
  <c r="L38" i="40" s="1"/>
  <c r="F38" i="40"/>
  <c r="I38" i="40" s="1"/>
  <c r="H37" i="40"/>
  <c r="K37" i="40" s="1"/>
  <c r="L37" i="40" s="1"/>
  <c r="G37" i="40"/>
  <c r="J37" i="40" s="1"/>
  <c r="F37" i="40"/>
  <c r="I37" i="40" s="1"/>
  <c r="H36" i="40"/>
  <c r="K36" i="40" s="1"/>
  <c r="L36" i="40" s="1"/>
  <c r="F36" i="40"/>
  <c r="H35" i="40"/>
  <c r="K35" i="40" s="1"/>
  <c r="L35" i="40" s="1"/>
  <c r="F35" i="40"/>
  <c r="I35" i="40" s="1"/>
  <c r="H34" i="40"/>
  <c r="K34" i="40" s="1"/>
  <c r="L34" i="40" s="1"/>
  <c r="G34" i="40"/>
  <c r="J34" i="40" s="1"/>
  <c r="F34" i="40"/>
  <c r="I34" i="40" s="1"/>
  <c r="H33" i="40"/>
  <c r="K33" i="40" s="1"/>
  <c r="L33" i="40" s="1"/>
  <c r="G33" i="40"/>
  <c r="J33" i="40" s="1"/>
  <c r="F33" i="40"/>
  <c r="I33" i="40" s="1"/>
  <c r="H32" i="40"/>
  <c r="K32" i="40" s="1"/>
  <c r="L32" i="40" s="1"/>
  <c r="G32" i="40"/>
  <c r="J32" i="40" s="1"/>
  <c r="F32" i="40"/>
  <c r="I32" i="40" s="1"/>
  <c r="H31" i="40"/>
  <c r="K31" i="40" s="1"/>
  <c r="L31" i="40" s="1"/>
  <c r="F31" i="40"/>
  <c r="H30" i="40"/>
  <c r="K30" i="40" s="1"/>
  <c r="L30" i="40" s="1"/>
  <c r="G30" i="40"/>
  <c r="J30" i="40" s="1"/>
  <c r="F30" i="40"/>
  <c r="I30" i="40" s="1"/>
  <c r="H29" i="40"/>
  <c r="K29" i="40" s="1"/>
  <c r="L29" i="40" s="1"/>
  <c r="G29" i="40"/>
  <c r="J29" i="40" s="1"/>
  <c r="F29" i="40"/>
  <c r="I29" i="40" s="1"/>
  <c r="H28" i="40"/>
  <c r="K28" i="40" s="1"/>
  <c r="L28" i="40" s="1"/>
  <c r="F28" i="40"/>
  <c r="I28" i="40" s="1"/>
  <c r="H27" i="40"/>
  <c r="K27" i="40" s="1"/>
  <c r="L27" i="40" s="1"/>
  <c r="G27" i="40"/>
  <c r="J27" i="40" s="1"/>
  <c r="F27" i="40"/>
  <c r="I27" i="40" s="1"/>
  <c r="H26" i="40"/>
  <c r="K26" i="40" s="1"/>
  <c r="L26" i="40" s="1"/>
  <c r="G26" i="40"/>
  <c r="J26" i="40" s="1"/>
  <c r="F26" i="40"/>
  <c r="I26" i="40" s="1"/>
  <c r="H25" i="40"/>
  <c r="K25" i="40" s="1"/>
  <c r="L25" i="40" s="1"/>
  <c r="G25" i="40"/>
  <c r="J25" i="40" s="1"/>
  <c r="F25" i="40"/>
  <c r="I25" i="40" s="1"/>
  <c r="H24" i="40"/>
  <c r="K24" i="40" s="1"/>
  <c r="L24" i="40" s="1"/>
  <c r="F24" i="40"/>
  <c r="H23" i="40"/>
  <c r="K23" i="40" s="1"/>
  <c r="L23" i="40" s="1"/>
  <c r="G23" i="40"/>
  <c r="J23" i="40" s="1"/>
  <c r="F23" i="40"/>
  <c r="I23" i="40" s="1"/>
  <c r="H22" i="40"/>
  <c r="K22" i="40" s="1"/>
  <c r="L22" i="40" s="1"/>
  <c r="G22" i="40"/>
  <c r="J22" i="40" s="1"/>
  <c r="F22" i="40"/>
  <c r="I22" i="40" s="1"/>
  <c r="H21" i="40"/>
  <c r="K21" i="40" s="1"/>
  <c r="L21" i="40" s="1"/>
  <c r="F21" i="40"/>
  <c r="I21" i="40" s="1"/>
  <c r="H20" i="40"/>
  <c r="K20" i="40" s="1"/>
  <c r="L20" i="40" s="1"/>
  <c r="G20" i="40"/>
  <c r="J20" i="40" s="1"/>
  <c r="F20" i="40"/>
  <c r="I20" i="40" s="1"/>
  <c r="H19" i="40"/>
  <c r="K19" i="40" s="1"/>
  <c r="L19" i="40" s="1"/>
  <c r="G19" i="40"/>
  <c r="J19" i="40" s="1"/>
  <c r="F19" i="40"/>
  <c r="I19" i="40" s="1"/>
  <c r="H18" i="40"/>
  <c r="K18" i="40" s="1"/>
  <c r="L18" i="40" s="1"/>
  <c r="F18" i="40"/>
  <c r="G18" i="40" s="1"/>
  <c r="J18" i="40" s="1"/>
  <c r="H17" i="40"/>
  <c r="K17" i="40" s="1"/>
  <c r="L17" i="40" s="1"/>
  <c r="G17" i="40"/>
  <c r="J17" i="40" s="1"/>
  <c r="F17" i="40"/>
  <c r="I17" i="40" s="1"/>
  <c r="H16" i="40"/>
  <c r="K16" i="40" s="1"/>
  <c r="L16" i="40" s="1"/>
  <c r="G16" i="40"/>
  <c r="J16" i="40" s="1"/>
  <c r="F16" i="40"/>
  <c r="H15" i="40"/>
  <c r="K15" i="40" s="1"/>
  <c r="L15" i="40" s="1"/>
  <c r="G15" i="40"/>
  <c r="J15" i="40" s="1"/>
  <c r="F15" i="40"/>
  <c r="H14" i="40"/>
  <c r="K14" i="40" s="1"/>
  <c r="L14" i="40" s="1"/>
  <c r="G14" i="40"/>
  <c r="J14" i="40" s="1"/>
  <c r="F14" i="40"/>
  <c r="H13" i="40"/>
  <c r="K13" i="40" s="1"/>
  <c r="L13" i="40" s="1"/>
  <c r="F13" i="40"/>
  <c r="G13" i="40" s="1"/>
  <c r="J13" i="40" s="1"/>
  <c r="H12" i="40"/>
  <c r="K12" i="40" s="1"/>
  <c r="L12" i="40" s="1"/>
  <c r="G12" i="40"/>
  <c r="J12" i="40" s="1"/>
  <c r="F12" i="40"/>
  <c r="H11" i="40"/>
  <c r="K11" i="40" s="1"/>
  <c r="L11" i="40" s="1"/>
  <c r="F11" i="40"/>
  <c r="G11" i="40" s="1"/>
  <c r="J11" i="40" s="1"/>
  <c r="H10" i="40"/>
  <c r="K10" i="40" s="1"/>
  <c r="L10" i="40" s="1"/>
  <c r="G10" i="40"/>
  <c r="J10" i="40" s="1"/>
  <c r="F10" i="40"/>
  <c r="H9" i="40"/>
  <c r="K9" i="40" s="1"/>
  <c r="L9" i="40" s="1"/>
  <c r="F9" i="40"/>
  <c r="G9" i="40" s="1"/>
  <c r="J9" i="40" s="1"/>
  <c r="H8" i="40"/>
  <c r="K8" i="40" s="1"/>
  <c r="L8" i="40" s="1"/>
  <c r="F8" i="40"/>
  <c r="G8" i="40" s="1"/>
  <c r="J8" i="40" s="1"/>
  <c r="H7" i="40"/>
  <c r="K7" i="40" s="1"/>
  <c r="L7" i="40" s="1"/>
  <c r="F7" i="40"/>
  <c r="G7" i="40" s="1"/>
  <c r="J7" i="40" s="1"/>
  <c r="H6" i="40"/>
  <c r="K6" i="40" s="1"/>
  <c r="L6" i="40" s="1"/>
  <c r="G6" i="40"/>
  <c r="J6" i="40" s="1"/>
  <c r="F6" i="40"/>
  <c r="H5" i="40"/>
  <c r="K5" i="40" s="1"/>
  <c r="L5" i="40" s="1"/>
  <c r="F5" i="40"/>
  <c r="G5" i="40" s="1"/>
  <c r="J5" i="40" s="1"/>
  <c r="H4" i="40"/>
  <c r="K4" i="40" s="1"/>
  <c r="L4" i="40" s="1"/>
  <c r="F4" i="40"/>
  <c r="G4" i="40" s="1"/>
  <c r="J4" i="40" s="1"/>
  <c r="H3" i="40"/>
  <c r="K3" i="40" s="1"/>
  <c r="L3" i="40" s="1"/>
  <c r="F3" i="40"/>
  <c r="G3" i="40" s="1"/>
  <c r="J3" i="40" s="1"/>
  <c r="N2" i="40" a="1"/>
  <c r="N2" i="40" s="1"/>
  <c r="H2" i="40"/>
  <c r="K2" i="40" s="1"/>
  <c r="F2" i="40"/>
  <c r="G2" i="40" s="1"/>
  <c r="J2" i="40" s="1"/>
  <c r="O1" i="40" a="1"/>
  <c r="O1" i="40" s="1"/>
  <c r="H2" i="39"/>
  <c r="H3" i="39"/>
  <c r="H4" i="39"/>
  <c r="H5" i="39"/>
  <c r="H6" i="39"/>
  <c r="H7" i="39"/>
  <c r="K7" i="39" s="1"/>
  <c r="L7" i="39" s="1"/>
  <c r="H8" i="39"/>
  <c r="K8" i="39" s="1"/>
  <c r="L8" i="39" s="1"/>
  <c r="H9" i="39"/>
  <c r="H10" i="39"/>
  <c r="H11" i="39"/>
  <c r="H12" i="39"/>
  <c r="H13" i="39"/>
  <c r="H14" i="39"/>
  <c r="H15" i="39"/>
  <c r="H16" i="39"/>
  <c r="H17" i="39"/>
  <c r="K17" i="39" s="1"/>
  <c r="L17" i="39" s="1"/>
  <c r="F2" i="39"/>
  <c r="I2" i="39" s="1"/>
  <c r="F3" i="39"/>
  <c r="F4" i="39"/>
  <c r="I4" i="39" s="1"/>
  <c r="F5" i="39"/>
  <c r="I5" i="39" s="1"/>
  <c r="F6" i="39"/>
  <c r="F7" i="39"/>
  <c r="F8" i="39"/>
  <c r="I8" i="39" s="1"/>
  <c r="F9" i="39"/>
  <c r="I9" i="39" s="1"/>
  <c r="F10" i="39"/>
  <c r="F11" i="39"/>
  <c r="I11" i="39" s="1"/>
  <c r="F12" i="39"/>
  <c r="I12" i="39" s="1"/>
  <c r="F13" i="39"/>
  <c r="F14" i="39"/>
  <c r="F15" i="39"/>
  <c r="I15" i="39" s="1"/>
  <c r="F16" i="39"/>
  <c r="I16" i="39" s="1"/>
  <c r="F17" i="39"/>
  <c r="H47" i="39"/>
  <c r="K47" i="39" s="1"/>
  <c r="L47" i="39" s="1"/>
  <c r="F47" i="39"/>
  <c r="I47" i="39" s="1"/>
  <c r="H46" i="39"/>
  <c r="K46" i="39" s="1"/>
  <c r="L46" i="39" s="1"/>
  <c r="G46" i="39"/>
  <c r="J46" i="39" s="1"/>
  <c r="F46" i="39"/>
  <c r="I46" i="39" s="1"/>
  <c r="H45" i="39"/>
  <c r="K45" i="39" s="1"/>
  <c r="L45" i="39" s="1"/>
  <c r="G45" i="39"/>
  <c r="J45" i="39" s="1"/>
  <c r="F45" i="39"/>
  <c r="I45" i="39" s="1"/>
  <c r="I44" i="39"/>
  <c r="H44" i="39"/>
  <c r="K44" i="39" s="1"/>
  <c r="L44" i="39" s="1"/>
  <c r="F44" i="39"/>
  <c r="G44" i="39" s="1"/>
  <c r="J44" i="39" s="1"/>
  <c r="H43" i="39"/>
  <c r="K43" i="39" s="1"/>
  <c r="L43" i="39" s="1"/>
  <c r="G43" i="39"/>
  <c r="J43" i="39" s="1"/>
  <c r="F43" i="39"/>
  <c r="I43" i="39" s="1"/>
  <c r="J42" i="39"/>
  <c r="H42" i="39"/>
  <c r="K42" i="39" s="1"/>
  <c r="L42" i="39" s="1"/>
  <c r="G42" i="39"/>
  <c r="F42" i="39"/>
  <c r="I42" i="39" s="1"/>
  <c r="H41" i="39"/>
  <c r="K41" i="39" s="1"/>
  <c r="L41" i="39" s="1"/>
  <c r="F41" i="39"/>
  <c r="H40" i="39"/>
  <c r="K40" i="39" s="1"/>
  <c r="L40" i="39" s="1"/>
  <c r="G40" i="39"/>
  <c r="J40" i="39" s="1"/>
  <c r="F40" i="39"/>
  <c r="I40" i="39" s="1"/>
  <c r="H39" i="39"/>
  <c r="K39" i="39" s="1"/>
  <c r="L39" i="39" s="1"/>
  <c r="G39" i="39"/>
  <c r="J39" i="39" s="1"/>
  <c r="F39" i="39"/>
  <c r="I39" i="39" s="1"/>
  <c r="J38" i="39"/>
  <c r="H38" i="39"/>
  <c r="K38" i="39" s="1"/>
  <c r="L38" i="39" s="1"/>
  <c r="G38" i="39"/>
  <c r="F38" i="39"/>
  <c r="I38" i="39" s="1"/>
  <c r="H37" i="39"/>
  <c r="K37" i="39" s="1"/>
  <c r="L37" i="39" s="1"/>
  <c r="F37" i="39"/>
  <c r="I37" i="39" s="1"/>
  <c r="H36" i="39"/>
  <c r="K36" i="39" s="1"/>
  <c r="L36" i="39" s="1"/>
  <c r="F36" i="39"/>
  <c r="I36" i="39" s="1"/>
  <c r="J35" i="39"/>
  <c r="H35" i="39"/>
  <c r="K35" i="39" s="1"/>
  <c r="L35" i="39" s="1"/>
  <c r="G35" i="39"/>
  <c r="F35" i="39"/>
  <c r="I35" i="39" s="1"/>
  <c r="J34" i="39"/>
  <c r="I34" i="39"/>
  <c r="H34" i="39"/>
  <c r="K34" i="39" s="1"/>
  <c r="L34" i="39" s="1"/>
  <c r="G34" i="39"/>
  <c r="F34" i="39"/>
  <c r="H33" i="39"/>
  <c r="K33" i="39" s="1"/>
  <c r="L33" i="39" s="1"/>
  <c r="F33" i="39"/>
  <c r="I33" i="39" s="1"/>
  <c r="H32" i="39"/>
  <c r="K32" i="39" s="1"/>
  <c r="L32" i="39" s="1"/>
  <c r="F32" i="39"/>
  <c r="G32" i="39" s="1"/>
  <c r="J32" i="39" s="1"/>
  <c r="J31" i="39"/>
  <c r="I31" i="39"/>
  <c r="H31" i="39"/>
  <c r="K31" i="39" s="1"/>
  <c r="L31" i="39" s="1"/>
  <c r="G31" i="39"/>
  <c r="F31" i="39"/>
  <c r="H30" i="39"/>
  <c r="K30" i="39" s="1"/>
  <c r="L30" i="39" s="1"/>
  <c r="F30" i="39"/>
  <c r="I30" i="39" s="1"/>
  <c r="H29" i="39"/>
  <c r="K29" i="39" s="1"/>
  <c r="L29" i="39" s="1"/>
  <c r="F29" i="39"/>
  <c r="I29" i="39" s="1"/>
  <c r="J28" i="39"/>
  <c r="I28" i="39"/>
  <c r="H28" i="39"/>
  <c r="K28" i="39" s="1"/>
  <c r="L28" i="39" s="1"/>
  <c r="G28" i="39"/>
  <c r="F28" i="39"/>
  <c r="H27" i="39"/>
  <c r="K27" i="39" s="1"/>
  <c r="L27" i="39" s="1"/>
  <c r="G27" i="39"/>
  <c r="J27" i="39" s="1"/>
  <c r="F27" i="39"/>
  <c r="I27" i="39" s="1"/>
  <c r="H26" i="39"/>
  <c r="K26" i="39" s="1"/>
  <c r="L26" i="39" s="1"/>
  <c r="F26" i="39"/>
  <c r="I26" i="39" s="1"/>
  <c r="H25" i="39"/>
  <c r="K25" i="39" s="1"/>
  <c r="L25" i="39" s="1"/>
  <c r="F25" i="39"/>
  <c r="G25" i="39" s="1"/>
  <c r="J25" i="39" s="1"/>
  <c r="H24" i="39"/>
  <c r="K24" i="39" s="1"/>
  <c r="L24" i="39" s="1"/>
  <c r="G24" i="39"/>
  <c r="J24" i="39" s="1"/>
  <c r="F24" i="39"/>
  <c r="I24" i="39" s="1"/>
  <c r="H23" i="39"/>
  <c r="K23" i="39" s="1"/>
  <c r="L23" i="39" s="1"/>
  <c r="F23" i="39"/>
  <c r="I23" i="39" s="1"/>
  <c r="H22" i="39"/>
  <c r="K22" i="39" s="1"/>
  <c r="L22" i="39" s="1"/>
  <c r="F22" i="39"/>
  <c r="I22" i="39" s="1"/>
  <c r="H21" i="39"/>
  <c r="K21" i="39" s="1"/>
  <c r="L21" i="39" s="1"/>
  <c r="F21" i="39"/>
  <c r="I21" i="39" s="1"/>
  <c r="H20" i="39"/>
  <c r="K20" i="39" s="1"/>
  <c r="L20" i="39" s="1"/>
  <c r="G20" i="39"/>
  <c r="J20" i="39" s="1"/>
  <c r="F20" i="39"/>
  <c r="I20" i="39" s="1"/>
  <c r="H19" i="39"/>
  <c r="K19" i="39" s="1"/>
  <c r="L19" i="39" s="1"/>
  <c r="G19" i="39"/>
  <c r="J19" i="39" s="1"/>
  <c r="F19" i="39"/>
  <c r="I19" i="39" s="1"/>
  <c r="H18" i="39"/>
  <c r="K18" i="39" s="1"/>
  <c r="L18" i="39" s="1"/>
  <c r="F18" i="39"/>
  <c r="I18" i="39" s="1"/>
  <c r="G17" i="39"/>
  <c r="J17" i="39" s="1"/>
  <c r="I17" i="39"/>
  <c r="G16" i="39"/>
  <c r="J16" i="39" s="1"/>
  <c r="I14" i="39"/>
  <c r="G14" i="39"/>
  <c r="J14" i="39" s="1"/>
  <c r="I13" i="39"/>
  <c r="G13" i="39"/>
  <c r="J13" i="39" s="1"/>
  <c r="G12" i="39"/>
  <c r="J12" i="39" s="1"/>
  <c r="G11" i="39"/>
  <c r="J11" i="39" s="1"/>
  <c r="I10" i="39"/>
  <c r="G10" i="39"/>
  <c r="J10" i="39" s="1"/>
  <c r="G9" i="39"/>
  <c r="J9" i="39" s="1"/>
  <c r="J7" i="39"/>
  <c r="I7" i="39"/>
  <c r="G7" i="39"/>
  <c r="I6" i="39"/>
  <c r="G6" i="39"/>
  <c r="J6" i="39" s="1"/>
  <c r="G4" i="39"/>
  <c r="J4" i="39" s="1"/>
  <c r="J3" i="39"/>
  <c r="I3" i="39"/>
  <c r="G3" i="39"/>
  <c r="N2" i="39" a="1"/>
  <c r="G2" i="39"/>
  <c r="J2" i="39" s="1"/>
  <c r="O1" i="39" a="1"/>
  <c r="O1" i="39" s="1"/>
  <c r="O33" i="39" s="1"/>
  <c r="J12" i="31"/>
  <c r="K12" i="31"/>
  <c r="L12" i="31" s="1"/>
  <c r="J15" i="31"/>
  <c r="K15" i="31" s="1"/>
  <c r="L15" i="31" s="1"/>
  <c r="F18" i="31"/>
  <c r="G18" i="31" s="1"/>
  <c r="J18" i="31" s="1"/>
  <c r="H18" i="31"/>
  <c r="K18" i="31" s="1"/>
  <c r="L18" i="31" s="1"/>
  <c r="F24" i="31"/>
  <c r="G24" i="31"/>
  <c r="J24" i="31" s="1"/>
  <c r="H24" i="31"/>
  <c r="K24" i="31" s="1"/>
  <c r="L24" i="31" s="1"/>
  <c r="N2" i="21" a="1"/>
  <c r="N2" i="21" s="1"/>
  <c r="H6" i="17"/>
  <c r="G2" i="38"/>
  <c r="H47" i="38"/>
  <c r="K47" i="38" s="1"/>
  <c r="L47" i="38" s="1"/>
  <c r="F47" i="38"/>
  <c r="I47" i="38" s="1"/>
  <c r="H46" i="38"/>
  <c r="K46" i="38" s="1"/>
  <c r="L46" i="38" s="1"/>
  <c r="G46" i="38"/>
  <c r="J46" i="38" s="1"/>
  <c r="F46" i="38"/>
  <c r="I46" i="38" s="1"/>
  <c r="H45" i="38"/>
  <c r="K45" i="38" s="1"/>
  <c r="L45" i="38" s="1"/>
  <c r="G45" i="38"/>
  <c r="J45" i="38" s="1"/>
  <c r="F45" i="38"/>
  <c r="I45" i="38" s="1"/>
  <c r="H44" i="38"/>
  <c r="K44" i="38" s="1"/>
  <c r="L44" i="38" s="1"/>
  <c r="G44" i="38"/>
  <c r="J44" i="38" s="1"/>
  <c r="F44" i="38"/>
  <c r="I44" i="38" s="1"/>
  <c r="H43" i="38"/>
  <c r="K43" i="38" s="1"/>
  <c r="L43" i="38" s="1"/>
  <c r="F43" i="38"/>
  <c r="I43" i="38" s="1"/>
  <c r="H42" i="38"/>
  <c r="K42" i="38" s="1"/>
  <c r="L42" i="38" s="1"/>
  <c r="G42" i="38"/>
  <c r="J42" i="38" s="1"/>
  <c r="F42" i="38"/>
  <c r="I42" i="38" s="1"/>
  <c r="H41" i="38"/>
  <c r="K41" i="38" s="1"/>
  <c r="L41" i="38" s="1"/>
  <c r="F41" i="38"/>
  <c r="I41" i="38" s="1"/>
  <c r="H40" i="38"/>
  <c r="K40" i="38" s="1"/>
  <c r="L40" i="38" s="1"/>
  <c r="G40" i="38"/>
  <c r="J40" i="38" s="1"/>
  <c r="F40" i="38"/>
  <c r="I40" i="38" s="1"/>
  <c r="H39" i="38"/>
  <c r="K39" i="38" s="1"/>
  <c r="L39" i="38" s="1"/>
  <c r="F39" i="38"/>
  <c r="I39" i="38" s="1"/>
  <c r="H38" i="38"/>
  <c r="K38" i="38" s="1"/>
  <c r="L38" i="38" s="1"/>
  <c r="G38" i="38"/>
  <c r="J38" i="38" s="1"/>
  <c r="F38" i="38"/>
  <c r="I38" i="38" s="1"/>
  <c r="H37" i="38"/>
  <c r="K37" i="38" s="1"/>
  <c r="L37" i="38" s="1"/>
  <c r="F37" i="38"/>
  <c r="I37" i="38" s="1"/>
  <c r="H36" i="38"/>
  <c r="K36" i="38" s="1"/>
  <c r="L36" i="38" s="1"/>
  <c r="G36" i="38"/>
  <c r="J36" i="38" s="1"/>
  <c r="F36" i="38"/>
  <c r="I36" i="38" s="1"/>
  <c r="H35" i="38"/>
  <c r="K35" i="38" s="1"/>
  <c r="L35" i="38" s="1"/>
  <c r="F35" i="38"/>
  <c r="I35" i="38" s="1"/>
  <c r="H34" i="38"/>
  <c r="K34" i="38" s="1"/>
  <c r="L34" i="38" s="1"/>
  <c r="G34" i="38"/>
  <c r="J34" i="38" s="1"/>
  <c r="F34" i="38"/>
  <c r="I34" i="38" s="1"/>
  <c r="H33" i="38"/>
  <c r="K33" i="38" s="1"/>
  <c r="L33" i="38" s="1"/>
  <c r="F33" i="38"/>
  <c r="I33" i="38" s="1"/>
  <c r="H32" i="38"/>
  <c r="K32" i="38" s="1"/>
  <c r="L32" i="38" s="1"/>
  <c r="G32" i="38"/>
  <c r="J32" i="38" s="1"/>
  <c r="F32" i="38"/>
  <c r="I32" i="38" s="1"/>
  <c r="H31" i="38"/>
  <c r="K31" i="38" s="1"/>
  <c r="L31" i="38" s="1"/>
  <c r="F31" i="38"/>
  <c r="I31" i="38" s="1"/>
  <c r="H30" i="38"/>
  <c r="K30" i="38" s="1"/>
  <c r="L30" i="38" s="1"/>
  <c r="G30" i="38"/>
  <c r="J30" i="38" s="1"/>
  <c r="F30" i="38"/>
  <c r="I30" i="38" s="1"/>
  <c r="H29" i="38"/>
  <c r="K29" i="38" s="1"/>
  <c r="L29" i="38" s="1"/>
  <c r="F29" i="38"/>
  <c r="I29" i="38" s="1"/>
  <c r="H28" i="38"/>
  <c r="K28" i="38" s="1"/>
  <c r="L28" i="38" s="1"/>
  <c r="G28" i="38"/>
  <c r="J28" i="38" s="1"/>
  <c r="F28" i="38"/>
  <c r="I28" i="38" s="1"/>
  <c r="H27" i="38"/>
  <c r="K27" i="38" s="1"/>
  <c r="L27" i="38" s="1"/>
  <c r="F27" i="38"/>
  <c r="I27" i="38" s="1"/>
  <c r="H26" i="38"/>
  <c r="K26" i="38" s="1"/>
  <c r="L26" i="38" s="1"/>
  <c r="G26" i="38"/>
  <c r="J26" i="38" s="1"/>
  <c r="F26" i="38"/>
  <c r="I26" i="38" s="1"/>
  <c r="H25" i="38"/>
  <c r="K25" i="38" s="1"/>
  <c r="L25" i="38" s="1"/>
  <c r="F25" i="38"/>
  <c r="I25" i="38" s="1"/>
  <c r="H24" i="38"/>
  <c r="K24" i="38" s="1"/>
  <c r="L24" i="38" s="1"/>
  <c r="G24" i="38"/>
  <c r="J24" i="38" s="1"/>
  <c r="F24" i="38"/>
  <c r="I24" i="38" s="1"/>
  <c r="H23" i="38"/>
  <c r="K23" i="38" s="1"/>
  <c r="L23" i="38" s="1"/>
  <c r="F23" i="38"/>
  <c r="I23" i="38" s="1"/>
  <c r="H22" i="38"/>
  <c r="K22" i="38" s="1"/>
  <c r="L22" i="38" s="1"/>
  <c r="G22" i="38"/>
  <c r="J22" i="38" s="1"/>
  <c r="F22" i="38"/>
  <c r="I22" i="38" s="1"/>
  <c r="H21" i="38"/>
  <c r="K21" i="38" s="1"/>
  <c r="L21" i="38" s="1"/>
  <c r="F21" i="38"/>
  <c r="I21" i="38" s="1"/>
  <c r="H20" i="38"/>
  <c r="K20" i="38" s="1"/>
  <c r="L20" i="38" s="1"/>
  <c r="G20" i="38"/>
  <c r="J20" i="38" s="1"/>
  <c r="F20" i="38"/>
  <c r="I20" i="38" s="1"/>
  <c r="H19" i="38"/>
  <c r="K19" i="38" s="1"/>
  <c r="L19" i="38" s="1"/>
  <c r="F19" i="38"/>
  <c r="I19" i="38" s="1"/>
  <c r="H18" i="38"/>
  <c r="K18" i="38" s="1"/>
  <c r="L18" i="38" s="1"/>
  <c r="G18" i="38"/>
  <c r="J18" i="38" s="1"/>
  <c r="F18" i="38"/>
  <c r="I18" i="38" s="1"/>
  <c r="H17" i="38"/>
  <c r="K17" i="38" s="1"/>
  <c r="L17" i="38" s="1"/>
  <c r="G17" i="38"/>
  <c r="J17" i="38" s="1"/>
  <c r="F17" i="38"/>
  <c r="I17" i="38" s="1"/>
  <c r="I16" i="38"/>
  <c r="G16" i="38"/>
  <c r="J16" i="38" s="1"/>
  <c r="K16" i="38" s="1"/>
  <c r="L16" i="38" s="1"/>
  <c r="I15" i="38"/>
  <c r="G15" i="38"/>
  <c r="J15" i="38" s="1"/>
  <c r="K15" i="38" s="1"/>
  <c r="L15" i="38" s="1"/>
  <c r="I14" i="38"/>
  <c r="G14" i="38"/>
  <c r="J14" i="38" s="1"/>
  <c r="K14" i="38" s="1"/>
  <c r="L14" i="38" s="1"/>
  <c r="I13" i="38"/>
  <c r="G13" i="38"/>
  <c r="J13" i="38" s="1"/>
  <c r="K13" i="38" s="1"/>
  <c r="L13" i="38" s="1"/>
  <c r="I12" i="38"/>
  <c r="G12" i="38"/>
  <c r="J12" i="38" s="1"/>
  <c r="K12" i="38" s="1"/>
  <c r="L12" i="38" s="1"/>
  <c r="I11" i="38"/>
  <c r="G11" i="38"/>
  <c r="J11" i="38" s="1"/>
  <c r="K11" i="38" s="1"/>
  <c r="L11" i="38" s="1"/>
  <c r="I10" i="38"/>
  <c r="G10" i="38"/>
  <c r="J10" i="38" s="1"/>
  <c r="K10" i="38" s="1"/>
  <c r="L10" i="38" s="1"/>
  <c r="I9" i="38"/>
  <c r="G9" i="38"/>
  <c r="J9" i="38" s="1"/>
  <c r="K9" i="38" s="1"/>
  <c r="L9" i="38" s="1"/>
  <c r="I8" i="38"/>
  <c r="H8" i="38"/>
  <c r="K8" i="38" s="1"/>
  <c r="L8" i="38" s="1"/>
  <c r="G8" i="38"/>
  <c r="J8" i="38" s="1"/>
  <c r="I7" i="38"/>
  <c r="H7" i="38"/>
  <c r="G7" i="38"/>
  <c r="J7" i="38" s="1"/>
  <c r="I6" i="38"/>
  <c r="G6" i="38"/>
  <c r="J6" i="38" s="1"/>
  <c r="K6" i="38" s="1"/>
  <c r="L6" i="38" s="1"/>
  <c r="I5" i="38"/>
  <c r="G5" i="38"/>
  <c r="J5" i="38" s="1"/>
  <c r="K5" i="38" s="1"/>
  <c r="L5" i="38" s="1"/>
  <c r="I4" i="38"/>
  <c r="G4" i="38"/>
  <c r="J4" i="38" s="1"/>
  <c r="K4" i="38" s="1"/>
  <c r="L4" i="38" s="1"/>
  <c r="I3" i="38"/>
  <c r="G3" i="38"/>
  <c r="J3" i="38" s="1"/>
  <c r="K3" i="38" s="1"/>
  <c r="L3" i="38" s="1"/>
  <c r="N2" i="38" a="1"/>
  <c r="I2" i="38"/>
  <c r="J2" i="38"/>
  <c r="O1" i="38" a="1"/>
  <c r="O1" i="38" s="1"/>
  <c r="O11" i="38" s="1"/>
  <c r="H47" i="37"/>
  <c r="K47" i="37" s="1"/>
  <c r="L47" i="37" s="1"/>
  <c r="G47" i="37"/>
  <c r="J47" i="37" s="1"/>
  <c r="F47" i="37"/>
  <c r="I47" i="37" s="1"/>
  <c r="H46" i="37"/>
  <c r="K46" i="37" s="1"/>
  <c r="L46" i="37" s="1"/>
  <c r="F46" i="37"/>
  <c r="I46" i="37" s="1"/>
  <c r="H45" i="37"/>
  <c r="K45" i="37" s="1"/>
  <c r="L45" i="37" s="1"/>
  <c r="F45" i="37"/>
  <c r="H44" i="37"/>
  <c r="K44" i="37" s="1"/>
  <c r="L44" i="37" s="1"/>
  <c r="F44" i="37"/>
  <c r="I44" i="37" s="1"/>
  <c r="H43" i="37"/>
  <c r="K43" i="37" s="1"/>
  <c r="L43" i="37" s="1"/>
  <c r="G43" i="37"/>
  <c r="J43" i="37" s="1"/>
  <c r="F43" i="37"/>
  <c r="I43" i="37" s="1"/>
  <c r="H42" i="37"/>
  <c r="K42" i="37" s="1"/>
  <c r="L42" i="37" s="1"/>
  <c r="G42" i="37"/>
  <c r="J42" i="37" s="1"/>
  <c r="F42" i="37"/>
  <c r="I42" i="37" s="1"/>
  <c r="H41" i="37"/>
  <c r="K41" i="37" s="1"/>
  <c r="L41" i="37" s="1"/>
  <c r="G41" i="37"/>
  <c r="J41" i="37" s="1"/>
  <c r="F41" i="37"/>
  <c r="I41" i="37" s="1"/>
  <c r="H40" i="37"/>
  <c r="K40" i="37" s="1"/>
  <c r="L40" i="37" s="1"/>
  <c r="G40" i="37"/>
  <c r="J40" i="37" s="1"/>
  <c r="F40" i="37"/>
  <c r="I40" i="37" s="1"/>
  <c r="H39" i="37"/>
  <c r="K39" i="37" s="1"/>
  <c r="L39" i="37" s="1"/>
  <c r="G39" i="37"/>
  <c r="J39" i="37" s="1"/>
  <c r="F39" i="37"/>
  <c r="I39" i="37" s="1"/>
  <c r="H38" i="37"/>
  <c r="K38" i="37" s="1"/>
  <c r="L38" i="37" s="1"/>
  <c r="G38" i="37"/>
  <c r="J38" i="37" s="1"/>
  <c r="F38" i="37"/>
  <c r="I38" i="37" s="1"/>
  <c r="H37" i="37"/>
  <c r="K37" i="37" s="1"/>
  <c r="L37" i="37" s="1"/>
  <c r="G37" i="37"/>
  <c r="J37" i="37" s="1"/>
  <c r="F37" i="37"/>
  <c r="I37" i="37" s="1"/>
  <c r="H36" i="37"/>
  <c r="K36" i="37" s="1"/>
  <c r="L36" i="37" s="1"/>
  <c r="G36" i="37"/>
  <c r="J36" i="37" s="1"/>
  <c r="F36" i="37"/>
  <c r="I36" i="37" s="1"/>
  <c r="H35" i="37"/>
  <c r="K35" i="37" s="1"/>
  <c r="L35" i="37" s="1"/>
  <c r="G35" i="37"/>
  <c r="J35" i="37" s="1"/>
  <c r="F35" i="37"/>
  <c r="I35" i="37" s="1"/>
  <c r="H34" i="37"/>
  <c r="K34" i="37" s="1"/>
  <c r="L34" i="37" s="1"/>
  <c r="G34" i="37"/>
  <c r="J34" i="37" s="1"/>
  <c r="F34" i="37"/>
  <c r="I34" i="37" s="1"/>
  <c r="H33" i="37"/>
  <c r="K33" i="37" s="1"/>
  <c r="L33" i="37" s="1"/>
  <c r="G33" i="37"/>
  <c r="J33" i="37" s="1"/>
  <c r="F33" i="37"/>
  <c r="I33" i="37" s="1"/>
  <c r="H32" i="37"/>
  <c r="K32" i="37" s="1"/>
  <c r="L32" i="37" s="1"/>
  <c r="G32" i="37"/>
  <c r="J32" i="37" s="1"/>
  <c r="F32" i="37"/>
  <c r="I32" i="37" s="1"/>
  <c r="H31" i="37"/>
  <c r="K31" i="37" s="1"/>
  <c r="L31" i="37" s="1"/>
  <c r="G31" i="37"/>
  <c r="J31" i="37" s="1"/>
  <c r="F31" i="37"/>
  <c r="I31" i="37" s="1"/>
  <c r="H30" i="37"/>
  <c r="K30" i="37" s="1"/>
  <c r="L30" i="37" s="1"/>
  <c r="G30" i="37"/>
  <c r="J30" i="37" s="1"/>
  <c r="F30" i="37"/>
  <c r="I30" i="37" s="1"/>
  <c r="H29" i="37"/>
  <c r="K29" i="37" s="1"/>
  <c r="L29" i="37" s="1"/>
  <c r="G29" i="37"/>
  <c r="J29" i="37" s="1"/>
  <c r="F29" i="37"/>
  <c r="I29" i="37" s="1"/>
  <c r="H28" i="37"/>
  <c r="K28" i="37" s="1"/>
  <c r="L28" i="37" s="1"/>
  <c r="G28" i="37"/>
  <c r="J28" i="37" s="1"/>
  <c r="F28" i="37"/>
  <c r="I28" i="37" s="1"/>
  <c r="H27" i="37"/>
  <c r="K27" i="37" s="1"/>
  <c r="L27" i="37" s="1"/>
  <c r="G27" i="37"/>
  <c r="J27" i="37" s="1"/>
  <c r="F27" i="37"/>
  <c r="I27" i="37" s="1"/>
  <c r="H26" i="37"/>
  <c r="K26" i="37" s="1"/>
  <c r="L26" i="37" s="1"/>
  <c r="G26" i="37"/>
  <c r="J26" i="37" s="1"/>
  <c r="F26" i="37"/>
  <c r="I26" i="37" s="1"/>
  <c r="H25" i="37"/>
  <c r="K25" i="37" s="1"/>
  <c r="L25" i="37" s="1"/>
  <c r="G25" i="37"/>
  <c r="J25" i="37" s="1"/>
  <c r="F25" i="37"/>
  <c r="I25" i="37" s="1"/>
  <c r="H24" i="37"/>
  <c r="K24" i="37" s="1"/>
  <c r="L24" i="37" s="1"/>
  <c r="G24" i="37"/>
  <c r="J24" i="37" s="1"/>
  <c r="F24" i="37"/>
  <c r="I24" i="37" s="1"/>
  <c r="H23" i="37"/>
  <c r="K23" i="37" s="1"/>
  <c r="L23" i="37" s="1"/>
  <c r="G23" i="37"/>
  <c r="J23" i="37" s="1"/>
  <c r="F23" i="37"/>
  <c r="I23" i="37" s="1"/>
  <c r="H22" i="37"/>
  <c r="K22" i="37" s="1"/>
  <c r="L22" i="37" s="1"/>
  <c r="G22" i="37"/>
  <c r="J22" i="37" s="1"/>
  <c r="F22" i="37"/>
  <c r="I22" i="37" s="1"/>
  <c r="H21" i="37"/>
  <c r="K21" i="37" s="1"/>
  <c r="L21" i="37" s="1"/>
  <c r="G21" i="37"/>
  <c r="J21" i="37" s="1"/>
  <c r="F21" i="37"/>
  <c r="I21" i="37" s="1"/>
  <c r="H20" i="37"/>
  <c r="K20" i="37" s="1"/>
  <c r="L20" i="37" s="1"/>
  <c r="G20" i="37"/>
  <c r="J20" i="37" s="1"/>
  <c r="F20" i="37"/>
  <c r="I20" i="37" s="1"/>
  <c r="H19" i="37"/>
  <c r="K19" i="37" s="1"/>
  <c r="L19" i="37" s="1"/>
  <c r="G19" i="37"/>
  <c r="J19" i="37" s="1"/>
  <c r="F19" i="37"/>
  <c r="I19" i="37" s="1"/>
  <c r="H18" i="37"/>
  <c r="K18" i="37" s="1"/>
  <c r="L18" i="37" s="1"/>
  <c r="F18" i="37"/>
  <c r="I18" i="37" s="1"/>
  <c r="H17" i="37"/>
  <c r="K17" i="37" s="1"/>
  <c r="L17" i="37" s="1"/>
  <c r="G17" i="37"/>
  <c r="J17" i="37" s="1"/>
  <c r="F17" i="37"/>
  <c r="I17" i="37" s="1"/>
  <c r="H16" i="37"/>
  <c r="K16" i="37" s="1"/>
  <c r="L16" i="37" s="1"/>
  <c r="H15" i="37"/>
  <c r="K15" i="37" s="1"/>
  <c r="L15" i="37" s="1"/>
  <c r="H14" i="37"/>
  <c r="K14" i="37" s="1"/>
  <c r="L14" i="37" s="1"/>
  <c r="H13" i="37"/>
  <c r="K13" i="37" s="1"/>
  <c r="L13" i="37" s="1"/>
  <c r="H12" i="37"/>
  <c r="K12" i="37" s="1"/>
  <c r="L12" i="37" s="1"/>
  <c r="H11" i="37"/>
  <c r="K11" i="37" s="1"/>
  <c r="L11" i="37" s="1"/>
  <c r="H10" i="37"/>
  <c r="K10" i="37" s="1"/>
  <c r="L10" i="37" s="1"/>
  <c r="H9" i="37"/>
  <c r="K9" i="37" s="1"/>
  <c r="L9" i="37" s="1"/>
  <c r="H8" i="37"/>
  <c r="K8" i="37" s="1"/>
  <c r="L8" i="37" s="1"/>
  <c r="H7" i="37"/>
  <c r="K7" i="37" s="1"/>
  <c r="L7" i="37" s="1"/>
  <c r="H6" i="37"/>
  <c r="K6" i="37" s="1"/>
  <c r="L6" i="37" s="1"/>
  <c r="H5" i="37"/>
  <c r="K5" i="37" s="1"/>
  <c r="L5" i="37" s="1"/>
  <c r="H4" i="37"/>
  <c r="K4" i="37" s="1"/>
  <c r="L4" i="37" s="1"/>
  <c r="H3" i="37"/>
  <c r="K3" i="37" s="1"/>
  <c r="L3" i="37" s="1"/>
  <c r="N2" i="37" a="1"/>
  <c r="H2" i="37"/>
  <c r="O1" i="37" a="1"/>
  <c r="O1" i="37" s="1"/>
  <c r="O15" i="37" s="1"/>
  <c r="H47" i="36"/>
  <c r="K47" i="36" s="1"/>
  <c r="L47" i="36" s="1"/>
  <c r="G47" i="36"/>
  <c r="J47" i="36" s="1"/>
  <c r="F47" i="36"/>
  <c r="I47" i="36" s="1"/>
  <c r="H46" i="36"/>
  <c r="K46" i="36" s="1"/>
  <c r="L46" i="36" s="1"/>
  <c r="F46" i="36"/>
  <c r="H45" i="36"/>
  <c r="K45" i="36" s="1"/>
  <c r="L45" i="36" s="1"/>
  <c r="G45" i="36"/>
  <c r="J45" i="36" s="1"/>
  <c r="F45" i="36"/>
  <c r="I45" i="36" s="1"/>
  <c r="H44" i="36"/>
  <c r="K44" i="36" s="1"/>
  <c r="L44" i="36" s="1"/>
  <c r="G44" i="36"/>
  <c r="J44" i="36" s="1"/>
  <c r="F44" i="36"/>
  <c r="I44" i="36" s="1"/>
  <c r="H43" i="36"/>
  <c r="K43" i="36" s="1"/>
  <c r="L43" i="36" s="1"/>
  <c r="F43" i="36"/>
  <c r="I43" i="36" s="1"/>
  <c r="H42" i="36"/>
  <c r="K42" i="36" s="1"/>
  <c r="L42" i="36" s="1"/>
  <c r="F42" i="36"/>
  <c r="I42" i="36" s="1"/>
  <c r="H41" i="36"/>
  <c r="K41" i="36" s="1"/>
  <c r="L41" i="36" s="1"/>
  <c r="F41" i="36"/>
  <c r="I41" i="36" s="1"/>
  <c r="H40" i="36"/>
  <c r="K40" i="36" s="1"/>
  <c r="L40" i="36" s="1"/>
  <c r="F40" i="36"/>
  <c r="I40" i="36" s="1"/>
  <c r="H39" i="36"/>
  <c r="K39" i="36" s="1"/>
  <c r="L39" i="36" s="1"/>
  <c r="F39" i="36"/>
  <c r="I39" i="36" s="1"/>
  <c r="H38" i="36"/>
  <c r="K38" i="36" s="1"/>
  <c r="L38" i="36" s="1"/>
  <c r="F38" i="36"/>
  <c r="I38" i="36" s="1"/>
  <c r="H37" i="36"/>
  <c r="K37" i="36" s="1"/>
  <c r="L37" i="36" s="1"/>
  <c r="F37" i="36"/>
  <c r="I37" i="36" s="1"/>
  <c r="H36" i="36"/>
  <c r="K36" i="36" s="1"/>
  <c r="L36" i="36" s="1"/>
  <c r="F36" i="36"/>
  <c r="I36" i="36" s="1"/>
  <c r="H35" i="36"/>
  <c r="K35" i="36" s="1"/>
  <c r="L35" i="36" s="1"/>
  <c r="F35" i="36"/>
  <c r="I35" i="36" s="1"/>
  <c r="H34" i="36"/>
  <c r="K34" i="36" s="1"/>
  <c r="L34" i="36" s="1"/>
  <c r="F34" i="36"/>
  <c r="I34" i="36" s="1"/>
  <c r="H33" i="36"/>
  <c r="K33" i="36" s="1"/>
  <c r="L33" i="36" s="1"/>
  <c r="F33" i="36"/>
  <c r="I33" i="36" s="1"/>
  <c r="H32" i="36"/>
  <c r="K32" i="36" s="1"/>
  <c r="L32" i="36" s="1"/>
  <c r="F32" i="36"/>
  <c r="I32" i="36" s="1"/>
  <c r="H31" i="36"/>
  <c r="K31" i="36" s="1"/>
  <c r="L31" i="36" s="1"/>
  <c r="F31" i="36"/>
  <c r="H30" i="36"/>
  <c r="H29" i="36"/>
  <c r="F29" i="36"/>
  <c r="F28" i="36"/>
  <c r="H27" i="36"/>
  <c r="F27" i="36"/>
  <c r="F25" i="36"/>
  <c r="H24" i="36"/>
  <c r="F24" i="36"/>
  <c r="H23" i="36"/>
  <c r="F23" i="36"/>
  <c r="F21" i="36"/>
  <c r="F20" i="36"/>
  <c r="H18" i="36"/>
  <c r="F18" i="36"/>
  <c r="F17" i="36"/>
  <c r="F16" i="36"/>
  <c r="H14" i="36"/>
  <c r="F14" i="36"/>
  <c r="F13" i="36"/>
  <c r="H12" i="36"/>
  <c r="H11" i="36"/>
  <c r="F11" i="36"/>
  <c r="H10" i="36"/>
  <c r="F10" i="36"/>
  <c r="H8" i="36"/>
  <c r="F8" i="36"/>
  <c r="H6" i="36"/>
  <c r="F6" i="36"/>
  <c r="H5" i="36"/>
  <c r="F5" i="36"/>
  <c r="H4" i="36"/>
  <c r="F4" i="36"/>
  <c r="H3" i="36"/>
  <c r="N2" i="36" a="1"/>
  <c r="H2" i="36"/>
  <c r="F2" i="36"/>
  <c r="O1" i="36" a="1"/>
  <c r="O1" i="36" s="1"/>
  <c r="J8" i="35"/>
  <c r="K8" i="35" s="1"/>
  <c r="H47" i="35"/>
  <c r="K47" i="35" s="1"/>
  <c r="L47" i="35" s="1"/>
  <c r="G47" i="35"/>
  <c r="J47" i="35" s="1"/>
  <c r="F47" i="35"/>
  <c r="I47" i="35" s="1"/>
  <c r="H46" i="35"/>
  <c r="K46" i="35" s="1"/>
  <c r="L46" i="35" s="1"/>
  <c r="F46" i="35"/>
  <c r="I46" i="35" s="1"/>
  <c r="H45" i="35"/>
  <c r="K45" i="35" s="1"/>
  <c r="L45" i="35" s="1"/>
  <c r="F45" i="35"/>
  <c r="H44" i="35"/>
  <c r="K44" i="35" s="1"/>
  <c r="L44" i="35" s="1"/>
  <c r="F44" i="35"/>
  <c r="I44" i="35" s="1"/>
  <c r="H43" i="35"/>
  <c r="K43" i="35" s="1"/>
  <c r="L43" i="35" s="1"/>
  <c r="F43" i="35"/>
  <c r="H42" i="35"/>
  <c r="K42" i="35" s="1"/>
  <c r="L42" i="35" s="1"/>
  <c r="F42" i="35"/>
  <c r="I42" i="35" s="1"/>
  <c r="H41" i="35"/>
  <c r="K41" i="35" s="1"/>
  <c r="L41" i="35" s="1"/>
  <c r="F41" i="35"/>
  <c r="H40" i="35"/>
  <c r="K40" i="35" s="1"/>
  <c r="L40" i="35" s="1"/>
  <c r="G40" i="35"/>
  <c r="J40" i="35" s="1"/>
  <c r="F40" i="35"/>
  <c r="I40" i="35" s="1"/>
  <c r="H39" i="35"/>
  <c r="K39" i="35" s="1"/>
  <c r="L39" i="35" s="1"/>
  <c r="F39" i="35"/>
  <c r="H38" i="35"/>
  <c r="K38" i="35" s="1"/>
  <c r="L38" i="35" s="1"/>
  <c r="F38" i="35"/>
  <c r="I38" i="35" s="1"/>
  <c r="H37" i="35"/>
  <c r="K37" i="35" s="1"/>
  <c r="L37" i="35" s="1"/>
  <c r="F37" i="35"/>
  <c r="H36" i="35"/>
  <c r="K36" i="35" s="1"/>
  <c r="L36" i="35" s="1"/>
  <c r="F36" i="35"/>
  <c r="I36" i="35" s="1"/>
  <c r="H35" i="35"/>
  <c r="K35" i="35" s="1"/>
  <c r="L35" i="35" s="1"/>
  <c r="F35" i="35"/>
  <c r="H34" i="35"/>
  <c r="K34" i="35" s="1"/>
  <c r="L34" i="35" s="1"/>
  <c r="G34" i="35"/>
  <c r="J34" i="35" s="1"/>
  <c r="F34" i="35"/>
  <c r="I34" i="35" s="1"/>
  <c r="H33" i="35"/>
  <c r="K33" i="35" s="1"/>
  <c r="L33" i="35" s="1"/>
  <c r="F33" i="35"/>
  <c r="H32" i="35"/>
  <c r="K32" i="35" s="1"/>
  <c r="L32" i="35" s="1"/>
  <c r="G32" i="35"/>
  <c r="J32" i="35" s="1"/>
  <c r="F32" i="35"/>
  <c r="I32" i="35" s="1"/>
  <c r="H31" i="35"/>
  <c r="K31" i="35" s="1"/>
  <c r="L31" i="35" s="1"/>
  <c r="F31" i="35"/>
  <c r="H30" i="35"/>
  <c r="K30" i="35" s="1"/>
  <c r="L30" i="35" s="1"/>
  <c r="F30" i="35"/>
  <c r="I30" i="35" s="1"/>
  <c r="H29" i="35"/>
  <c r="K29" i="35" s="1"/>
  <c r="L29" i="35" s="1"/>
  <c r="F29" i="35"/>
  <c r="H28" i="35"/>
  <c r="K28" i="35" s="1"/>
  <c r="L28" i="35" s="1"/>
  <c r="F28" i="35"/>
  <c r="I28" i="35" s="1"/>
  <c r="H27" i="35"/>
  <c r="K27" i="35" s="1"/>
  <c r="L27" i="35" s="1"/>
  <c r="F27" i="35"/>
  <c r="H26" i="35"/>
  <c r="K26" i="35" s="1"/>
  <c r="L26" i="35" s="1"/>
  <c r="G26" i="35"/>
  <c r="J26" i="35" s="1"/>
  <c r="F26" i="35"/>
  <c r="I26" i="35" s="1"/>
  <c r="H25" i="35"/>
  <c r="K25" i="35" s="1"/>
  <c r="L25" i="35" s="1"/>
  <c r="F25" i="35"/>
  <c r="H24" i="35"/>
  <c r="K24" i="35" s="1"/>
  <c r="L24" i="35" s="1"/>
  <c r="G24" i="35"/>
  <c r="J24" i="35" s="1"/>
  <c r="F24" i="35"/>
  <c r="I24" i="35" s="1"/>
  <c r="H23" i="35"/>
  <c r="K23" i="35" s="1"/>
  <c r="L23" i="35" s="1"/>
  <c r="F23" i="35"/>
  <c r="H22" i="35"/>
  <c r="K22" i="35" s="1"/>
  <c r="L22" i="35" s="1"/>
  <c r="F22" i="35"/>
  <c r="I22" i="35" s="1"/>
  <c r="H21" i="35"/>
  <c r="K21" i="35" s="1"/>
  <c r="L21" i="35" s="1"/>
  <c r="F21" i="35"/>
  <c r="H20" i="35"/>
  <c r="K20" i="35" s="1"/>
  <c r="L20" i="35" s="1"/>
  <c r="G20" i="35"/>
  <c r="J20" i="35" s="1"/>
  <c r="F20" i="35"/>
  <c r="I20" i="35" s="1"/>
  <c r="H19" i="35"/>
  <c r="K19" i="35" s="1"/>
  <c r="L19" i="35" s="1"/>
  <c r="F19" i="35"/>
  <c r="H18" i="35"/>
  <c r="K18" i="35" s="1"/>
  <c r="L18" i="35" s="1"/>
  <c r="F18" i="35"/>
  <c r="I18" i="35" s="1"/>
  <c r="H17" i="35"/>
  <c r="K17" i="35" s="1"/>
  <c r="L17" i="35" s="1"/>
  <c r="G17" i="35"/>
  <c r="J17" i="35" s="1"/>
  <c r="F17" i="35"/>
  <c r="I17" i="35" s="1"/>
  <c r="H16" i="35"/>
  <c r="K16" i="35" s="1"/>
  <c r="L16" i="35" s="1"/>
  <c r="F16" i="35"/>
  <c r="I16" i="35" s="1"/>
  <c r="H15" i="35"/>
  <c r="K15" i="35" s="1"/>
  <c r="L15" i="35" s="1"/>
  <c r="F15" i="35"/>
  <c r="I15" i="35" s="1"/>
  <c r="H14" i="35"/>
  <c r="K14" i="35" s="1"/>
  <c r="L14" i="35" s="1"/>
  <c r="F14" i="35"/>
  <c r="H13" i="35"/>
  <c r="K13" i="35" s="1"/>
  <c r="L13" i="35" s="1"/>
  <c r="F13" i="35"/>
  <c r="H12" i="35"/>
  <c r="K12" i="35" s="1"/>
  <c r="L12" i="35" s="1"/>
  <c r="H10" i="35"/>
  <c r="F10" i="35"/>
  <c r="H9" i="35"/>
  <c r="H7" i="35"/>
  <c r="F6" i="35"/>
  <c r="H5" i="35"/>
  <c r="F5" i="35"/>
  <c r="H4" i="35"/>
  <c r="H3" i="35"/>
  <c r="F3" i="35"/>
  <c r="N2" i="35" a="1"/>
  <c r="H2" i="35"/>
  <c r="F2" i="35"/>
  <c r="O1" i="35" a="1"/>
  <c r="O1" i="35" s="1"/>
  <c r="H47" i="34"/>
  <c r="K47" i="34" s="1"/>
  <c r="L47" i="34" s="1"/>
  <c r="F47" i="34"/>
  <c r="H46" i="34"/>
  <c r="K46" i="34" s="1"/>
  <c r="L46" i="34" s="1"/>
  <c r="G46" i="34"/>
  <c r="J46" i="34" s="1"/>
  <c r="F46" i="34"/>
  <c r="I46" i="34" s="1"/>
  <c r="H45" i="34"/>
  <c r="K45" i="34" s="1"/>
  <c r="L45" i="34" s="1"/>
  <c r="G45" i="34"/>
  <c r="J45" i="34" s="1"/>
  <c r="F45" i="34"/>
  <c r="I45" i="34" s="1"/>
  <c r="H44" i="34"/>
  <c r="K44" i="34" s="1"/>
  <c r="L44" i="34" s="1"/>
  <c r="G44" i="34"/>
  <c r="J44" i="34" s="1"/>
  <c r="F44" i="34"/>
  <c r="I44" i="34" s="1"/>
  <c r="H43" i="34"/>
  <c r="K43" i="34" s="1"/>
  <c r="L43" i="34" s="1"/>
  <c r="G43" i="34"/>
  <c r="J43" i="34" s="1"/>
  <c r="F43" i="34"/>
  <c r="I43" i="34" s="1"/>
  <c r="H42" i="34"/>
  <c r="K42" i="34" s="1"/>
  <c r="L42" i="34" s="1"/>
  <c r="G42" i="34"/>
  <c r="J42" i="34" s="1"/>
  <c r="F42" i="34"/>
  <c r="I42" i="34" s="1"/>
  <c r="H41" i="34"/>
  <c r="K41" i="34" s="1"/>
  <c r="L41" i="34" s="1"/>
  <c r="F41" i="34"/>
  <c r="I41" i="34" s="1"/>
  <c r="H40" i="34"/>
  <c r="K40" i="34" s="1"/>
  <c r="L40" i="34" s="1"/>
  <c r="G40" i="34"/>
  <c r="J40" i="34" s="1"/>
  <c r="F40" i="34"/>
  <c r="I40" i="34" s="1"/>
  <c r="H39" i="34"/>
  <c r="K39" i="34" s="1"/>
  <c r="L39" i="34" s="1"/>
  <c r="G39" i="34"/>
  <c r="J39" i="34" s="1"/>
  <c r="F39" i="34"/>
  <c r="I39" i="34" s="1"/>
  <c r="H38" i="34"/>
  <c r="K38" i="34" s="1"/>
  <c r="L38" i="34" s="1"/>
  <c r="F38" i="34"/>
  <c r="I38" i="34" s="1"/>
  <c r="H37" i="34"/>
  <c r="K37" i="34" s="1"/>
  <c r="L37" i="34" s="1"/>
  <c r="F37" i="34"/>
  <c r="I37" i="34" s="1"/>
  <c r="H36" i="34"/>
  <c r="K36" i="34" s="1"/>
  <c r="L36" i="34" s="1"/>
  <c r="F36" i="34"/>
  <c r="I36" i="34" s="1"/>
  <c r="H35" i="34"/>
  <c r="K35" i="34" s="1"/>
  <c r="L35" i="34" s="1"/>
  <c r="F35" i="34"/>
  <c r="I35" i="34" s="1"/>
  <c r="H34" i="34"/>
  <c r="K34" i="34" s="1"/>
  <c r="L34" i="34" s="1"/>
  <c r="G34" i="34"/>
  <c r="J34" i="34" s="1"/>
  <c r="F34" i="34"/>
  <c r="I34" i="34" s="1"/>
  <c r="H33" i="34"/>
  <c r="K33" i="34" s="1"/>
  <c r="L33" i="34" s="1"/>
  <c r="F33" i="34"/>
  <c r="I33" i="34" s="1"/>
  <c r="H32" i="34"/>
  <c r="K32" i="34" s="1"/>
  <c r="L32" i="34" s="1"/>
  <c r="G32" i="34"/>
  <c r="J32" i="34" s="1"/>
  <c r="F32" i="34"/>
  <c r="I32" i="34" s="1"/>
  <c r="H31" i="34"/>
  <c r="K31" i="34" s="1"/>
  <c r="L31" i="34" s="1"/>
  <c r="F31" i="34"/>
  <c r="I31" i="34" s="1"/>
  <c r="H30" i="34"/>
  <c r="K30" i="34" s="1"/>
  <c r="L30" i="34" s="1"/>
  <c r="G30" i="34"/>
  <c r="J30" i="34" s="1"/>
  <c r="F30" i="34"/>
  <c r="I30" i="34" s="1"/>
  <c r="H29" i="34"/>
  <c r="K29" i="34" s="1"/>
  <c r="L29" i="34" s="1"/>
  <c r="F29" i="34"/>
  <c r="I29" i="34" s="1"/>
  <c r="H28" i="34"/>
  <c r="K28" i="34" s="1"/>
  <c r="L28" i="34" s="1"/>
  <c r="G28" i="34"/>
  <c r="J28" i="34" s="1"/>
  <c r="F28" i="34"/>
  <c r="I28" i="34" s="1"/>
  <c r="H27" i="34"/>
  <c r="K27" i="34" s="1"/>
  <c r="L27" i="34" s="1"/>
  <c r="F27" i="34"/>
  <c r="I27" i="34" s="1"/>
  <c r="H26" i="34"/>
  <c r="K26" i="34" s="1"/>
  <c r="L26" i="34" s="1"/>
  <c r="G26" i="34"/>
  <c r="J26" i="34" s="1"/>
  <c r="F26" i="34"/>
  <c r="I26" i="34" s="1"/>
  <c r="H25" i="34"/>
  <c r="K25" i="34" s="1"/>
  <c r="L25" i="34" s="1"/>
  <c r="F25" i="34"/>
  <c r="I25" i="34" s="1"/>
  <c r="H24" i="34"/>
  <c r="K24" i="34" s="1"/>
  <c r="L24" i="34" s="1"/>
  <c r="G24" i="34"/>
  <c r="J24" i="34" s="1"/>
  <c r="F24" i="34"/>
  <c r="I24" i="34" s="1"/>
  <c r="H23" i="34"/>
  <c r="K23" i="34" s="1"/>
  <c r="L23" i="34" s="1"/>
  <c r="F23" i="34"/>
  <c r="I23" i="34" s="1"/>
  <c r="H22" i="34"/>
  <c r="K22" i="34" s="1"/>
  <c r="L22" i="34" s="1"/>
  <c r="G22" i="34"/>
  <c r="J22" i="34" s="1"/>
  <c r="F22" i="34"/>
  <c r="I22" i="34" s="1"/>
  <c r="H21" i="34"/>
  <c r="K21" i="34" s="1"/>
  <c r="L21" i="34" s="1"/>
  <c r="F21" i="34"/>
  <c r="I21" i="34" s="1"/>
  <c r="H20" i="34"/>
  <c r="K20" i="34" s="1"/>
  <c r="L20" i="34" s="1"/>
  <c r="G20" i="34"/>
  <c r="J20" i="34" s="1"/>
  <c r="F20" i="34"/>
  <c r="I20" i="34" s="1"/>
  <c r="H19" i="34"/>
  <c r="K19" i="34" s="1"/>
  <c r="L19" i="34" s="1"/>
  <c r="F19" i="34"/>
  <c r="I19" i="34" s="1"/>
  <c r="H18" i="34"/>
  <c r="K18" i="34" s="1"/>
  <c r="L18" i="34" s="1"/>
  <c r="F18" i="34"/>
  <c r="I18" i="34" s="1"/>
  <c r="H17" i="34"/>
  <c r="K17" i="34" s="1"/>
  <c r="L17" i="34" s="1"/>
  <c r="G17" i="34"/>
  <c r="J17" i="34" s="1"/>
  <c r="F17" i="34"/>
  <c r="I17" i="34" s="1"/>
  <c r="H16" i="34"/>
  <c r="K16" i="34" s="1"/>
  <c r="L16" i="34" s="1"/>
  <c r="G16" i="34"/>
  <c r="J16" i="34" s="1"/>
  <c r="F16" i="34"/>
  <c r="I16" i="34" s="1"/>
  <c r="H15" i="34"/>
  <c r="K15" i="34" s="1"/>
  <c r="L15" i="34" s="1"/>
  <c r="G15" i="34"/>
  <c r="J15" i="34" s="1"/>
  <c r="F15" i="34"/>
  <c r="I15" i="34" s="1"/>
  <c r="W14" i="34"/>
  <c r="W13" i="34"/>
  <c r="W12" i="34"/>
  <c r="W11" i="34"/>
  <c r="W10" i="34"/>
  <c r="W9" i="34"/>
  <c r="W8" i="34"/>
  <c r="W7" i="34"/>
  <c r="W6" i="34"/>
  <c r="W5" i="34"/>
  <c r="W4" i="34"/>
  <c r="W3" i="34"/>
  <c r="O1" i="34" a="1"/>
  <c r="O1" i="34" s="1"/>
  <c r="H47" i="33"/>
  <c r="K47" i="33" s="1"/>
  <c r="L47" i="33" s="1"/>
  <c r="G47" i="33"/>
  <c r="J47" i="33" s="1"/>
  <c r="F47" i="33"/>
  <c r="I47" i="33" s="1"/>
  <c r="H46" i="33"/>
  <c r="K46" i="33" s="1"/>
  <c r="L46" i="33" s="1"/>
  <c r="G46" i="33"/>
  <c r="J46" i="33" s="1"/>
  <c r="F46" i="33"/>
  <c r="I46" i="33" s="1"/>
  <c r="H45" i="33"/>
  <c r="K45" i="33" s="1"/>
  <c r="L45" i="33" s="1"/>
  <c r="G45" i="33"/>
  <c r="J45" i="33" s="1"/>
  <c r="F45" i="33"/>
  <c r="I45" i="33" s="1"/>
  <c r="H44" i="33"/>
  <c r="K44" i="33" s="1"/>
  <c r="L44" i="33" s="1"/>
  <c r="G44" i="33"/>
  <c r="J44" i="33" s="1"/>
  <c r="F44" i="33"/>
  <c r="I44" i="33" s="1"/>
  <c r="H43" i="33"/>
  <c r="K43" i="33" s="1"/>
  <c r="L43" i="33" s="1"/>
  <c r="F43" i="33"/>
  <c r="I43" i="33" s="1"/>
  <c r="H42" i="33"/>
  <c r="K42" i="33" s="1"/>
  <c r="L42" i="33" s="1"/>
  <c r="G42" i="33"/>
  <c r="J42" i="33" s="1"/>
  <c r="F42" i="33"/>
  <c r="I42" i="33" s="1"/>
  <c r="H41" i="33"/>
  <c r="K41" i="33" s="1"/>
  <c r="L41" i="33" s="1"/>
  <c r="F41" i="33"/>
  <c r="I41" i="33" s="1"/>
  <c r="H40" i="33"/>
  <c r="K40" i="33" s="1"/>
  <c r="L40" i="33" s="1"/>
  <c r="G40" i="33"/>
  <c r="J40" i="33" s="1"/>
  <c r="F40" i="33"/>
  <c r="I40" i="33" s="1"/>
  <c r="H39" i="33"/>
  <c r="K39" i="33" s="1"/>
  <c r="L39" i="33" s="1"/>
  <c r="F39" i="33"/>
  <c r="I39" i="33" s="1"/>
  <c r="H38" i="33"/>
  <c r="K38" i="33" s="1"/>
  <c r="L38" i="33" s="1"/>
  <c r="G38" i="33"/>
  <c r="J38" i="33" s="1"/>
  <c r="F38" i="33"/>
  <c r="I38" i="33" s="1"/>
  <c r="H37" i="33"/>
  <c r="K37" i="33" s="1"/>
  <c r="L37" i="33" s="1"/>
  <c r="F37" i="33"/>
  <c r="I37" i="33" s="1"/>
  <c r="H36" i="33"/>
  <c r="K36" i="33" s="1"/>
  <c r="L36" i="33" s="1"/>
  <c r="G36" i="33"/>
  <c r="J36" i="33" s="1"/>
  <c r="F36" i="33"/>
  <c r="I36" i="33" s="1"/>
  <c r="H35" i="33"/>
  <c r="K35" i="33" s="1"/>
  <c r="L35" i="33" s="1"/>
  <c r="F35" i="33"/>
  <c r="I35" i="33" s="1"/>
  <c r="H34" i="33"/>
  <c r="K34" i="33" s="1"/>
  <c r="L34" i="33" s="1"/>
  <c r="G34" i="33"/>
  <c r="J34" i="33" s="1"/>
  <c r="F34" i="33"/>
  <c r="I34" i="33" s="1"/>
  <c r="H33" i="33"/>
  <c r="K33" i="33" s="1"/>
  <c r="L33" i="33" s="1"/>
  <c r="F33" i="33"/>
  <c r="I33" i="33" s="1"/>
  <c r="H32" i="33"/>
  <c r="K32" i="33" s="1"/>
  <c r="L32" i="33" s="1"/>
  <c r="G32" i="33"/>
  <c r="J32" i="33" s="1"/>
  <c r="F32" i="33"/>
  <c r="I32" i="33" s="1"/>
  <c r="H31" i="33"/>
  <c r="K31" i="33" s="1"/>
  <c r="L31" i="33" s="1"/>
  <c r="F31" i="33"/>
  <c r="I31" i="33" s="1"/>
  <c r="H30" i="33"/>
  <c r="K30" i="33" s="1"/>
  <c r="L30" i="33" s="1"/>
  <c r="G30" i="33"/>
  <c r="J30" i="33" s="1"/>
  <c r="F30" i="33"/>
  <c r="I30" i="33" s="1"/>
  <c r="H29" i="33"/>
  <c r="K29" i="33" s="1"/>
  <c r="L29" i="33" s="1"/>
  <c r="F29" i="33"/>
  <c r="I29" i="33" s="1"/>
  <c r="H28" i="33"/>
  <c r="K28" i="33" s="1"/>
  <c r="L28" i="33" s="1"/>
  <c r="G28" i="33"/>
  <c r="J28" i="33" s="1"/>
  <c r="F28" i="33"/>
  <c r="I28" i="33" s="1"/>
  <c r="H27" i="33"/>
  <c r="K27" i="33" s="1"/>
  <c r="L27" i="33" s="1"/>
  <c r="F27" i="33"/>
  <c r="I27" i="33" s="1"/>
  <c r="H26" i="33"/>
  <c r="K26" i="33" s="1"/>
  <c r="L26" i="33" s="1"/>
  <c r="G26" i="33"/>
  <c r="J26" i="33" s="1"/>
  <c r="F26" i="33"/>
  <c r="I26" i="33" s="1"/>
  <c r="H25" i="33"/>
  <c r="K25" i="33" s="1"/>
  <c r="L25" i="33" s="1"/>
  <c r="F25" i="33"/>
  <c r="I25" i="33" s="1"/>
  <c r="H24" i="33"/>
  <c r="K24" i="33" s="1"/>
  <c r="L24" i="33" s="1"/>
  <c r="G24" i="33"/>
  <c r="J24" i="33" s="1"/>
  <c r="F24" i="33"/>
  <c r="I24" i="33" s="1"/>
  <c r="H23" i="33"/>
  <c r="K23" i="33" s="1"/>
  <c r="L23" i="33" s="1"/>
  <c r="F23" i="33"/>
  <c r="I23" i="33" s="1"/>
  <c r="H22" i="33"/>
  <c r="K22" i="33" s="1"/>
  <c r="L22" i="33" s="1"/>
  <c r="G22" i="33"/>
  <c r="J22" i="33" s="1"/>
  <c r="F22" i="33"/>
  <c r="I22" i="33" s="1"/>
  <c r="H21" i="33"/>
  <c r="K21" i="33" s="1"/>
  <c r="L21" i="33" s="1"/>
  <c r="F21" i="33"/>
  <c r="I21" i="33" s="1"/>
  <c r="H20" i="33"/>
  <c r="K20" i="33" s="1"/>
  <c r="L20" i="33" s="1"/>
  <c r="G20" i="33"/>
  <c r="J20" i="33" s="1"/>
  <c r="F20" i="33"/>
  <c r="I20" i="33" s="1"/>
  <c r="H19" i="33"/>
  <c r="K19" i="33" s="1"/>
  <c r="L19" i="33" s="1"/>
  <c r="F19" i="33"/>
  <c r="I19" i="33" s="1"/>
  <c r="H18" i="33"/>
  <c r="K18" i="33" s="1"/>
  <c r="L18" i="33" s="1"/>
  <c r="G18" i="33"/>
  <c r="J18" i="33" s="1"/>
  <c r="F18" i="33"/>
  <c r="I18" i="33" s="1"/>
  <c r="H17" i="33"/>
  <c r="K17" i="33" s="1"/>
  <c r="L17" i="33" s="1"/>
  <c r="G17" i="33"/>
  <c r="J17" i="33" s="1"/>
  <c r="F17" i="33"/>
  <c r="I17" i="33" s="1"/>
  <c r="H16" i="33"/>
  <c r="K16" i="33" s="1"/>
  <c r="L16" i="33" s="1"/>
  <c r="G16" i="33"/>
  <c r="J16" i="33" s="1"/>
  <c r="F16" i="33"/>
  <c r="I16" i="33" s="1"/>
  <c r="H15" i="33"/>
  <c r="K15" i="33" s="1"/>
  <c r="L15" i="33" s="1"/>
  <c r="F15" i="33"/>
  <c r="W14" i="33"/>
  <c r="W13" i="33"/>
  <c r="W12" i="33"/>
  <c r="W11" i="33"/>
  <c r="W10" i="33"/>
  <c r="W9" i="33"/>
  <c r="W8" i="33"/>
  <c r="W7" i="33"/>
  <c r="W6" i="33"/>
  <c r="W5" i="33"/>
  <c r="W4" i="33"/>
  <c r="W3" i="33"/>
  <c r="O1" i="33" a="1"/>
  <c r="O1" i="33" s="1"/>
  <c r="O16" i="33" s="1"/>
  <c r="H47" i="32"/>
  <c r="K47" i="32" s="1"/>
  <c r="L47" i="32" s="1"/>
  <c r="G47" i="32"/>
  <c r="J47" i="32" s="1"/>
  <c r="F47" i="32"/>
  <c r="I47" i="32" s="1"/>
  <c r="H46" i="32"/>
  <c r="K46" i="32" s="1"/>
  <c r="L46" i="32" s="1"/>
  <c r="F46" i="32"/>
  <c r="H45" i="32"/>
  <c r="K45" i="32" s="1"/>
  <c r="L45" i="32" s="1"/>
  <c r="G45" i="32"/>
  <c r="J45" i="32" s="1"/>
  <c r="F45" i="32"/>
  <c r="I45" i="32" s="1"/>
  <c r="H44" i="32"/>
  <c r="K44" i="32" s="1"/>
  <c r="L44" i="32" s="1"/>
  <c r="G44" i="32"/>
  <c r="J44" i="32" s="1"/>
  <c r="F44" i="32"/>
  <c r="I44" i="32" s="1"/>
  <c r="H43" i="32"/>
  <c r="K43" i="32" s="1"/>
  <c r="L43" i="32" s="1"/>
  <c r="G43" i="32"/>
  <c r="J43" i="32" s="1"/>
  <c r="F43" i="32"/>
  <c r="I43" i="32" s="1"/>
  <c r="H42" i="32"/>
  <c r="K42" i="32" s="1"/>
  <c r="L42" i="32" s="1"/>
  <c r="G42" i="32"/>
  <c r="J42" i="32" s="1"/>
  <c r="F42" i="32"/>
  <c r="I42" i="32" s="1"/>
  <c r="H41" i="32"/>
  <c r="K41" i="32" s="1"/>
  <c r="L41" i="32" s="1"/>
  <c r="G41" i="32"/>
  <c r="J41" i="32" s="1"/>
  <c r="F41" i="32"/>
  <c r="I41" i="32" s="1"/>
  <c r="H40" i="32"/>
  <c r="K40" i="32" s="1"/>
  <c r="L40" i="32" s="1"/>
  <c r="G40" i="32"/>
  <c r="J40" i="32" s="1"/>
  <c r="F40" i="32"/>
  <c r="I40" i="32" s="1"/>
  <c r="H39" i="32"/>
  <c r="K39" i="32" s="1"/>
  <c r="L39" i="32" s="1"/>
  <c r="G39" i="32"/>
  <c r="J39" i="32" s="1"/>
  <c r="F39" i="32"/>
  <c r="I39" i="32" s="1"/>
  <c r="H38" i="32"/>
  <c r="K38" i="32" s="1"/>
  <c r="L38" i="32" s="1"/>
  <c r="G38" i="32"/>
  <c r="J38" i="32" s="1"/>
  <c r="F38" i="32"/>
  <c r="I38" i="32" s="1"/>
  <c r="H37" i="32"/>
  <c r="K37" i="32" s="1"/>
  <c r="L37" i="32" s="1"/>
  <c r="G37" i="32"/>
  <c r="J37" i="32" s="1"/>
  <c r="F37" i="32"/>
  <c r="I37" i="32" s="1"/>
  <c r="H36" i="32"/>
  <c r="K36" i="32" s="1"/>
  <c r="L36" i="32" s="1"/>
  <c r="G36" i="32"/>
  <c r="J36" i="32" s="1"/>
  <c r="F36" i="32"/>
  <c r="I36" i="32" s="1"/>
  <c r="H35" i="32"/>
  <c r="K35" i="32" s="1"/>
  <c r="L35" i="32" s="1"/>
  <c r="G35" i="32"/>
  <c r="J35" i="32" s="1"/>
  <c r="F35" i="32"/>
  <c r="I35" i="32" s="1"/>
  <c r="H34" i="32"/>
  <c r="K34" i="32" s="1"/>
  <c r="L34" i="32" s="1"/>
  <c r="G34" i="32"/>
  <c r="J34" i="32" s="1"/>
  <c r="F34" i="32"/>
  <c r="I34" i="32" s="1"/>
  <c r="H33" i="32"/>
  <c r="K33" i="32" s="1"/>
  <c r="L33" i="32" s="1"/>
  <c r="G33" i="32"/>
  <c r="J33" i="32" s="1"/>
  <c r="F33" i="32"/>
  <c r="I33" i="32" s="1"/>
  <c r="H32" i="32"/>
  <c r="K32" i="32" s="1"/>
  <c r="L32" i="32" s="1"/>
  <c r="G32" i="32"/>
  <c r="J32" i="32" s="1"/>
  <c r="F32" i="32"/>
  <c r="I32" i="32" s="1"/>
  <c r="H31" i="32"/>
  <c r="K31" i="32" s="1"/>
  <c r="L31" i="32" s="1"/>
  <c r="G31" i="32"/>
  <c r="J31" i="32" s="1"/>
  <c r="F31" i="32"/>
  <c r="I31" i="32" s="1"/>
  <c r="H30" i="32"/>
  <c r="K30" i="32" s="1"/>
  <c r="L30" i="32" s="1"/>
  <c r="G30" i="32"/>
  <c r="J30" i="32" s="1"/>
  <c r="F30" i="32"/>
  <c r="I30" i="32" s="1"/>
  <c r="H29" i="32"/>
  <c r="K29" i="32" s="1"/>
  <c r="L29" i="32" s="1"/>
  <c r="G29" i="32"/>
  <c r="J29" i="32" s="1"/>
  <c r="F29" i="32"/>
  <c r="I29" i="32" s="1"/>
  <c r="H28" i="32"/>
  <c r="K28" i="32" s="1"/>
  <c r="L28" i="32" s="1"/>
  <c r="G28" i="32"/>
  <c r="J28" i="32" s="1"/>
  <c r="F28" i="32"/>
  <c r="I28" i="32" s="1"/>
  <c r="H27" i="32"/>
  <c r="K27" i="32" s="1"/>
  <c r="L27" i="32" s="1"/>
  <c r="G27" i="32"/>
  <c r="J27" i="32" s="1"/>
  <c r="F27" i="32"/>
  <c r="I27" i="32" s="1"/>
  <c r="H26" i="32"/>
  <c r="K26" i="32" s="1"/>
  <c r="L26" i="32" s="1"/>
  <c r="G26" i="32"/>
  <c r="J26" i="32" s="1"/>
  <c r="F26" i="32"/>
  <c r="I26" i="32" s="1"/>
  <c r="H25" i="32"/>
  <c r="K25" i="32" s="1"/>
  <c r="L25" i="32" s="1"/>
  <c r="G25" i="32"/>
  <c r="J25" i="32" s="1"/>
  <c r="F25" i="32"/>
  <c r="I25" i="32" s="1"/>
  <c r="H24" i="32"/>
  <c r="K24" i="32" s="1"/>
  <c r="L24" i="32" s="1"/>
  <c r="G24" i="32"/>
  <c r="J24" i="32" s="1"/>
  <c r="F24" i="32"/>
  <c r="I24" i="32" s="1"/>
  <c r="H23" i="32"/>
  <c r="K23" i="32" s="1"/>
  <c r="L23" i="32" s="1"/>
  <c r="G23" i="32"/>
  <c r="J23" i="32" s="1"/>
  <c r="F23" i="32"/>
  <c r="I23" i="32" s="1"/>
  <c r="H22" i="32"/>
  <c r="K22" i="32" s="1"/>
  <c r="L22" i="32" s="1"/>
  <c r="G22" i="32"/>
  <c r="J22" i="32" s="1"/>
  <c r="F22" i="32"/>
  <c r="I22" i="32" s="1"/>
  <c r="H21" i="32"/>
  <c r="K21" i="32" s="1"/>
  <c r="L21" i="32" s="1"/>
  <c r="G21" i="32"/>
  <c r="J21" i="32" s="1"/>
  <c r="F21" i="32"/>
  <c r="I21" i="32" s="1"/>
  <c r="H20" i="32"/>
  <c r="K20" i="32" s="1"/>
  <c r="L20" i="32" s="1"/>
  <c r="G20" i="32"/>
  <c r="J20" i="32" s="1"/>
  <c r="F20" i="32"/>
  <c r="I20" i="32" s="1"/>
  <c r="H19" i="32"/>
  <c r="K19" i="32" s="1"/>
  <c r="L19" i="32" s="1"/>
  <c r="G19" i="32"/>
  <c r="J19" i="32" s="1"/>
  <c r="F19" i="32"/>
  <c r="I19" i="32" s="1"/>
  <c r="H18" i="32"/>
  <c r="K18" i="32" s="1"/>
  <c r="L18" i="32" s="1"/>
  <c r="G18" i="32"/>
  <c r="J18" i="32" s="1"/>
  <c r="F18" i="32"/>
  <c r="I18" i="32" s="1"/>
  <c r="H17" i="32"/>
  <c r="K17" i="32" s="1"/>
  <c r="L17" i="32" s="1"/>
  <c r="G17" i="32"/>
  <c r="J17" i="32" s="1"/>
  <c r="F17" i="32"/>
  <c r="I17" i="32" s="1"/>
  <c r="H16" i="32"/>
  <c r="K16" i="32" s="1"/>
  <c r="L16" i="32" s="1"/>
  <c r="F16" i="32"/>
  <c r="H15" i="32"/>
  <c r="K15" i="32" s="1"/>
  <c r="L15" i="32" s="1"/>
  <c r="F15" i="32"/>
  <c r="I15" i="32" s="1"/>
  <c r="H14" i="32"/>
  <c r="K14" i="32" s="1"/>
  <c r="L14" i="32" s="1"/>
  <c r="G14" i="32"/>
  <c r="J14" i="32" s="1"/>
  <c r="F14" i="32"/>
  <c r="I14" i="32" s="1"/>
  <c r="W13" i="32"/>
  <c r="W12" i="32"/>
  <c r="W11" i="32"/>
  <c r="W10" i="32"/>
  <c r="W9" i="32"/>
  <c r="W8" i="32"/>
  <c r="W7" i="32"/>
  <c r="W6" i="32"/>
  <c r="W5" i="32"/>
  <c r="W4" i="32"/>
  <c r="W3" i="32"/>
  <c r="O1" i="32" a="1"/>
  <c r="O1" i="32" s="1"/>
  <c r="H47" i="31"/>
  <c r="K47" i="31" s="1"/>
  <c r="L47" i="31" s="1"/>
  <c r="G47" i="31"/>
  <c r="J47" i="31" s="1"/>
  <c r="F47" i="31"/>
  <c r="I47" i="31" s="1"/>
  <c r="H46" i="31"/>
  <c r="K46" i="31" s="1"/>
  <c r="L46" i="31" s="1"/>
  <c r="G46" i="31"/>
  <c r="J46" i="31" s="1"/>
  <c r="F46" i="31"/>
  <c r="I46" i="31" s="1"/>
  <c r="H45" i="31"/>
  <c r="K45" i="31" s="1"/>
  <c r="L45" i="31" s="1"/>
  <c r="F45" i="31"/>
  <c r="I45" i="31" s="1"/>
  <c r="H44" i="31"/>
  <c r="K44" i="31" s="1"/>
  <c r="L44" i="31" s="1"/>
  <c r="G44" i="31"/>
  <c r="J44" i="31" s="1"/>
  <c r="F44" i="31"/>
  <c r="I44" i="31" s="1"/>
  <c r="H43" i="31"/>
  <c r="K43" i="31" s="1"/>
  <c r="L43" i="31" s="1"/>
  <c r="G43" i="31"/>
  <c r="J43" i="31" s="1"/>
  <c r="F43" i="31"/>
  <c r="I43" i="31" s="1"/>
  <c r="I42" i="31"/>
  <c r="H42" i="31"/>
  <c r="K42" i="31" s="1"/>
  <c r="L42" i="31" s="1"/>
  <c r="G42" i="31"/>
  <c r="J42" i="31" s="1"/>
  <c r="F42" i="31"/>
  <c r="H41" i="31"/>
  <c r="K41" i="31" s="1"/>
  <c r="L41" i="31" s="1"/>
  <c r="G41" i="31"/>
  <c r="J41" i="31" s="1"/>
  <c r="F41" i="31"/>
  <c r="I41" i="31" s="1"/>
  <c r="H40" i="31"/>
  <c r="K40" i="31" s="1"/>
  <c r="L40" i="31" s="1"/>
  <c r="G40" i="31"/>
  <c r="J40" i="31" s="1"/>
  <c r="F40" i="31"/>
  <c r="I40" i="31" s="1"/>
  <c r="H39" i="31"/>
  <c r="K39" i="31" s="1"/>
  <c r="L39" i="31" s="1"/>
  <c r="F39" i="31"/>
  <c r="I39" i="31" s="1"/>
  <c r="H38" i="31"/>
  <c r="K38" i="31" s="1"/>
  <c r="L38" i="31" s="1"/>
  <c r="G38" i="31"/>
  <c r="J38" i="31" s="1"/>
  <c r="F38" i="31"/>
  <c r="I38" i="31" s="1"/>
  <c r="H37" i="31"/>
  <c r="K37" i="31" s="1"/>
  <c r="L37" i="31" s="1"/>
  <c r="F37" i="31"/>
  <c r="H36" i="31"/>
  <c r="K36" i="31" s="1"/>
  <c r="L36" i="31" s="1"/>
  <c r="G36" i="31"/>
  <c r="J36" i="31" s="1"/>
  <c r="F36" i="31"/>
  <c r="H35" i="31"/>
  <c r="K35" i="31" s="1"/>
  <c r="L35" i="31" s="1"/>
  <c r="G35" i="31"/>
  <c r="J35" i="31" s="1"/>
  <c r="F35" i="31"/>
  <c r="H34" i="31"/>
  <c r="K34" i="31" s="1"/>
  <c r="L34" i="31" s="1"/>
  <c r="G34" i="31"/>
  <c r="J34" i="31" s="1"/>
  <c r="F34" i="31"/>
  <c r="H33" i="31"/>
  <c r="K33" i="31" s="1"/>
  <c r="L33" i="31" s="1"/>
  <c r="G33" i="31"/>
  <c r="J33" i="31" s="1"/>
  <c r="F33" i="31"/>
  <c r="H32" i="31"/>
  <c r="K32" i="31" s="1"/>
  <c r="L32" i="31" s="1"/>
  <c r="G32" i="31"/>
  <c r="J32" i="31" s="1"/>
  <c r="F32" i="31"/>
  <c r="H31" i="31"/>
  <c r="K31" i="31" s="1"/>
  <c r="L31" i="31" s="1"/>
  <c r="G31" i="31"/>
  <c r="J31" i="31" s="1"/>
  <c r="F31" i="31"/>
  <c r="H30" i="31"/>
  <c r="K30" i="31" s="1"/>
  <c r="L30" i="31" s="1"/>
  <c r="F30" i="31"/>
  <c r="G30" i="31" s="1"/>
  <c r="J30" i="31" s="1"/>
  <c r="H29" i="31"/>
  <c r="K29" i="31" s="1"/>
  <c r="L29" i="31" s="1"/>
  <c r="F29" i="31"/>
  <c r="G29" i="31" s="1"/>
  <c r="J29" i="31" s="1"/>
  <c r="H28" i="31"/>
  <c r="K28" i="31" s="1"/>
  <c r="L28" i="31" s="1"/>
  <c r="F28" i="31"/>
  <c r="G28" i="31" s="1"/>
  <c r="J28" i="31" s="1"/>
  <c r="H27" i="31"/>
  <c r="K27" i="31" s="1"/>
  <c r="L27" i="31" s="1"/>
  <c r="G27" i="31"/>
  <c r="J27" i="31" s="1"/>
  <c r="F27" i="31"/>
  <c r="H26" i="31"/>
  <c r="K26" i="31" s="1"/>
  <c r="L26" i="31" s="1"/>
  <c r="F26" i="31"/>
  <c r="G26" i="31" s="1"/>
  <c r="J26" i="31" s="1"/>
  <c r="H25" i="31"/>
  <c r="K25" i="31" s="1"/>
  <c r="L25" i="31" s="1"/>
  <c r="G25" i="31"/>
  <c r="J25" i="31" s="1"/>
  <c r="F25" i="31"/>
  <c r="H23" i="31"/>
  <c r="K23" i="31" s="1"/>
  <c r="L23" i="31" s="1"/>
  <c r="F23" i="31"/>
  <c r="G23" i="31" s="1"/>
  <c r="J23" i="31" s="1"/>
  <c r="H22" i="31"/>
  <c r="K22" i="31" s="1"/>
  <c r="L22" i="31" s="1"/>
  <c r="G22" i="31"/>
  <c r="J22" i="31" s="1"/>
  <c r="F22" i="31"/>
  <c r="H21" i="31"/>
  <c r="K21" i="31" s="1"/>
  <c r="L21" i="31" s="1"/>
  <c r="G21" i="31"/>
  <c r="J21" i="31" s="1"/>
  <c r="F21" i="31"/>
  <c r="H20" i="31"/>
  <c r="K20" i="31" s="1"/>
  <c r="L20" i="31" s="1"/>
  <c r="F20" i="31"/>
  <c r="G20" i="31" s="1"/>
  <c r="J20" i="31" s="1"/>
  <c r="H19" i="31"/>
  <c r="K19" i="31" s="1"/>
  <c r="L19" i="31" s="1"/>
  <c r="F19" i="31"/>
  <c r="G19" i="31" s="1"/>
  <c r="J19" i="31" s="1"/>
  <c r="H17" i="31"/>
  <c r="K17" i="31" s="1"/>
  <c r="L17" i="31" s="1"/>
  <c r="G17" i="31"/>
  <c r="J17" i="31" s="1"/>
  <c r="F17" i="31"/>
  <c r="J16" i="31"/>
  <c r="K16" i="31" s="1"/>
  <c r="L16" i="31" s="1"/>
  <c r="K14" i="31"/>
  <c r="L14" i="31" s="1"/>
  <c r="J14" i="31"/>
  <c r="K13" i="31"/>
  <c r="L13" i="31" s="1"/>
  <c r="J13" i="31"/>
  <c r="K11" i="31"/>
  <c r="L11" i="31" s="1"/>
  <c r="J11" i="31"/>
  <c r="J10" i="31"/>
  <c r="K10" i="31" s="1"/>
  <c r="L10" i="31" s="1"/>
  <c r="J9" i="31"/>
  <c r="K9" i="31" s="1"/>
  <c r="L9" i="31" s="1"/>
  <c r="K8" i="31"/>
  <c r="L8" i="31" s="1"/>
  <c r="J8" i="31"/>
  <c r="K7" i="31"/>
  <c r="L7" i="31" s="1"/>
  <c r="J7" i="31"/>
  <c r="J6" i="31"/>
  <c r="K6" i="31" s="1"/>
  <c r="L6" i="31" s="1"/>
  <c r="K5" i="31"/>
  <c r="L5" i="31" s="1"/>
  <c r="J5" i="31"/>
  <c r="J4" i="31"/>
  <c r="K4" i="31" s="1"/>
  <c r="L4" i="31" s="1"/>
  <c r="K3" i="31"/>
  <c r="L3" i="31" s="1"/>
  <c r="J3" i="31"/>
  <c r="N2" i="31" a="1"/>
  <c r="K2" i="31"/>
  <c r="J2" i="31"/>
  <c r="O1" i="31" a="1"/>
  <c r="O1" i="31" s="1"/>
  <c r="F18" i="29"/>
  <c r="G18" i="29" s="1"/>
  <c r="J18" i="29" s="1"/>
  <c r="H18" i="29"/>
  <c r="K18" i="29" s="1"/>
  <c r="L18" i="29" s="1"/>
  <c r="F19" i="29"/>
  <c r="H19" i="29"/>
  <c r="K19" i="29" s="1"/>
  <c r="L19" i="29" s="1"/>
  <c r="F20" i="29"/>
  <c r="I20" i="29" s="1"/>
  <c r="G20" i="29"/>
  <c r="J20" i="29" s="1"/>
  <c r="H20" i="29"/>
  <c r="K20" i="29" s="1"/>
  <c r="L20" i="29" s="1"/>
  <c r="I2" i="29"/>
  <c r="I3" i="29"/>
  <c r="F5" i="29"/>
  <c r="F6" i="29"/>
  <c r="F7" i="29"/>
  <c r="G7" i="29" s="1"/>
  <c r="J7" i="29" s="1"/>
  <c r="F8" i="29"/>
  <c r="F9" i="29"/>
  <c r="F10" i="29"/>
  <c r="F11" i="29"/>
  <c r="G11" i="29" s="1"/>
  <c r="J11" i="29" s="1"/>
  <c r="F12" i="29"/>
  <c r="F13" i="29"/>
  <c r="G13" i="29" s="1"/>
  <c r="J13" i="29" s="1"/>
  <c r="F14" i="29"/>
  <c r="G14" i="29" s="1"/>
  <c r="J14" i="29" s="1"/>
  <c r="F15" i="29"/>
  <c r="F16" i="29"/>
  <c r="G16" i="29" s="1"/>
  <c r="J16" i="29" s="1"/>
  <c r="F17" i="29"/>
  <c r="I17" i="29" s="1"/>
  <c r="F21" i="29"/>
  <c r="I21" i="29" s="1"/>
  <c r="F22" i="29"/>
  <c r="I22" i="29" s="1"/>
  <c r="F23" i="29"/>
  <c r="I23" i="29" s="1"/>
  <c r="F24" i="29"/>
  <c r="I24" i="29" s="1"/>
  <c r="F25" i="29"/>
  <c r="I25" i="29" s="1"/>
  <c r="F26" i="29"/>
  <c r="I26" i="29" s="1"/>
  <c r="F27" i="29"/>
  <c r="I27" i="29" s="1"/>
  <c r="F28" i="29"/>
  <c r="I28" i="29" s="1"/>
  <c r="F29" i="29"/>
  <c r="I29" i="29" s="1"/>
  <c r="F30" i="29"/>
  <c r="I30" i="29" s="1"/>
  <c r="F31" i="29"/>
  <c r="I31" i="29" s="1"/>
  <c r="F32" i="29"/>
  <c r="F33" i="29"/>
  <c r="I33" i="29" s="1"/>
  <c r="F34" i="29"/>
  <c r="F35" i="29"/>
  <c r="I35" i="29" s="1"/>
  <c r="F36" i="29"/>
  <c r="F37" i="29"/>
  <c r="I37" i="29" s="1"/>
  <c r="F38" i="29"/>
  <c r="G38" i="29" s="1"/>
  <c r="J38" i="29" s="1"/>
  <c r="F39" i="29"/>
  <c r="I39" i="29" s="1"/>
  <c r="F40" i="29"/>
  <c r="I40" i="29" s="1"/>
  <c r="F41" i="29"/>
  <c r="I41" i="29" s="1"/>
  <c r="F42" i="29"/>
  <c r="I42" i="29" s="1"/>
  <c r="F43" i="29"/>
  <c r="G43" i="29" s="1"/>
  <c r="J43" i="29" s="1"/>
  <c r="F44" i="29"/>
  <c r="F45" i="29"/>
  <c r="I45" i="29" s="1"/>
  <c r="F46" i="29"/>
  <c r="F47" i="29"/>
  <c r="H47" i="29"/>
  <c r="K47" i="29" s="1"/>
  <c r="L47" i="29" s="1"/>
  <c r="H46" i="29"/>
  <c r="K46" i="29" s="1"/>
  <c r="L46" i="29" s="1"/>
  <c r="H45" i="29"/>
  <c r="K45" i="29" s="1"/>
  <c r="L45" i="29" s="1"/>
  <c r="G45" i="29"/>
  <c r="J45" i="29" s="1"/>
  <c r="H44" i="29"/>
  <c r="K44" i="29" s="1"/>
  <c r="L44" i="29" s="1"/>
  <c r="I43" i="29"/>
  <c r="H43" i="29"/>
  <c r="K43" i="29" s="1"/>
  <c r="L43" i="29" s="1"/>
  <c r="H42" i="29"/>
  <c r="K42" i="29" s="1"/>
  <c r="L42" i="29" s="1"/>
  <c r="G42" i="29"/>
  <c r="J42" i="29" s="1"/>
  <c r="H41" i="29"/>
  <c r="K41" i="29" s="1"/>
  <c r="L41" i="29" s="1"/>
  <c r="G41" i="29"/>
  <c r="J41" i="29" s="1"/>
  <c r="H40" i="29"/>
  <c r="K40" i="29" s="1"/>
  <c r="L40" i="29" s="1"/>
  <c r="H39" i="29"/>
  <c r="K39" i="29" s="1"/>
  <c r="L39" i="29" s="1"/>
  <c r="G39" i="29"/>
  <c r="J39" i="29" s="1"/>
  <c r="H38" i="29"/>
  <c r="K38" i="29" s="1"/>
  <c r="L38" i="29" s="1"/>
  <c r="I38" i="29"/>
  <c r="H37" i="29"/>
  <c r="K37" i="29" s="1"/>
  <c r="L37" i="29" s="1"/>
  <c r="H36" i="29"/>
  <c r="K36" i="29" s="1"/>
  <c r="L36" i="29" s="1"/>
  <c r="H35" i="29"/>
  <c r="K35" i="29" s="1"/>
  <c r="L35" i="29" s="1"/>
  <c r="G35" i="29"/>
  <c r="J35" i="29" s="1"/>
  <c r="H34" i="29"/>
  <c r="K34" i="29" s="1"/>
  <c r="L34" i="29" s="1"/>
  <c r="H33" i="29"/>
  <c r="K33" i="29" s="1"/>
  <c r="L33" i="29" s="1"/>
  <c r="G33" i="29"/>
  <c r="J33" i="29" s="1"/>
  <c r="H32" i="29"/>
  <c r="K32" i="29" s="1"/>
  <c r="L32" i="29" s="1"/>
  <c r="H31" i="29"/>
  <c r="K31" i="29" s="1"/>
  <c r="L31" i="29" s="1"/>
  <c r="G31" i="29"/>
  <c r="J31" i="29" s="1"/>
  <c r="H30" i="29"/>
  <c r="K30" i="29" s="1"/>
  <c r="L30" i="29" s="1"/>
  <c r="H29" i="29"/>
  <c r="K29" i="29" s="1"/>
  <c r="L29" i="29" s="1"/>
  <c r="G29" i="29"/>
  <c r="J29" i="29" s="1"/>
  <c r="H28" i="29"/>
  <c r="K28" i="29" s="1"/>
  <c r="L28" i="29" s="1"/>
  <c r="G28" i="29"/>
  <c r="J28" i="29" s="1"/>
  <c r="H27" i="29"/>
  <c r="K27" i="29" s="1"/>
  <c r="L27" i="29" s="1"/>
  <c r="H26" i="29"/>
  <c r="K26" i="29" s="1"/>
  <c r="L26" i="29" s="1"/>
  <c r="H25" i="29"/>
  <c r="K25" i="29" s="1"/>
  <c r="L25" i="29" s="1"/>
  <c r="G25" i="29"/>
  <c r="J25" i="29" s="1"/>
  <c r="H24" i="29"/>
  <c r="K24" i="29" s="1"/>
  <c r="L24" i="29" s="1"/>
  <c r="G24" i="29"/>
  <c r="J24" i="29" s="1"/>
  <c r="H23" i="29"/>
  <c r="K23" i="29" s="1"/>
  <c r="L23" i="29" s="1"/>
  <c r="G23" i="29"/>
  <c r="J23" i="29" s="1"/>
  <c r="H22" i="29"/>
  <c r="K22" i="29" s="1"/>
  <c r="L22" i="29" s="1"/>
  <c r="G22" i="29"/>
  <c r="J22" i="29" s="1"/>
  <c r="H21" i="29"/>
  <c r="K21" i="29" s="1"/>
  <c r="L21" i="29" s="1"/>
  <c r="G21" i="29"/>
  <c r="J21" i="29" s="1"/>
  <c r="H17" i="29"/>
  <c r="K17" i="29" s="1"/>
  <c r="L17" i="29" s="1"/>
  <c r="G17" i="29"/>
  <c r="J17" i="29" s="1"/>
  <c r="H16" i="29"/>
  <c r="K16" i="29" s="1"/>
  <c r="L16" i="29" s="1"/>
  <c r="H15" i="29"/>
  <c r="K15" i="29" s="1"/>
  <c r="L15" i="29" s="1"/>
  <c r="G15" i="29"/>
  <c r="J15" i="29" s="1"/>
  <c r="H14" i="29"/>
  <c r="K14" i="29" s="1"/>
  <c r="L14" i="29" s="1"/>
  <c r="H13" i="29"/>
  <c r="K13" i="29" s="1"/>
  <c r="L13" i="29" s="1"/>
  <c r="H12" i="29"/>
  <c r="K12" i="29" s="1"/>
  <c r="L12" i="29" s="1"/>
  <c r="G12" i="29"/>
  <c r="J12" i="29" s="1"/>
  <c r="H11" i="29"/>
  <c r="K11" i="29" s="1"/>
  <c r="L11" i="29" s="1"/>
  <c r="H10" i="29"/>
  <c r="K10" i="29" s="1"/>
  <c r="L10" i="29" s="1"/>
  <c r="G10" i="29"/>
  <c r="J10" i="29" s="1"/>
  <c r="H9" i="29"/>
  <c r="K9" i="29" s="1"/>
  <c r="L9" i="29" s="1"/>
  <c r="G9" i="29"/>
  <c r="J9" i="29" s="1"/>
  <c r="H8" i="29"/>
  <c r="K8" i="29" s="1"/>
  <c r="L8" i="29" s="1"/>
  <c r="G8" i="29"/>
  <c r="J8" i="29" s="1"/>
  <c r="H7" i="29"/>
  <c r="K7" i="29" s="1"/>
  <c r="L7" i="29" s="1"/>
  <c r="H6" i="29"/>
  <c r="K6" i="29" s="1"/>
  <c r="L6" i="29" s="1"/>
  <c r="G6" i="29"/>
  <c r="J6" i="29" s="1"/>
  <c r="H5" i="29"/>
  <c r="K5" i="29" s="1"/>
  <c r="L5" i="29" s="1"/>
  <c r="G5" i="29"/>
  <c r="J5" i="29" s="1"/>
  <c r="H4" i="29"/>
  <c r="K4" i="29" s="1"/>
  <c r="L4" i="29" s="1"/>
  <c r="G4" i="29"/>
  <c r="I4" i="29"/>
  <c r="H3" i="29"/>
  <c r="K3" i="29" s="1"/>
  <c r="L3" i="29" s="1"/>
  <c r="G3" i="29"/>
  <c r="N2" i="29" a="1"/>
  <c r="N2" i="29" s="1"/>
  <c r="H2" i="29"/>
  <c r="K2" i="29" s="1"/>
  <c r="O1" i="29" a="1"/>
  <c r="O1" i="29" s="1"/>
  <c r="F40" i="26"/>
  <c r="A26" i="26"/>
  <c r="A27" i="26" s="1"/>
  <c r="A25" i="26"/>
  <c r="D22" i="26"/>
  <c r="D23" i="26"/>
  <c r="D24" i="26"/>
  <c r="D26" i="26"/>
  <c r="D42" i="26"/>
  <c r="D43" i="26"/>
  <c r="D44" i="26"/>
  <c r="G44" i="26" s="1"/>
  <c r="J44" i="26" s="1"/>
  <c r="D45" i="26"/>
  <c r="D46" i="26"/>
  <c r="D47" i="26"/>
  <c r="A9" i="26"/>
  <c r="D9" i="26" s="1"/>
  <c r="H47" i="26"/>
  <c r="K47" i="26" s="1"/>
  <c r="L47" i="26" s="1"/>
  <c r="F47" i="26"/>
  <c r="H46" i="26"/>
  <c r="K46" i="26" s="1"/>
  <c r="L46" i="26" s="1"/>
  <c r="G46" i="26"/>
  <c r="J46" i="26" s="1"/>
  <c r="F46" i="26"/>
  <c r="I46" i="26" s="1"/>
  <c r="H45" i="26"/>
  <c r="K45" i="26" s="1"/>
  <c r="L45" i="26" s="1"/>
  <c r="F45" i="26"/>
  <c r="I45" i="26" s="1"/>
  <c r="H44" i="26"/>
  <c r="K44" i="26" s="1"/>
  <c r="L44" i="26" s="1"/>
  <c r="F44" i="26"/>
  <c r="H43" i="26"/>
  <c r="K43" i="26" s="1"/>
  <c r="L43" i="26" s="1"/>
  <c r="F43" i="26"/>
  <c r="I43" i="26" s="1"/>
  <c r="H42" i="26"/>
  <c r="K42" i="26" s="1"/>
  <c r="L42" i="26" s="1"/>
  <c r="F42" i="26"/>
  <c r="H41" i="26"/>
  <c r="F41" i="26"/>
  <c r="H40" i="26"/>
  <c r="H39" i="26"/>
  <c r="H38" i="26"/>
  <c r="F38" i="26"/>
  <c r="H37" i="26"/>
  <c r="H36" i="26"/>
  <c r="F36" i="26"/>
  <c r="H35" i="26"/>
  <c r="F35" i="26"/>
  <c r="H34" i="26"/>
  <c r="H33" i="26"/>
  <c r="F33" i="26"/>
  <c r="H32" i="26"/>
  <c r="F32" i="26"/>
  <c r="F31" i="26"/>
  <c r="H29" i="26"/>
  <c r="F29" i="26"/>
  <c r="H28" i="26"/>
  <c r="F28" i="26"/>
  <c r="F27" i="26"/>
  <c r="F25" i="26"/>
  <c r="H24" i="26"/>
  <c r="F24" i="26"/>
  <c r="F23" i="26"/>
  <c r="H22" i="26"/>
  <c r="H21" i="26"/>
  <c r="F21" i="26"/>
  <c r="F20" i="26"/>
  <c r="F19" i="26"/>
  <c r="H18" i="26"/>
  <c r="H17" i="26"/>
  <c r="F17" i="26"/>
  <c r="F16" i="26"/>
  <c r="H15" i="26"/>
  <c r="F15" i="26"/>
  <c r="H14" i="26"/>
  <c r="F13" i="26"/>
  <c r="F12" i="26"/>
  <c r="H11" i="26"/>
  <c r="F11" i="26"/>
  <c r="H10" i="26"/>
  <c r="H9" i="26"/>
  <c r="F9" i="26"/>
  <c r="H8" i="26"/>
  <c r="F8" i="26"/>
  <c r="F7" i="26"/>
  <c r="H6" i="26"/>
  <c r="F6" i="26"/>
  <c r="F5" i="26"/>
  <c r="F4" i="26"/>
  <c r="H3" i="26"/>
  <c r="F3" i="26"/>
  <c r="N2" i="26" a="1"/>
  <c r="F2" i="26"/>
  <c r="N2" i="25" a="1"/>
  <c r="O1" i="25" a="1"/>
  <c r="O1" i="25" s="1"/>
  <c r="H47" i="24"/>
  <c r="K47" i="24" s="1"/>
  <c r="L47" i="24" s="1"/>
  <c r="G47" i="24"/>
  <c r="J47" i="24" s="1"/>
  <c r="F47" i="24"/>
  <c r="I47" i="24" s="1"/>
  <c r="H46" i="24"/>
  <c r="K46" i="24" s="1"/>
  <c r="L46" i="24" s="1"/>
  <c r="G46" i="24"/>
  <c r="J46" i="24" s="1"/>
  <c r="F46" i="24"/>
  <c r="I46" i="24" s="1"/>
  <c r="H45" i="24"/>
  <c r="K45" i="24" s="1"/>
  <c r="L45" i="24" s="1"/>
  <c r="G45" i="24"/>
  <c r="J45" i="24" s="1"/>
  <c r="F45" i="24"/>
  <c r="I45" i="24" s="1"/>
  <c r="H44" i="24"/>
  <c r="F44" i="24"/>
  <c r="F42" i="24"/>
  <c r="H41" i="24"/>
  <c r="F41" i="24"/>
  <c r="F40" i="24"/>
  <c r="H39" i="24"/>
  <c r="H38" i="24"/>
  <c r="F38" i="24"/>
  <c r="H37" i="24"/>
  <c r="F37" i="24"/>
  <c r="F36" i="24"/>
  <c r="H34" i="24"/>
  <c r="F34" i="24"/>
  <c r="H33" i="24"/>
  <c r="F33" i="24"/>
  <c r="H32" i="24"/>
  <c r="H31" i="24"/>
  <c r="F31" i="24"/>
  <c r="H30" i="24"/>
  <c r="F30" i="24"/>
  <c r="H29" i="24"/>
  <c r="H28" i="24"/>
  <c r="F28" i="24"/>
  <c r="H26" i="24"/>
  <c r="F26" i="24"/>
  <c r="H25" i="24"/>
  <c r="F25" i="24"/>
  <c r="H23" i="24"/>
  <c r="F23" i="24"/>
  <c r="F22" i="24"/>
  <c r="H20" i="24"/>
  <c r="F20" i="24"/>
  <c r="H18" i="24"/>
  <c r="F18" i="24"/>
  <c r="H17" i="24"/>
  <c r="F16" i="24"/>
  <c r="F15" i="24"/>
  <c r="H14" i="24"/>
  <c r="H13" i="24"/>
  <c r="F13" i="24"/>
  <c r="H12" i="24"/>
  <c r="F12" i="24"/>
  <c r="H11" i="24"/>
  <c r="H10" i="24"/>
  <c r="F10" i="24"/>
  <c r="H8" i="24"/>
  <c r="F8" i="24"/>
  <c r="F7" i="24"/>
  <c r="H6" i="24"/>
  <c r="H5" i="24"/>
  <c r="F5" i="24"/>
  <c r="F4" i="24"/>
  <c r="H3" i="24"/>
  <c r="N2" i="24" a="1"/>
  <c r="F2" i="24"/>
  <c r="O1" i="24" a="1"/>
  <c r="O1" i="24" s="1"/>
  <c r="O24" i="24" s="1"/>
  <c r="N17" i="23" a="1"/>
  <c r="N17" i="23" s="1"/>
  <c r="I6" i="11"/>
  <c r="I7" i="11"/>
  <c r="I10" i="11"/>
  <c r="I12" i="11"/>
  <c r="F17" i="11"/>
  <c r="I17" i="11" s="1"/>
  <c r="F18" i="11"/>
  <c r="I18" i="11" s="1"/>
  <c r="F19" i="11"/>
  <c r="I19" i="11" s="1"/>
  <c r="F20" i="11"/>
  <c r="G20" i="11" s="1"/>
  <c r="J20" i="11" s="1"/>
  <c r="F21" i="11"/>
  <c r="I21" i="11" s="1"/>
  <c r="F22" i="11"/>
  <c r="F23" i="11"/>
  <c r="F24" i="11"/>
  <c r="I24" i="11" s="1"/>
  <c r="F25" i="11"/>
  <c r="G25" i="11" s="1"/>
  <c r="J25" i="11" s="1"/>
  <c r="F26" i="11"/>
  <c r="I26" i="11" s="1"/>
  <c r="F27" i="11"/>
  <c r="I27" i="11" s="1"/>
  <c r="F28" i="11"/>
  <c r="I28" i="11" s="1"/>
  <c r="F29" i="11"/>
  <c r="I29" i="11" s="1"/>
  <c r="F30" i="11"/>
  <c r="I30" i="11" s="1"/>
  <c r="F31" i="11"/>
  <c r="I31" i="11" s="1"/>
  <c r="F32" i="11"/>
  <c r="F33" i="11"/>
  <c r="F34" i="11"/>
  <c r="I34" i="11" s="1"/>
  <c r="F35" i="11"/>
  <c r="I35" i="11" s="1"/>
  <c r="F36" i="11"/>
  <c r="I36" i="11" s="1"/>
  <c r="F37" i="11"/>
  <c r="I37" i="11" s="1"/>
  <c r="F38" i="11"/>
  <c r="F39" i="11"/>
  <c r="I39" i="11" s="1"/>
  <c r="F40" i="11"/>
  <c r="I40" i="11" s="1"/>
  <c r="F41" i="11"/>
  <c r="I41" i="11" s="1"/>
  <c r="F42" i="11"/>
  <c r="G42" i="11" s="1"/>
  <c r="J42" i="11" s="1"/>
  <c r="F43" i="11"/>
  <c r="F44" i="11"/>
  <c r="I44" i="11" s="1"/>
  <c r="F45" i="11"/>
  <c r="I45" i="11" s="1"/>
  <c r="F46" i="11"/>
  <c r="F47" i="11"/>
  <c r="I47" i="11" s="1"/>
  <c r="H47" i="11"/>
  <c r="K47" i="11" s="1"/>
  <c r="L47" i="11" s="1"/>
  <c r="H46" i="11"/>
  <c r="K46" i="11" s="1"/>
  <c r="L46" i="11" s="1"/>
  <c r="H45" i="11"/>
  <c r="H44" i="11"/>
  <c r="H43" i="11"/>
  <c r="K43" i="11" s="1"/>
  <c r="L43" i="11" s="1"/>
  <c r="H42" i="11"/>
  <c r="K42" i="11" s="1"/>
  <c r="L42" i="11" s="1"/>
  <c r="H41" i="11"/>
  <c r="K41" i="11" s="1"/>
  <c r="L41" i="11" s="1"/>
  <c r="H40" i="11"/>
  <c r="H39" i="11"/>
  <c r="H38" i="11"/>
  <c r="K38" i="11" s="1"/>
  <c r="L38" i="11" s="1"/>
  <c r="H37" i="11"/>
  <c r="K37" i="11" s="1"/>
  <c r="L37" i="11" s="1"/>
  <c r="H36" i="11"/>
  <c r="K36" i="11" s="1"/>
  <c r="L36" i="11" s="1"/>
  <c r="H35" i="11"/>
  <c r="K35" i="11" s="1"/>
  <c r="L35" i="11" s="1"/>
  <c r="H34" i="11"/>
  <c r="H33" i="11"/>
  <c r="K33" i="11" s="1"/>
  <c r="L33" i="11" s="1"/>
  <c r="H32" i="11"/>
  <c r="K32" i="11" s="1"/>
  <c r="L32" i="11" s="1"/>
  <c r="H31" i="11"/>
  <c r="K31" i="11" s="1"/>
  <c r="L31" i="11" s="1"/>
  <c r="H30" i="11"/>
  <c r="H29" i="11"/>
  <c r="H28" i="11"/>
  <c r="K28" i="11" s="1"/>
  <c r="L28" i="11" s="1"/>
  <c r="H27" i="11"/>
  <c r="K27" i="11" s="1"/>
  <c r="L27" i="11" s="1"/>
  <c r="H26" i="11"/>
  <c r="K26" i="11" s="1"/>
  <c r="L26" i="11" s="1"/>
  <c r="H25" i="11"/>
  <c r="K25" i="11" s="1"/>
  <c r="L25" i="11" s="1"/>
  <c r="H24" i="11"/>
  <c r="H23" i="11"/>
  <c r="H22" i="11"/>
  <c r="K22" i="11" s="1"/>
  <c r="L22" i="11" s="1"/>
  <c r="H21" i="11"/>
  <c r="K21" i="11" s="1"/>
  <c r="L21" i="11" s="1"/>
  <c r="H20" i="11"/>
  <c r="H19" i="11"/>
  <c r="H18" i="11"/>
  <c r="K18" i="11" s="1"/>
  <c r="L18" i="11" s="1"/>
  <c r="H17" i="11"/>
  <c r="K17" i="11" s="1"/>
  <c r="L17" i="11" s="1"/>
  <c r="H8" i="11"/>
  <c r="K8" i="11" s="1"/>
  <c r="L8" i="11" s="1"/>
  <c r="H7" i="11"/>
  <c r="K7" i="11" s="1"/>
  <c r="L7" i="11" s="1"/>
  <c r="I8" i="11"/>
  <c r="I9" i="11"/>
  <c r="I11" i="11"/>
  <c r="I16" i="11"/>
  <c r="I38" i="11"/>
  <c r="I3" i="11"/>
  <c r="I5" i="11"/>
  <c r="I15" i="11"/>
  <c r="I23" i="11"/>
  <c r="I33" i="11"/>
  <c r="I46" i="11"/>
  <c r="G18" i="11"/>
  <c r="J18" i="11" s="1"/>
  <c r="G19" i="11"/>
  <c r="J19" i="11" s="1"/>
  <c r="G21" i="11"/>
  <c r="J21" i="11" s="1"/>
  <c r="G23" i="11"/>
  <c r="J23" i="11" s="1"/>
  <c r="G24" i="11"/>
  <c r="J24" i="11" s="1"/>
  <c r="G26" i="11"/>
  <c r="J26" i="11" s="1"/>
  <c r="G27" i="11"/>
  <c r="J27" i="11" s="1"/>
  <c r="G28" i="11"/>
  <c r="J28" i="11" s="1"/>
  <c r="G29" i="11"/>
  <c r="J29" i="11" s="1"/>
  <c r="G31" i="11"/>
  <c r="J31" i="11" s="1"/>
  <c r="G33" i="11"/>
  <c r="J33" i="11" s="1"/>
  <c r="G34" i="11"/>
  <c r="J34" i="11" s="1"/>
  <c r="G36" i="11"/>
  <c r="J36" i="11" s="1"/>
  <c r="G37" i="11"/>
  <c r="J37" i="11" s="1"/>
  <c r="G38" i="11"/>
  <c r="J38" i="11" s="1"/>
  <c r="G39" i="11"/>
  <c r="J39" i="11" s="1"/>
  <c r="G41" i="11"/>
  <c r="J41" i="11" s="1"/>
  <c r="G43" i="11"/>
  <c r="J43" i="11" s="1"/>
  <c r="G44" i="11"/>
  <c r="J44" i="11" s="1"/>
  <c r="G46" i="11"/>
  <c r="J46" i="11" s="1"/>
  <c r="G47" i="11"/>
  <c r="J47" i="11" s="1"/>
  <c r="I43" i="11"/>
  <c r="I14" i="11"/>
  <c r="I13" i="11"/>
  <c r="I4" i="11"/>
  <c r="I46" i="23"/>
  <c r="G46" i="23"/>
  <c r="J46" i="23" s="1"/>
  <c r="K46" i="23" s="1"/>
  <c r="L46" i="23" s="1"/>
  <c r="F47" i="23"/>
  <c r="I47" i="23" s="1"/>
  <c r="H47" i="23"/>
  <c r="G48" i="23"/>
  <c r="J48" i="23" s="1"/>
  <c r="H48" i="23"/>
  <c r="I48" i="23"/>
  <c r="F38" i="23"/>
  <c r="I38" i="23" s="1"/>
  <c r="H38" i="23"/>
  <c r="G37" i="23"/>
  <c r="J37" i="23" s="1"/>
  <c r="H37" i="23"/>
  <c r="I37" i="23"/>
  <c r="F44" i="23"/>
  <c r="I44" i="23" s="1"/>
  <c r="F39" i="23"/>
  <c r="G39" i="23" s="1"/>
  <c r="J39" i="23" s="1"/>
  <c r="H39" i="23"/>
  <c r="G45" i="23"/>
  <c r="J45" i="23" s="1"/>
  <c r="K45" i="23" s="1"/>
  <c r="L45" i="23" s="1"/>
  <c r="I45" i="23"/>
  <c r="F50" i="23"/>
  <c r="G50" i="23" s="1"/>
  <c r="J50" i="23" s="1"/>
  <c r="F26" i="23"/>
  <c r="F28" i="23"/>
  <c r="G28" i="23" s="1"/>
  <c r="J28" i="23" s="1"/>
  <c r="K28" i="23" s="1"/>
  <c r="L28" i="23" s="1"/>
  <c r="F29" i="23"/>
  <c r="G29" i="23" s="1"/>
  <c r="J29" i="23" s="1"/>
  <c r="G51" i="23"/>
  <c r="G26" i="23"/>
  <c r="J26" i="23" s="1"/>
  <c r="G27" i="23"/>
  <c r="H50" i="23"/>
  <c r="H26" i="23"/>
  <c r="H27" i="23"/>
  <c r="H29" i="23"/>
  <c r="I51" i="23"/>
  <c r="I26" i="23"/>
  <c r="I27" i="23"/>
  <c r="J51" i="23"/>
  <c r="K51" i="23" s="1"/>
  <c r="L51" i="23" s="1"/>
  <c r="J27" i="23"/>
  <c r="F31" i="23"/>
  <c r="G31" i="23" s="1"/>
  <c r="J31" i="23" s="1"/>
  <c r="F32" i="23"/>
  <c r="I32" i="23" s="1"/>
  <c r="F34" i="23"/>
  <c r="I34" i="23" s="1"/>
  <c r="F35" i="23"/>
  <c r="I35" i="23" s="1"/>
  <c r="G30" i="23"/>
  <c r="J30" i="23" s="1"/>
  <c r="G32" i="23"/>
  <c r="J32" i="23" s="1"/>
  <c r="G33" i="23"/>
  <c r="J33" i="23" s="1"/>
  <c r="G34" i="23"/>
  <c r="J34" i="23" s="1"/>
  <c r="H30" i="23"/>
  <c r="H31" i="23"/>
  <c r="H32" i="23"/>
  <c r="H33" i="23"/>
  <c r="K33" i="23" s="1"/>
  <c r="L33" i="23" s="1"/>
  <c r="H34" i="23"/>
  <c r="H35" i="23"/>
  <c r="I30" i="23"/>
  <c r="I33" i="23"/>
  <c r="H53" i="23"/>
  <c r="K53" i="23" s="1"/>
  <c r="L53" i="23" s="1"/>
  <c r="G53" i="23"/>
  <c r="J53" i="23" s="1"/>
  <c r="F53" i="23"/>
  <c r="I53" i="23" s="1"/>
  <c r="H52" i="23"/>
  <c r="K52" i="23" s="1"/>
  <c r="L52" i="23" s="1"/>
  <c r="G52" i="23"/>
  <c r="J52" i="23" s="1"/>
  <c r="F52" i="23"/>
  <c r="I52" i="23" s="1"/>
  <c r="H49" i="23"/>
  <c r="F49" i="23"/>
  <c r="H36" i="23"/>
  <c r="F36" i="23"/>
  <c r="F25" i="23"/>
  <c r="H24" i="23"/>
  <c r="F24" i="23"/>
  <c r="H23" i="23"/>
  <c r="F22" i="23"/>
  <c r="H21" i="23"/>
  <c r="F21" i="23"/>
  <c r="H20" i="23"/>
  <c r="F20" i="23"/>
  <c r="G20" i="23" s="1"/>
  <c r="H18" i="23"/>
  <c r="F18" i="23"/>
  <c r="H17" i="23"/>
  <c r="F17" i="23"/>
  <c r="H16" i="23"/>
  <c r="F16" i="23"/>
  <c r="H15" i="23"/>
  <c r="F14" i="23"/>
  <c r="H13" i="23"/>
  <c r="F13" i="23"/>
  <c r="H11" i="23"/>
  <c r="F11" i="23"/>
  <c r="H10" i="23"/>
  <c r="F10" i="23"/>
  <c r="H9" i="23"/>
  <c r="F9" i="23"/>
  <c r="H8" i="23"/>
  <c r="H7" i="23"/>
  <c r="F7" i="23"/>
  <c r="F6" i="23"/>
  <c r="H5" i="23"/>
  <c r="H4" i="23"/>
  <c r="F4" i="23"/>
  <c r="N2" i="23" a="1"/>
  <c r="H2" i="23"/>
  <c r="F2" i="23"/>
  <c r="O1" i="23" a="1"/>
  <c r="O1" i="23" s="1"/>
  <c r="O10" i="23" s="1"/>
  <c r="H31" i="22"/>
  <c r="K31" i="22" s="1"/>
  <c r="L31" i="22" s="1"/>
  <c r="G31" i="22"/>
  <c r="J31" i="22" s="1"/>
  <c r="F31" i="22"/>
  <c r="I31" i="22" s="1"/>
  <c r="H30" i="22"/>
  <c r="K30" i="22" s="1"/>
  <c r="L30" i="22" s="1"/>
  <c r="F30" i="22"/>
  <c r="H29" i="22"/>
  <c r="K29" i="22" s="1"/>
  <c r="L29" i="22" s="1"/>
  <c r="G29" i="22"/>
  <c r="J29" i="22" s="1"/>
  <c r="F29" i="22"/>
  <c r="I29" i="22" s="1"/>
  <c r="H28" i="22"/>
  <c r="F28" i="22"/>
  <c r="H27" i="22"/>
  <c r="H26" i="22"/>
  <c r="F26" i="22"/>
  <c r="H25" i="22"/>
  <c r="H24" i="22"/>
  <c r="H23" i="22"/>
  <c r="F23" i="22"/>
  <c r="H22" i="22"/>
  <c r="H21" i="22"/>
  <c r="F21" i="22"/>
  <c r="H20" i="22"/>
  <c r="F20" i="22"/>
  <c r="H19" i="22"/>
  <c r="H18" i="22"/>
  <c r="F18" i="22"/>
  <c r="H17" i="22"/>
  <c r="F17" i="22"/>
  <c r="H16" i="22"/>
  <c r="H15" i="22"/>
  <c r="F15" i="22"/>
  <c r="F14" i="22"/>
  <c r="H12" i="22"/>
  <c r="F12" i="22"/>
  <c r="H11" i="22"/>
  <c r="F11" i="22"/>
  <c r="H10" i="22"/>
  <c r="F10" i="22"/>
  <c r="H9" i="22"/>
  <c r="H8" i="22"/>
  <c r="F8" i="22"/>
  <c r="H7" i="22"/>
  <c r="F7" i="22"/>
  <c r="H6" i="22"/>
  <c r="H5" i="22"/>
  <c r="F5" i="22"/>
  <c r="H4" i="22"/>
  <c r="F4" i="22"/>
  <c r="N2" i="22" a="1"/>
  <c r="H2" i="22"/>
  <c r="F2" i="22"/>
  <c r="O1" i="22" a="1"/>
  <c r="O1" i="22" s="1"/>
  <c r="F32" i="21"/>
  <c r="G32" i="21" s="1"/>
  <c r="J32" i="21" s="1"/>
  <c r="G31" i="21"/>
  <c r="H32" i="21"/>
  <c r="I31" i="21"/>
  <c r="J31" i="21"/>
  <c r="K31" i="21" s="1"/>
  <c r="L31" i="21" s="1"/>
  <c r="F33" i="21"/>
  <c r="I33" i="21" s="1"/>
  <c r="G33" i="21"/>
  <c r="J33" i="21" s="1"/>
  <c r="H33" i="21"/>
  <c r="H34" i="21"/>
  <c r="K34" i="21" s="1"/>
  <c r="L34" i="21" s="1"/>
  <c r="F34" i="21"/>
  <c r="I34" i="21" s="1"/>
  <c r="H30" i="21"/>
  <c r="F30" i="21"/>
  <c r="H29" i="21"/>
  <c r="F29" i="21"/>
  <c r="H28" i="21"/>
  <c r="F28" i="21"/>
  <c r="H27" i="21"/>
  <c r="H26" i="21"/>
  <c r="F26" i="21"/>
  <c r="H25" i="21"/>
  <c r="F25" i="21"/>
  <c r="H24" i="21"/>
  <c r="F24" i="21"/>
  <c r="H23" i="21"/>
  <c r="H22" i="21"/>
  <c r="F22" i="21"/>
  <c r="H21" i="21"/>
  <c r="F21" i="21"/>
  <c r="H20" i="21"/>
  <c r="F20" i="21"/>
  <c r="H19" i="21"/>
  <c r="H18" i="21"/>
  <c r="F18" i="21"/>
  <c r="H17" i="21"/>
  <c r="F17" i="21"/>
  <c r="H16" i="21"/>
  <c r="F16" i="21"/>
  <c r="H14" i="21"/>
  <c r="F14" i="21"/>
  <c r="H13" i="21"/>
  <c r="F13" i="21"/>
  <c r="H12" i="21"/>
  <c r="F12" i="21"/>
  <c r="H11" i="21"/>
  <c r="H10" i="21"/>
  <c r="F10" i="21"/>
  <c r="H9" i="21"/>
  <c r="F9" i="21"/>
  <c r="H8" i="21"/>
  <c r="F8" i="21"/>
  <c r="H7" i="21"/>
  <c r="H6" i="21"/>
  <c r="F6" i="21"/>
  <c r="H5" i="21"/>
  <c r="F5" i="21"/>
  <c r="H4" i="21"/>
  <c r="F4" i="21"/>
  <c r="H3" i="21"/>
  <c r="H2" i="21"/>
  <c r="F2" i="21"/>
  <c r="O1" i="21" a="1"/>
  <c r="O1" i="21" s="1"/>
  <c r="H34" i="20"/>
  <c r="K34" i="20" s="1"/>
  <c r="L34" i="20" s="1"/>
  <c r="F34" i="20"/>
  <c r="H33" i="20"/>
  <c r="K33" i="20" s="1"/>
  <c r="L33" i="20" s="1"/>
  <c r="G33" i="20"/>
  <c r="J33" i="20" s="1"/>
  <c r="F33" i="20"/>
  <c r="I33" i="20" s="1"/>
  <c r="H32" i="20"/>
  <c r="F32" i="20"/>
  <c r="H31" i="20"/>
  <c r="H30" i="20"/>
  <c r="F30" i="20"/>
  <c r="H29" i="20"/>
  <c r="F29" i="20"/>
  <c r="H28" i="20"/>
  <c r="F28" i="20"/>
  <c r="H27" i="20"/>
  <c r="F26" i="20"/>
  <c r="H25" i="20"/>
  <c r="F25" i="20"/>
  <c r="H24" i="20"/>
  <c r="H23" i="20"/>
  <c r="F23" i="20"/>
  <c r="F22" i="20"/>
  <c r="H21" i="20"/>
  <c r="H20" i="20"/>
  <c r="F20" i="20"/>
  <c r="F19" i="20"/>
  <c r="H18" i="20"/>
  <c r="H17" i="20"/>
  <c r="F17" i="20"/>
  <c r="H16" i="20"/>
  <c r="F16" i="20"/>
  <c r="H15" i="20"/>
  <c r="F15" i="20"/>
  <c r="H14" i="20"/>
  <c r="H13" i="20"/>
  <c r="F13" i="20"/>
  <c r="H12" i="20"/>
  <c r="F12" i="20"/>
  <c r="H11" i="20"/>
  <c r="F11" i="20"/>
  <c r="H10" i="20"/>
  <c r="H9" i="20"/>
  <c r="F9" i="20"/>
  <c r="H4" i="20"/>
  <c r="F4" i="20"/>
  <c r="H3" i="20"/>
  <c r="N2" i="20" a="1"/>
  <c r="F2" i="20"/>
  <c r="O1" i="20" a="1"/>
  <c r="O1" i="20" s="1"/>
  <c r="E41" i="13"/>
  <c r="E45" i="13"/>
  <c r="E38" i="13"/>
  <c r="E36" i="13"/>
  <c r="E48" i="13"/>
  <c r="E46" i="13"/>
  <c r="E39" i="13"/>
  <c r="E37" i="13"/>
  <c r="E50" i="13"/>
  <c r="E51" i="13"/>
  <c r="E40" i="13"/>
  <c r="E47" i="13"/>
  <c r="E49" i="13"/>
  <c r="E52" i="13"/>
  <c r="E43" i="13"/>
  <c r="E42" i="13"/>
  <c r="E44" i="13"/>
  <c r="A3" i="13" a="1"/>
  <c r="E35" i="13" s="1"/>
  <c r="K33" i="25" l="1"/>
  <c r="L33" i="25" s="1"/>
  <c r="K29" i="25"/>
  <c r="L29" i="25" s="1"/>
  <c r="K12" i="25"/>
  <c r="L12" i="25" s="1"/>
  <c r="K8" i="25"/>
  <c r="L8" i="25" s="1"/>
  <c r="K4" i="25"/>
  <c r="L4" i="25" s="1"/>
  <c r="K19" i="25"/>
  <c r="L19" i="25" s="1"/>
  <c r="J48" i="25"/>
  <c r="K3" i="25"/>
  <c r="L3" i="25" s="1"/>
  <c r="L2" i="25"/>
  <c r="L48" i="25" s="1"/>
  <c r="K48" i="25"/>
  <c r="K26" i="25"/>
  <c r="L26" i="25" s="1"/>
  <c r="G24" i="25"/>
  <c r="J24" i="25" s="1"/>
  <c r="K24" i="25" s="1"/>
  <c r="L24" i="25" s="1"/>
  <c r="I45" i="25"/>
  <c r="I28" i="25"/>
  <c r="I25" i="25"/>
  <c r="I20" i="25"/>
  <c r="I17" i="25"/>
  <c r="I14" i="25"/>
  <c r="I3" i="25"/>
  <c r="I48" i="25" s="1"/>
  <c r="I42" i="25"/>
  <c r="I31" i="25"/>
  <c r="I9" i="25"/>
  <c r="I40" i="25"/>
  <c r="I37" i="25"/>
  <c r="I12" i="25"/>
  <c r="I29" i="25"/>
  <c r="I18" i="25"/>
  <c r="I4" i="25"/>
  <c r="H48" i="25"/>
  <c r="I35" i="25"/>
  <c r="I24" i="9"/>
  <c r="K16" i="39"/>
  <c r="L16" i="39" s="1"/>
  <c r="K42" i="23"/>
  <c r="L42" i="23" s="1"/>
  <c r="G5" i="10"/>
  <c r="J5" i="10" s="1"/>
  <c r="K5" i="10" s="1"/>
  <c r="L5" i="10" s="1"/>
  <c r="G7" i="10"/>
  <c r="J7" i="10" s="1"/>
  <c r="K7" i="10" s="1"/>
  <c r="L7" i="10" s="1"/>
  <c r="K24" i="9"/>
  <c r="L24" i="9" s="1"/>
  <c r="I26" i="9"/>
  <c r="G27" i="9"/>
  <c r="J27" i="9" s="1"/>
  <c r="K27" i="9" s="1"/>
  <c r="L27" i="9" s="1"/>
  <c r="K41" i="23"/>
  <c r="L41" i="23" s="1"/>
  <c r="G40" i="23"/>
  <c r="J40" i="23" s="1"/>
  <c r="K40" i="23" s="1"/>
  <c r="L40" i="23" s="1"/>
  <c r="G43" i="23"/>
  <c r="J43" i="23" s="1"/>
  <c r="K43" i="23" s="1"/>
  <c r="L43" i="23" s="1"/>
  <c r="I31" i="23"/>
  <c r="K6" i="20"/>
  <c r="L6" i="20" s="1"/>
  <c r="G5" i="20"/>
  <c r="J5" i="20" s="1"/>
  <c r="K5" i="20" s="1"/>
  <c r="L5" i="20" s="1"/>
  <c r="G7" i="20"/>
  <c r="J7" i="20" s="1"/>
  <c r="K7" i="20" s="1"/>
  <c r="L7" i="20" s="1"/>
  <c r="K14" i="39"/>
  <c r="L14" i="39" s="1"/>
  <c r="K4" i="39"/>
  <c r="L4" i="39" s="1"/>
  <c r="K12" i="39"/>
  <c r="L12" i="39" s="1"/>
  <c r="K6" i="39"/>
  <c r="L6" i="39" s="1"/>
  <c r="K13" i="39"/>
  <c r="L13" i="39" s="1"/>
  <c r="I42" i="11"/>
  <c r="K44" i="11"/>
  <c r="L44" i="11" s="1"/>
  <c r="I25" i="39"/>
  <c r="I18" i="40"/>
  <c r="I32" i="39"/>
  <c r="O9" i="31"/>
  <c r="P9" i="31" s="1"/>
  <c r="Q9" i="31" s="1"/>
  <c r="R9" i="31" s="1"/>
  <c r="S9" i="31" s="1"/>
  <c r="O14" i="31"/>
  <c r="P14" i="31" s="1"/>
  <c r="Q14" i="31" s="1"/>
  <c r="R14" i="31" s="1"/>
  <c r="S14" i="31" s="1"/>
  <c r="O37" i="31"/>
  <c r="O30" i="31"/>
  <c r="P30" i="31" s="1"/>
  <c r="Q30" i="31" s="1"/>
  <c r="R30" i="31" s="1"/>
  <c r="S30" i="31" s="1"/>
  <c r="O36" i="31"/>
  <c r="O26" i="31"/>
  <c r="O41" i="36"/>
  <c r="P41" i="36" s="1"/>
  <c r="Q41" i="36" s="1"/>
  <c r="R41" i="36" s="1"/>
  <c r="S41" i="36" s="1"/>
  <c r="O11" i="36"/>
  <c r="O16" i="36"/>
  <c r="O38" i="36"/>
  <c r="P38" i="36" s="1"/>
  <c r="Q38" i="36" s="1"/>
  <c r="R38" i="36" s="1"/>
  <c r="S38" i="36" s="1"/>
  <c r="O30" i="36"/>
  <c r="P30" i="36" s="1"/>
  <c r="Q30" i="36" s="1"/>
  <c r="R30" i="36" s="1"/>
  <c r="S30" i="36" s="1"/>
  <c r="O42" i="36"/>
  <c r="P42" i="36" s="1"/>
  <c r="Q42" i="36" s="1"/>
  <c r="R42" i="36" s="1"/>
  <c r="S42" i="36" s="1"/>
  <c r="T42" i="36" s="1"/>
  <c r="O15" i="36"/>
  <c r="O12" i="36"/>
  <c r="P12" i="36" s="1"/>
  <c r="Q12" i="36" s="1"/>
  <c r="R12" i="36" s="1"/>
  <c r="S12" i="36" s="1"/>
  <c r="O33" i="36"/>
  <c r="P33" i="36" s="1"/>
  <c r="Q33" i="36" s="1"/>
  <c r="R33" i="36" s="1"/>
  <c r="S33" i="36" s="1"/>
  <c r="O22" i="36"/>
  <c r="P22" i="36" s="1"/>
  <c r="Q22" i="36" s="1"/>
  <c r="R22" i="36" s="1"/>
  <c r="S22" i="36" s="1"/>
  <c r="O8" i="36"/>
  <c r="P8" i="36" s="1"/>
  <c r="Q8" i="36" s="1"/>
  <c r="R8" i="36" s="1"/>
  <c r="S8" i="36" s="1"/>
  <c r="O37" i="36"/>
  <c r="P37" i="36" s="1"/>
  <c r="Q37" i="36" s="1"/>
  <c r="R37" i="36" s="1"/>
  <c r="S37" i="36" s="1"/>
  <c r="O32" i="36"/>
  <c r="P32" i="36" s="1"/>
  <c r="Q32" i="36" s="1"/>
  <c r="R32" i="36" s="1"/>
  <c r="S32" i="36" s="1"/>
  <c r="O19" i="36"/>
  <c r="P10" i="23"/>
  <c r="Q10" i="23" s="1"/>
  <c r="R10" i="23" s="1"/>
  <c r="S10" i="23" s="1"/>
  <c r="O7" i="21"/>
  <c r="O29" i="21"/>
  <c r="O21" i="21"/>
  <c r="O10" i="21"/>
  <c r="O44" i="21"/>
  <c r="O39" i="21"/>
  <c r="O36" i="21"/>
  <c r="O42" i="21"/>
  <c r="O26" i="21"/>
  <c r="O14" i="21"/>
  <c r="O35" i="21"/>
  <c r="O23" i="21"/>
  <c r="O20" i="21"/>
  <c r="O17" i="21"/>
  <c r="O11" i="21"/>
  <c r="O8" i="21"/>
  <c r="O41" i="21"/>
  <c r="O34" i="21"/>
  <c r="O6" i="21"/>
  <c r="P6" i="21" s="1"/>
  <c r="Q6" i="21" s="1"/>
  <c r="R6" i="21" s="1"/>
  <c r="S6" i="21" s="1"/>
  <c r="O40" i="21"/>
  <c r="O28" i="21"/>
  <c r="O25" i="21"/>
  <c r="O22" i="21"/>
  <c r="O13" i="21"/>
  <c r="O38" i="21"/>
  <c r="O16" i="21"/>
  <c r="O19" i="21"/>
  <c r="O45" i="21"/>
  <c r="O37" i="21"/>
  <c r="O30" i="21"/>
  <c r="O18" i="21"/>
  <c r="O12" i="21"/>
  <c r="O9" i="21"/>
  <c r="O43" i="21"/>
  <c r="O27" i="21"/>
  <c r="O24" i="21"/>
  <c r="O15" i="21"/>
  <c r="O39" i="20"/>
  <c r="O34" i="20"/>
  <c r="O28" i="20"/>
  <c r="O11" i="20"/>
  <c r="O40" i="20"/>
  <c r="O35" i="20"/>
  <c r="O23" i="20"/>
  <c r="O20" i="20"/>
  <c r="O17" i="20"/>
  <c r="O14" i="20"/>
  <c r="O41" i="20"/>
  <c r="O27" i="20"/>
  <c r="O8" i="20"/>
  <c r="O24" i="20"/>
  <c r="O33" i="20"/>
  <c r="O13" i="20"/>
  <c r="O10" i="20"/>
  <c r="O32" i="20"/>
  <c r="O29" i="20"/>
  <c r="O26" i="20"/>
  <c r="O16" i="20"/>
  <c r="O38" i="20"/>
  <c r="O37" i="20"/>
  <c r="O31" i="20"/>
  <c r="O22" i="20"/>
  <c r="O25" i="20"/>
  <c r="O15" i="20"/>
  <c r="O12" i="20"/>
  <c r="O9" i="20"/>
  <c r="O30" i="20"/>
  <c r="O21" i="20"/>
  <c r="O19" i="20"/>
  <c r="O42" i="20"/>
  <c r="O36" i="20"/>
  <c r="O18" i="20"/>
  <c r="O38" i="22"/>
  <c r="O33" i="22"/>
  <c r="O25" i="22"/>
  <c r="O22" i="22"/>
  <c r="O39" i="22"/>
  <c r="O34" i="22"/>
  <c r="O17" i="22"/>
  <c r="O11" i="22"/>
  <c r="O30" i="22"/>
  <c r="O28" i="22"/>
  <c r="O14" i="22"/>
  <c r="O8" i="22"/>
  <c r="O40" i="22"/>
  <c r="O31" i="22"/>
  <c r="O21" i="22"/>
  <c r="O18" i="22"/>
  <c r="O15" i="22"/>
  <c r="O37" i="22"/>
  <c r="O24" i="22"/>
  <c r="O7" i="22"/>
  <c r="O36" i="22"/>
  <c r="O27" i="22"/>
  <c r="O20" i="22"/>
  <c r="O10" i="22"/>
  <c r="O23" i="22"/>
  <c r="O13" i="22"/>
  <c r="O42" i="22"/>
  <c r="O35" i="22"/>
  <c r="O29" i="22"/>
  <c r="O26" i="22"/>
  <c r="O19" i="22"/>
  <c r="O16" i="22"/>
  <c r="O12" i="22"/>
  <c r="O41" i="22"/>
  <c r="O32" i="22"/>
  <c r="O9" i="22"/>
  <c r="O6" i="22"/>
  <c r="P6" i="22" s="1"/>
  <c r="Q6" i="22" s="1"/>
  <c r="R6" i="22" s="1"/>
  <c r="S6" i="22" s="1"/>
  <c r="P24" i="24"/>
  <c r="Q24" i="24" s="1"/>
  <c r="R24" i="24" s="1"/>
  <c r="S24" i="24" s="1"/>
  <c r="I34" i="20"/>
  <c r="G34" i="20"/>
  <c r="J34" i="20" s="1"/>
  <c r="O36" i="29"/>
  <c r="O32" i="29"/>
  <c r="O30" i="29"/>
  <c r="O14" i="29"/>
  <c r="O38" i="29"/>
  <c r="O34" i="29"/>
  <c r="O25" i="29"/>
  <c r="O23" i="29"/>
  <c r="O21" i="29"/>
  <c r="O41" i="29"/>
  <c r="O42" i="29"/>
  <c r="O33" i="29"/>
  <c r="O8" i="29"/>
  <c r="O39" i="29"/>
  <c r="O27" i="29"/>
  <c r="O22" i="29"/>
  <c r="O19" i="29"/>
  <c r="O10" i="29"/>
  <c r="O35" i="29"/>
  <c r="O24" i="29"/>
  <c r="O17" i="29"/>
  <c r="O15" i="29"/>
  <c r="O29" i="29"/>
  <c r="O13" i="29"/>
  <c r="O26" i="29"/>
  <c r="O11" i="29"/>
  <c r="O9" i="29"/>
  <c r="O40" i="29"/>
  <c r="O37" i="29"/>
  <c r="O31" i="29"/>
  <c r="O18" i="29"/>
  <c r="O28" i="29"/>
  <c r="O20" i="29"/>
  <c r="O16" i="29"/>
  <c r="O12" i="29"/>
  <c r="I25" i="11"/>
  <c r="O34" i="24"/>
  <c r="O37" i="24"/>
  <c r="O28" i="24"/>
  <c r="O25" i="24"/>
  <c r="O22" i="24"/>
  <c r="O40" i="24"/>
  <c r="O11" i="24"/>
  <c r="O33" i="24"/>
  <c r="O9" i="24"/>
  <c r="O7" i="24"/>
  <c r="O30" i="24"/>
  <c r="O21" i="24"/>
  <c r="O18" i="24"/>
  <c r="O42" i="24"/>
  <c r="O20" i="24"/>
  <c r="O12" i="24"/>
  <c r="O32" i="24"/>
  <c r="O26" i="24"/>
  <c r="O23" i="24"/>
  <c r="O10" i="24"/>
  <c r="O8" i="24"/>
  <c r="O38" i="24"/>
  <c r="O35" i="24"/>
  <c r="O29" i="24"/>
  <c r="O41" i="24"/>
  <c r="O31" i="24"/>
  <c r="O19" i="24"/>
  <c r="O17" i="24"/>
  <c r="O15" i="24"/>
  <c r="O13" i="24"/>
  <c r="O24" i="25"/>
  <c r="O18" i="25"/>
  <c r="O38" i="25"/>
  <c r="O32" i="25"/>
  <c r="O26" i="25"/>
  <c r="O19" i="25"/>
  <c r="O17" i="25"/>
  <c r="O13" i="25"/>
  <c r="O11" i="25"/>
  <c r="O9" i="25"/>
  <c r="O15" i="25"/>
  <c r="O28" i="25"/>
  <c r="O22" i="25"/>
  <c r="O37" i="25"/>
  <c r="O34" i="25"/>
  <c r="O31" i="25"/>
  <c r="O25" i="25"/>
  <c r="O12" i="25"/>
  <c r="O21" i="25"/>
  <c r="O16" i="25"/>
  <c r="O14" i="25"/>
  <c r="O10" i="25"/>
  <c r="O36" i="25"/>
  <c r="O33" i="25"/>
  <c r="O27" i="25"/>
  <c r="O20" i="25"/>
  <c r="O39" i="25"/>
  <c r="O30" i="25"/>
  <c r="O29" i="25"/>
  <c r="O35" i="25"/>
  <c r="O23" i="25"/>
  <c r="I30" i="22"/>
  <c r="G30" i="22"/>
  <c r="J30" i="22" s="1"/>
  <c r="O14" i="23"/>
  <c r="O11" i="23"/>
  <c r="G34" i="21"/>
  <c r="J34" i="21" s="1"/>
  <c r="K33" i="21"/>
  <c r="L33" i="21" s="1"/>
  <c r="O12" i="23"/>
  <c r="G35" i="11"/>
  <c r="J35" i="11" s="1"/>
  <c r="O14" i="24"/>
  <c r="O27" i="24"/>
  <c r="O39" i="24"/>
  <c r="O9" i="23"/>
  <c r="G45" i="11"/>
  <c r="J45" i="11" s="1"/>
  <c r="I32" i="11"/>
  <c r="G32" i="11"/>
  <c r="J32" i="11" s="1"/>
  <c r="I22" i="11"/>
  <c r="G22" i="11"/>
  <c r="J22" i="11" s="1"/>
  <c r="O13" i="23"/>
  <c r="O16" i="24"/>
  <c r="O36" i="24"/>
  <c r="I42" i="26"/>
  <c r="G37" i="29"/>
  <c r="J37" i="29" s="1"/>
  <c r="G40" i="29"/>
  <c r="J40" i="29" s="1"/>
  <c r="I44" i="29"/>
  <c r="G44" i="29"/>
  <c r="J44" i="29" s="1"/>
  <c r="I34" i="29"/>
  <c r="G34" i="29"/>
  <c r="J34" i="29" s="1"/>
  <c r="P36" i="31"/>
  <c r="Q36" i="31" s="1"/>
  <c r="R36" i="31" s="1"/>
  <c r="S36" i="31" s="1"/>
  <c r="T36" i="31"/>
  <c r="I20" i="11"/>
  <c r="G40" i="11"/>
  <c r="J40" i="11" s="1"/>
  <c r="G30" i="11"/>
  <c r="J30" i="11" s="1"/>
  <c r="G42" i="26"/>
  <c r="J42" i="26" s="1"/>
  <c r="G26" i="29"/>
  <c r="J26" i="29" s="1"/>
  <c r="O18" i="31"/>
  <c r="O15" i="31"/>
  <c r="O12" i="31"/>
  <c r="O24" i="31"/>
  <c r="O42" i="31"/>
  <c r="O33" i="31"/>
  <c r="O31" i="31"/>
  <c r="O23" i="31"/>
  <c r="O17" i="31"/>
  <c r="O29" i="31"/>
  <c r="O13" i="31"/>
  <c r="O38" i="31"/>
  <c r="O27" i="31"/>
  <c r="O19" i="31"/>
  <c r="O10" i="31"/>
  <c r="O41" i="31"/>
  <c r="O39" i="31"/>
  <c r="O20" i="31"/>
  <c r="O11" i="31"/>
  <c r="T9" i="31"/>
  <c r="V9" i="31" s="1"/>
  <c r="W9" i="31" s="1"/>
  <c r="O16" i="31"/>
  <c r="O34" i="31"/>
  <c r="I37" i="31"/>
  <c r="G37" i="31"/>
  <c r="J37" i="31" s="1"/>
  <c r="I46" i="32"/>
  <c r="G46" i="32"/>
  <c r="J46" i="32" s="1"/>
  <c r="G45" i="26"/>
  <c r="J45" i="26" s="1"/>
  <c r="I32" i="29"/>
  <c r="G32" i="29"/>
  <c r="J32" i="29" s="1"/>
  <c r="O21" i="31"/>
  <c r="O32" i="31"/>
  <c r="O15" i="32"/>
  <c r="O41" i="32"/>
  <c r="O39" i="32"/>
  <c r="O37" i="32"/>
  <c r="O35" i="32"/>
  <c r="O33" i="32"/>
  <c r="O31" i="32"/>
  <c r="O29" i="32"/>
  <c r="O27" i="32"/>
  <c r="O25" i="32"/>
  <c r="O23" i="32"/>
  <c r="O21" i="32"/>
  <c r="O19" i="32"/>
  <c r="O16" i="32"/>
  <c r="O42" i="32"/>
  <c r="O40" i="32"/>
  <c r="O38" i="32"/>
  <c r="O36" i="32"/>
  <c r="O34" i="32"/>
  <c r="O32" i="32"/>
  <c r="O30" i="32"/>
  <c r="O28" i="32"/>
  <c r="O26" i="32"/>
  <c r="O24" i="32"/>
  <c r="O22" i="32"/>
  <c r="O20" i="32"/>
  <c r="O14" i="32"/>
  <c r="O18" i="32"/>
  <c r="P37" i="31"/>
  <c r="Q37" i="31" s="1"/>
  <c r="R37" i="31" s="1"/>
  <c r="S37" i="31" s="1"/>
  <c r="I16" i="32"/>
  <c r="I48" i="32" s="1"/>
  <c r="G16" i="32"/>
  <c r="J16" i="32" s="1"/>
  <c r="T30" i="31"/>
  <c r="O25" i="31"/>
  <c r="O40" i="31"/>
  <c r="G43" i="26"/>
  <c r="J43" i="26" s="1"/>
  <c r="G27" i="29"/>
  <c r="J27" i="29" s="1"/>
  <c r="G30" i="29"/>
  <c r="J30" i="29" s="1"/>
  <c r="O8" i="31"/>
  <c r="O22" i="31"/>
  <c r="O28" i="31"/>
  <c r="O35" i="31"/>
  <c r="O42" i="33"/>
  <c r="O40" i="33"/>
  <c r="O38" i="33"/>
  <c r="O36" i="33"/>
  <c r="O34" i="33"/>
  <c r="O32" i="33"/>
  <c r="O30" i="33"/>
  <c r="O28" i="33"/>
  <c r="O26" i="33"/>
  <c r="O24" i="33"/>
  <c r="O22" i="33"/>
  <c r="O20" i="33"/>
  <c r="O18" i="33"/>
  <c r="O15" i="33"/>
  <c r="O41" i="33"/>
  <c r="O39" i="33"/>
  <c r="O37" i="33"/>
  <c r="O35" i="33"/>
  <c r="O33" i="33"/>
  <c r="O31" i="33"/>
  <c r="O29" i="33"/>
  <c r="O27" i="33"/>
  <c r="O25" i="33"/>
  <c r="O23" i="33"/>
  <c r="O21" i="33"/>
  <c r="O19" i="33"/>
  <c r="O17" i="33"/>
  <c r="O10" i="35"/>
  <c r="O40" i="35"/>
  <c r="O29" i="35"/>
  <c r="O20" i="35"/>
  <c r="O42" i="35"/>
  <c r="O31" i="35"/>
  <c r="O22" i="35"/>
  <c r="O18" i="35"/>
  <c r="O15" i="35"/>
  <c r="O33" i="35"/>
  <c r="O24" i="35"/>
  <c r="O35" i="35"/>
  <c r="O26" i="35"/>
  <c r="O13" i="35"/>
  <c r="O37" i="35"/>
  <c r="O28" i="35"/>
  <c r="O16" i="35"/>
  <c r="O39" i="35"/>
  <c r="O30" i="35"/>
  <c r="O19" i="35"/>
  <c r="O41" i="35"/>
  <c r="O32" i="35"/>
  <c r="O21" i="35"/>
  <c r="O34" i="35"/>
  <c r="O23" i="35"/>
  <c r="O17" i="35"/>
  <c r="O14" i="35"/>
  <c r="O36" i="35"/>
  <c r="O25" i="35"/>
  <c r="O38" i="35"/>
  <c r="O27" i="35"/>
  <c r="O12" i="35"/>
  <c r="O9" i="35"/>
  <c r="I47" i="29"/>
  <c r="G47" i="29"/>
  <c r="J47" i="29" s="1"/>
  <c r="I19" i="29"/>
  <c r="G19" i="29"/>
  <c r="J19" i="29" s="1"/>
  <c r="O8" i="25"/>
  <c r="P8" i="25" s="1"/>
  <c r="Q8" i="25" s="1"/>
  <c r="R8" i="25" s="1"/>
  <c r="S8" i="25" s="1"/>
  <c r="I46" i="29"/>
  <c r="G46" i="29"/>
  <c r="J46" i="29" s="1"/>
  <c r="I36" i="29"/>
  <c r="G36" i="29"/>
  <c r="J36" i="29" s="1"/>
  <c r="I18" i="29"/>
  <c r="T14" i="31"/>
  <c r="V14" i="31" s="1"/>
  <c r="W14" i="31" s="1"/>
  <c r="P26" i="31"/>
  <c r="Q26" i="31" s="1"/>
  <c r="R26" i="31" s="1"/>
  <c r="S26" i="31" s="1"/>
  <c r="T26" i="31"/>
  <c r="O41" i="34"/>
  <c r="O39" i="34"/>
  <c r="O37" i="34"/>
  <c r="O35" i="34"/>
  <c r="O17" i="34"/>
  <c r="O34" i="34"/>
  <c r="O32" i="34"/>
  <c r="O30" i="34"/>
  <c r="O28" i="34"/>
  <c r="O26" i="34"/>
  <c r="O24" i="34"/>
  <c r="O22" i="34"/>
  <c r="O20" i="34"/>
  <c r="O36" i="34"/>
  <c r="O38" i="34"/>
  <c r="O18" i="34"/>
  <c r="O40" i="34"/>
  <c r="O15" i="34"/>
  <c r="O42" i="34"/>
  <c r="O33" i="34"/>
  <c r="O31" i="34"/>
  <c r="O29" i="34"/>
  <c r="O27" i="34"/>
  <c r="O25" i="34"/>
  <c r="O23" i="34"/>
  <c r="O21" i="34"/>
  <c r="O19" i="34"/>
  <c r="O16" i="34"/>
  <c r="P15" i="37"/>
  <c r="Q15" i="37" s="1"/>
  <c r="R15" i="37" s="1"/>
  <c r="S15" i="37" s="1"/>
  <c r="O17" i="32"/>
  <c r="I15" i="33"/>
  <c r="I48" i="33" s="1"/>
  <c r="G15" i="33"/>
  <c r="J15" i="33" s="1"/>
  <c r="I23" i="35"/>
  <c r="G23" i="35"/>
  <c r="J23" i="35" s="1"/>
  <c r="I43" i="35"/>
  <c r="G43" i="35"/>
  <c r="J43" i="35" s="1"/>
  <c r="P16" i="36"/>
  <c r="Q16" i="36" s="1"/>
  <c r="R16" i="36" s="1"/>
  <c r="S16" i="36" s="1"/>
  <c r="T30" i="36"/>
  <c r="I21" i="35"/>
  <c r="G21" i="35"/>
  <c r="J21" i="35" s="1"/>
  <c r="I41" i="35"/>
  <c r="G41" i="35"/>
  <c r="J41" i="35" s="1"/>
  <c r="G19" i="33"/>
  <c r="J19" i="33" s="1"/>
  <c r="G21" i="33"/>
  <c r="J21" i="33" s="1"/>
  <c r="G23" i="33"/>
  <c r="J23" i="33" s="1"/>
  <c r="G25" i="33"/>
  <c r="J25" i="33" s="1"/>
  <c r="G27" i="33"/>
  <c r="J27" i="33" s="1"/>
  <c r="G29" i="33"/>
  <c r="J29" i="33" s="1"/>
  <c r="G31" i="33"/>
  <c r="J31" i="33" s="1"/>
  <c r="G33" i="33"/>
  <c r="J33" i="33" s="1"/>
  <c r="G35" i="33"/>
  <c r="J35" i="33" s="1"/>
  <c r="G37" i="33"/>
  <c r="J37" i="33" s="1"/>
  <c r="G39" i="33"/>
  <c r="J39" i="33" s="1"/>
  <c r="G41" i="33"/>
  <c r="J41" i="33" s="1"/>
  <c r="G43" i="33"/>
  <c r="J43" i="33" s="1"/>
  <c r="G18" i="34"/>
  <c r="J18" i="34" s="1"/>
  <c r="G38" i="34"/>
  <c r="J38" i="34" s="1"/>
  <c r="I19" i="35"/>
  <c r="G19" i="35"/>
  <c r="J19" i="35" s="1"/>
  <c r="G30" i="35"/>
  <c r="J30" i="35" s="1"/>
  <c r="I39" i="35"/>
  <c r="G39" i="35"/>
  <c r="J39" i="35" s="1"/>
  <c r="T33" i="36"/>
  <c r="T38" i="36"/>
  <c r="O41" i="37"/>
  <c r="O39" i="37"/>
  <c r="O37" i="37"/>
  <c r="O35" i="37"/>
  <c r="O33" i="37"/>
  <c r="O31" i="37"/>
  <c r="O29" i="37"/>
  <c r="O27" i="37"/>
  <c r="O25" i="37"/>
  <c r="O23" i="37"/>
  <c r="O21" i="37"/>
  <c r="O19" i="37"/>
  <c r="O16" i="37"/>
  <c r="O14" i="37"/>
  <c r="O12" i="37"/>
  <c r="O10" i="37"/>
  <c r="O8" i="37"/>
  <c r="O17" i="37"/>
  <c r="O42" i="37"/>
  <c r="O40" i="37"/>
  <c r="O38" i="37"/>
  <c r="O36" i="37"/>
  <c r="O34" i="37"/>
  <c r="O32" i="37"/>
  <c r="O30" i="37"/>
  <c r="O28" i="37"/>
  <c r="O26" i="37"/>
  <c r="O24" i="37"/>
  <c r="O22" i="37"/>
  <c r="O20" i="37"/>
  <c r="O9" i="37"/>
  <c r="P11" i="38"/>
  <c r="Q11" i="38" s="1"/>
  <c r="R11" i="38" s="1"/>
  <c r="S11" i="38" s="1"/>
  <c r="O3" i="40"/>
  <c r="P3" i="40" s="1"/>
  <c r="O36" i="40"/>
  <c r="O15" i="40"/>
  <c r="O31" i="40"/>
  <c r="O29" i="40"/>
  <c r="O24" i="40"/>
  <c r="O22" i="40"/>
  <c r="O8" i="40"/>
  <c r="O41" i="40"/>
  <c r="O34" i="40"/>
  <c r="O12" i="40"/>
  <c r="O32" i="40"/>
  <c r="O16" i="40"/>
  <c r="O9" i="40"/>
  <c r="O42" i="40"/>
  <c r="O40" i="40"/>
  <c r="O38" i="40"/>
  <c r="O26" i="40"/>
  <c r="O21" i="40"/>
  <c r="O19" i="40"/>
  <c r="O11" i="40"/>
  <c r="O17" i="40"/>
  <c r="O13" i="40"/>
  <c r="O33" i="40"/>
  <c r="O28" i="40"/>
  <c r="O39" i="40"/>
  <c r="O23" i="40"/>
  <c r="O20" i="40"/>
  <c r="O30" i="40"/>
  <c r="O25" i="40"/>
  <c r="O18" i="40"/>
  <c r="O10" i="40"/>
  <c r="O35" i="40"/>
  <c r="O27" i="40"/>
  <c r="O14" i="40"/>
  <c r="O37" i="40"/>
  <c r="G36" i="34"/>
  <c r="J36" i="34" s="1"/>
  <c r="G16" i="35"/>
  <c r="J16" i="35" s="1"/>
  <c r="G28" i="35"/>
  <c r="J28" i="35" s="1"/>
  <c r="I37" i="35"/>
  <c r="G37" i="35"/>
  <c r="J37" i="35" s="1"/>
  <c r="G44" i="35"/>
  <c r="J44" i="35" s="1"/>
  <c r="O13" i="36"/>
  <c r="O17" i="36"/>
  <c r="T22" i="36"/>
  <c r="O27" i="36"/>
  <c r="O31" i="36"/>
  <c r="O36" i="36"/>
  <c r="I35" i="35"/>
  <c r="G35" i="35"/>
  <c r="J35" i="35" s="1"/>
  <c r="O20" i="36"/>
  <c r="O29" i="36"/>
  <c r="O23" i="36"/>
  <c r="O26" i="36"/>
  <c r="O24" i="36"/>
  <c r="O21" i="36"/>
  <c r="O18" i="36"/>
  <c r="O14" i="36"/>
  <c r="O10" i="36"/>
  <c r="I33" i="35"/>
  <c r="G33" i="35"/>
  <c r="J33" i="35" s="1"/>
  <c r="I45" i="35"/>
  <c r="G45" i="35"/>
  <c r="J45" i="35" s="1"/>
  <c r="O28" i="36"/>
  <c r="O34" i="36"/>
  <c r="O39" i="36"/>
  <c r="O11" i="37"/>
  <c r="O18" i="38"/>
  <c r="O15" i="38"/>
  <c r="O10" i="38"/>
  <c r="O13" i="38"/>
  <c r="O8" i="38"/>
  <c r="O41" i="38"/>
  <c r="O39" i="38"/>
  <c r="O37" i="38"/>
  <c r="O35" i="38"/>
  <c r="O33" i="38"/>
  <c r="O31" i="38"/>
  <c r="O29" i="38"/>
  <c r="O27" i="38"/>
  <c r="O25" i="38"/>
  <c r="O23" i="38"/>
  <c r="O21" i="38"/>
  <c r="O19" i="38"/>
  <c r="O14" i="38"/>
  <c r="O9" i="38"/>
  <c r="O17" i="38"/>
  <c r="O42" i="38"/>
  <c r="O40" i="38"/>
  <c r="O38" i="38"/>
  <c r="O36" i="38"/>
  <c r="O34" i="38"/>
  <c r="O32" i="38"/>
  <c r="O30" i="38"/>
  <c r="O28" i="38"/>
  <c r="O26" i="38"/>
  <c r="O24" i="38"/>
  <c r="O22" i="38"/>
  <c r="O20" i="38"/>
  <c r="O12" i="38"/>
  <c r="I47" i="26"/>
  <c r="G41" i="34"/>
  <c r="J41" i="34" s="1"/>
  <c r="I47" i="34"/>
  <c r="I48" i="34" s="1"/>
  <c r="G47" i="34"/>
  <c r="J47" i="34" s="1"/>
  <c r="G15" i="35"/>
  <c r="J15" i="35" s="1"/>
  <c r="G18" i="35"/>
  <c r="J18" i="35" s="1"/>
  <c r="G22" i="35"/>
  <c r="J22" i="35" s="1"/>
  <c r="I31" i="35"/>
  <c r="G31" i="35"/>
  <c r="J31" i="35" s="1"/>
  <c r="G42" i="35"/>
  <c r="J42" i="35" s="1"/>
  <c r="O16" i="38"/>
  <c r="I44" i="26"/>
  <c r="G47" i="26"/>
  <c r="J47" i="26" s="1"/>
  <c r="G39" i="31"/>
  <c r="J39" i="31" s="1"/>
  <c r="G45" i="31"/>
  <c r="J45" i="31" s="1"/>
  <c r="G15" i="32"/>
  <c r="J15" i="32" s="1"/>
  <c r="I29" i="35"/>
  <c r="G29" i="35"/>
  <c r="J29" i="35" s="1"/>
  <c r="I46" i="36"/>
  <c r="G46" i="36"/>
  <c r="J46" i="36" s="1"/>
  <c r="G37" i="34"/>
  <c r="J37" i="34" s="1"/>
  <c r="I27" i="35"/>
  <c r="G27" i="35"/>
  <c r="J27" i="35" s="1"/>
  <c r="G38" i="35"/>
  <c r="J38" i="35" s="1"/>
  <c r="G46" i="35"/>
  <c r="J46" i="35" s="1"/>
  <c r="T8" i="36"/>
  <c r="V8" i="36" s="1"/>
  <c r="W8" i="36" s="1"/>
  <c r="P11" i="36"/>
  <c r="Q11" i="36" s="1"/>
  <c r="R11" i="36" s="1"/>
  <c r="S11" i="36" s="1"/>
  <c r="P15" i="36"/>
  <c r="Q15" i="36" s="1"/>
  <c r="R15" i="36" s="1"/>
  <c r="S15" i="36" s="1"/>
  <c r="P19" i="36"/>
  <c r="Q19" i="36" s="1"/>
  <c r="R19" i="36" s="1"/>
  <c r="S19" i="36" s="1"/>
  <c r="T32" i="36"/>
  <c r="T37" i="36"/>
  <c r="O13" i="37"/>
  <c r="I45" i="37"/>
  <c r="G45" i="37"/>
  <c r="J45" i="37" s="1"/>
  <c r="G19" i="34"/>
  <c r="J19" i="34" s="1"/>
  <c r="G21" i="34"/>
  <c r="J21" i="34" s="1"/>
  <c r="J48" i="34" s="1"/>
  <c r="G23" i="34"/>
  <c r="J23" i="34" s="1"/>
  <c r="G25" i="34"/>
  <c r="J25" i="34" s="1"/>
  <c r="G27" i="34"/>
  <c r="J27" i="34" s="1"/>
  <c r="G29" i="34"/>
  <c r="J29" i="34" s="1"/>
  <c r="G31" i="34"/>
  <c r="J31" i="34" s="1"/>
  <c r="G33" i="34"/>
  <c r="J33" i="34" s="1"/>
  <c r="G35" i="34"/>
  <c r="J35" i="34" s="1"/>
  <c r="I25" i="35"/>
  <c r="G25" i="35"/>
  <c r="J25" i="35" s="1"/>
  <c r="G36" i="35"/>
  <c r="J36" i="35" s="1"/>
  <c r="O9" i="36"/>
  <c r="O25" i="36"/>
  <c r="O35" i="36"/>
  <c r="O40" i="36"/>
  <c r="O18" i="37"/>
  <c r="P33" i="39"/>
  <c r="Q33" i="39" s="1"/>
  <c r="R33" i="39" s="1"/>
  <c r="S33" i="39" s="1"/>
  <c r="T33" i="39"/>
  <c r="O9" i="39"/>
  <c r="O23" i="39"/>
  <c r="O26" i="39"/>
  <c r="O29" i="39"/>
  <c r="O38" i="39"/>
  <c r="O40" i="39"/>
  <c r="K11" i="39"/>
  <c r="L11" i="39" s="1"/>
  <c r="O20" i="39"/>
  <c r="O32" i="39"/>
  <c r="G8" i="39"/>
  <c r="J8" i="39" s="1"/>
  <c r="O11" i="39"/>
  <c r="O14" i="39"/>
  <c r="G22" i="39"/>
  <c r="J22" i="39" s="1"/>
  <c r="O35" i="39"/>
  <c r="I41" i="39"/>
  <c r="G41" i="39"/>
  <c r="J41" i="39" s="1"/>
  <c r="G33" i="36"/>
  <c r="J33" i="36" s="1"/>
  <c r="G35" i="36"/>
  <c r="J35" i="36" s="1"/>
  <c r="G37" i="36"/>
  <c r="J37" i="36" s="1"/>
  <c r="G39" i="36"/>
  <c r="J39" i="36" s="1"/>
  <c r="G41" i="36"/>
  <c r="J41" i="36" s="1"/>
  <c r="G43" i="36"/>
  <c r="J43" i="36" s="1"/>
  <c r="O16" i="39"/>
  <c r="O37" i="39"/>
  <c r="G46" i="37"/>
  <c r="J46" i="37" s="1"/>
  <c r="G19" i="38"/>
  <c r="J19" i="38" s="1"/>
  <c r="G21" i="38"/>
  <c r="J21" i="38" s="1"/>
  <c r="G23" i="38"/>
  <c r="J23" i="38" s="1"/>
  <c r="G25" i="38"/>
  <c r="J25" i="38" s="1"/>
  <c r="J48" i="38" s="1"/>
  <c r="G27" i="38"/>
  <c r="J27" i="38" s="1"/>
  <c r="G29" i="38"/>
  <c r="J29" i="38" s="1"/>
  <c r="G31" i="38"/>
  <c r="J31" i="38" s="1"/>
  <c r="G33" i="38"/>
  <c r="J33" i="38" s="1"/>
  <c r="G35" i="38"/>
  <c r="J35" i="38" s="1"/>
  <c r="G37" i="38"/>
  <c r="J37" i="38" s="1"/>
  <c r="G39" i="38"/>
  <c r="J39" i="38" s="1"/>
  <c r="G41" i="38"/>
  <c r="J41" i="38" s="1"/>
  <c r="G43" i="38"/>
  <c r="J43" i="38" s="1"/>
  <c r="O8" i="39"/>
  <c r="G18" i="39"/>
  <c r="J18" i="39" s="1"/>
  <c r="G21" i="39"/>
  <c r="J21" i="39" s="1"/>
  <c r="G30" i="39"/>
  <c r="J30" i="39" s="1"/>
  <c r="G33" i="39"/>
  <c r="J33" i="39" s="1"/>
  <c r="O34" i="39"/>
  <c r="O41" i="39"/>
  <c r="O22" i="39"/>
  <c r="O25" i="39"/>
  <c r="O28" i="39"/>
  <c r="O31" i="39"/>
  <c r="G36" i="39"/>
  <c r="J36" i="39" s="1"/>
  <c r="O39" i="39"/>
  <c r="I36" i="40"/>
  <c r="G36" i="40"/>
  <c r="J36" i="40" s="1"/>
  <c r="G47" i="38"/>
  <c r="J47" i="38" s="1"/>
  <c r="G5" i="39"/>
  <c r="J5" i="39" s="1"/>
  <c r="K5" i="39" s="1"/>
  <c r="L5" i="39" s="1"/>
  <c r="O13" i="39"/>
  <c r="O19" i="39"/>
  <c r="I31" i="40"/>
  <c r="G31" i="40"/>
  <c r="J31" i="40" s="1"/>
  <c r="O3" i="39"/>
  <c r="P3" i="39" s="1"/>
  <c r="Q3" i="39" s="1"/>
  <c r="R3" i="39" s="1"/>
  <c r="S3" i="39" s="1"/>
  <c r="O42" i="39"/>
  <c r="O10" i="39"/>
  <c r="G15" i="39"/>
  <c r="J15" i="39" s="1"/>
  <c r="K15" i="39" s="1"/>
  <c r="L15" i="39" s="1"/>
  <c r="O27" i="39"/>
  <c r="O30" i="39"/>
  <c r="O36" i="39"/>
  <c r="G32" i="36"/>
  <c r="J32" i="36" s="1"/>
  <c r="G34" i="36"/>
  <c r="J34" i="36" s="1"/>
  <c r="G36" i="36"/>
  <c r="J36" i="36" s="1"/>
  <c r="G38" i="36"/>
  <c r="J38" i="36" s="1"/>
  <c r="G40" i="36"/>
  <c r="J40" i="36" s="1"/>
  <c r="G42" i="36"/>
  <c r="J42" i="36" s="1"/>
  <c r="G18" i="37"/>
  <c r="J18" i="37" s="1"/>
  <c r="G44" i="37"/>
  <c r="J44" i="37" s="1"/>
  <c r="O15" i="39"/>
  <c r="O18" i="39"/>
  <c r="G23" i="39"/>
  <c r="J23" i="39" s="1"/>
  <c r="G26" i="39"/>
  <c r="J26" i="39" s="1"/>
  <c r="G29" i="39"/>
  <c r="J29" i="39" s="1"/>
  <c r="G47" i="39"/>
  <c r="J47" i="39" s="1"/>
  <c r="I24" i="40"/>
  <c r="I48" i="40" s="1"/>
  <c r="G24" i="40"/>
  <c r="J24" i="40" s="1"/>
  <c r="O12" i="39"/>
  <c r="O17" i="39"/>
  <c r="O21" i="39"/>
  <c r="O24" i="39"/>
  <c r="G37" i="39"/>
  <c r="J37" i="39" s="1"/>
  <c r="G35" i="40"/>
  <c r="J35" i="40" s="1"/>
  <c r="G42" i="40"/>
  <c r="J42" i="40" s="1"/>
  <c r="G39" i="40"/>
  <c r="J39" i="40" s="1"/>
  <c r="G38" i="40"/>
  <c r="J38" i="40" s="1"/>
  <c r="G47" i="40"/>
  <c r="J47" i="40" s="1"/>
  <c r="G21" i="40"/>
  <c r="J21" i="40" s="1"/>
  <c r="G28" i="40"/>
  <c r="J28" i="40" s="1"/>
  <c r="J48" i="40" s="1"/>
  <c r="O6" i="40"/>
  <c r="P6" i="40" s="1"/>
  <c r="Q6" i="40" s="1"/>
  <c r="R6" i="40" s="1"/>
  <c r="S6" i="40" s="1"/>
  <c r="H48" i="40"/>
  <c r="Q3" i="40"/>
  <c r="R3" i="40" s="1"/>
  <c r="S3" i="40" s="1"/>
  <c r="O2" i="40"/>
  <c r="P2" i="40" s="1"/>
  <c r="Q2" i="40" s="1"/>
  <c r="R2" i="40" s="1"/>
  <c r="S2" i="40" s="1"/>
  <c r="O7" i="40"/>
  <c r="O5" i="40"/>
  <c r="O4" i="40"/>
  <c r="J48" i="32"/>
  <c r="J48" i="33"/>
  <c r="K48" i="40"/>
  <c r="L2" i="40"/>
  <c r="L48" i="40" s="1"/>
  <c r="K10" i="39"/>
  <c r="L10" i="39" s="1"/>
  <c r="K9" i="39"/>
  <c r="L9" i="39" s="1"/>
  <c r="K3" i="39"/>
  <c r="L3" i="39" s="1"/>
  <c r="H48" i="39"/>
  <c r="K2" i="39"/>
  <c r="I48" i="39"/>
  <c r="O4" i="39"/>
  <c r="P4" i="39" s="1"/>
  <c r="Q4" i="39" s="1"/>
  <c r="R4" i="39" s="1"/>
  <c r="S4" i="39" s="1"/>
  <c r="O7" i="39"/>
  <c r="P7" i="39" s="1"/>
  <c r="Q7" i="39" s="1"/>
  <c r="R7" i="39" s="1"/>
  <c r="S7" i="39" s="1"/>
  <c r="T3" i="39"/>
  <c r="V3" i="39" s="1"/>
  <c r="W3" i="39" s="1"/>
  <c r="N2" i="39"/>
  <c r="O5" i="39"/>
  <c r="P5" i="39" s="1"/>
  <c r="Q5" i="39" s="1"/>
  <c r="R5" i="39" s="1"/>
  <c r="S5" i="39" s="1"/>
  <c r="O6" i="39"/>
  <c r="H48" i="31"/>
  <c r="I48" i="38"/>
  <c r="K23" i="11"/>
  <c r="L23" i="11" s="1"/>
  <c r="K34" i="11"/>
  <c r="L34" i="11" s="1"/>
  <c r="D27" i="26"/>
  <c r="A28" i="26"/>
  <c r="A10" i="26"/>
  <c r="K32" i="21"/>
  <c r="L32" i="21" s="1"/>
  <c r="I32" i="21"/>
  <c r="O6" i="20"/>
  <c r="P6" i="20" s="1"/>
  <c r="Q6" i="20" s="1"/>
  <c r="R6" i="20" s="1"/>
  <c r="S6" i="20" s="1"/>
  <c r="O7" i="20"/>
  <c r="P7" i="20" s="1"/>
  <c r="Q7" i="20" s="1"/>
  <c r="R7" i="20" s="1"/>
  <c r="S7" i="20" s="1"/>
  <c r="T6" i="22"/>
  <c r="T6" i="21"/>
  <c r="O5" i="20"/>
  <c r="K2" i="38"/>
  <c r="O7" i="38"/>
  <c r="O6" i="38"/>
  <c r="O5" i="38"/>
  <c r="O4" i="38"/>
  <c r="O3" i="38"/>
  <c r="N2" i="38"/>
  <c r="H48" i="38"/>
  <c r="K7" i="38"/>
  <c r="L7" i="38" s="1"/>
  <c r="I16" i="37"/>
  <c r="G16" i="37"/>
  <c r="J16" i="37" s="1"/>
  <c r="I15" i="37"/>
  <c r="G15" i="37"/>
  <c r="J15" i="37" s="1"/>
  <c r="I14" i="37"/>
  <c r="G14" i="37"/>
  <c r="J14" i="37" s="1"/>
  <c r="I13" i="37"/>
  <c r="G13" i="37"/>
  <c r="J13" i="37" s="1"/>
  <c r="I12" i="37"/>
  <c r="G12" i="37"/>
  <c r="J12" i="37" s="1"/>
  <c r="O7" i="37"/>
  <c r="O6" i="37"/>
  <c r="I11" i="37"/>
  <c r="G11" i="37"/>
  <c r="J11" i="37" s="1"/>
  <c r="I10" i="37"/>
  <c r="G10" i="37"/>
  <c r="J10" i="37" s="1"/>
  <c r="I9" i="37"/>
  <c r="G9" i="37"/>
  <c r="J9" i="37" s="1"/>
  <c r="I8" i="37"/>
  <c r="G8" i="37"/>
  <c r="J8" i="37" s="1"/>
  <c r="I7" i="37"/>
  <c r="G7" i="37"/>
  <c r="J7" i="37" s="1"/>
  <c r="O5" i="37"/>
  <c r="P5" i="37" s="1"/>
  <c r="Q5" i="37" s="1"/>
  <c r="R5" i="37" s="1"/>
  <c r="S5" i="37" s="1"/>
  <c r="O4" i="37"/>
  <c r="P4" i="37" s="1"/>
  <c r="Q4" i="37" s="1"/>
  <c r="R4" i="37" s="1"/>
  <c r="I6" i="37"/>
  <c r="G6" i="37"/>
  <c r="J6" i="37" s="1"/>
  <c r="I5" i="37"/>
  <c r="G5" i="37"/>
  <c r="J5" i="37" s="1"/>
  <c r="N2" i="37"/>
  <c r="O3" i="37"/>
  <c r="P3" i="37" s="1"/>
  <c r="Q3" i="37" s="1"/>
  <c r="R3" i="37" s="1"/>
  <c r="I4" i="37"/>
  <c r="G4" i="37"/>
  <c r="J4" i="37" s="1"/>
  <c r="I3" i="37"/>
  <c r="G3" i="37"/>
  <c r="J3" i="37" s="1"/>
  <c r="I2" i="37"/>
  <c r="G2" i="37"/>
  <c r="J2" i="37" s="1"/>
  <c r="H48" i="37"/>
  <c r="K2" i="37"/>
  <c r="I31" i="36"/>
  <c r="G31" i="36"/>
  <c r="J31" i="36" s="1"/>
  <c r="I30" i="36"/>
  <c r="G30" i="36"/>
  <c r="J30" i="36" s="1"/>
  <c r="K30" i="36" s="1"/>
  <c r="L30" i="36" s="1"/>
  <c r="I29" i="36"/>
  <c r="O6" i="36" s="1"/>
  <c r="G29" i="36"/>
  <c r="J29" i="36" s="1"/>
  <c r="K29" i="36" s="1"/>
  <c r="L29" i="36" s="1"/>
  <c r="S6" i="36"/>
  <c r="S7" i="36"/>
  <c r="I28" i="36"/>
  <c r="G28" i="36"/>
  <c r="J28" i="36" s="1"/>
  <c r="K28" i="36" s="1"/>
  <c r="L28" i="36" s="1"/>
  <c r="I27" i="36"/>
  <c r="G27" i="36"/>
  <c r="J27" i="36" s="1"/>
  <c r="K27" i="36" s="1"/>
  <c r="L27" i="36" s="1"/>
  <c r="I26" i="36"/>
  <c r="G26" i="36"/>
  <c r="J26" i="36" s="1"/>
  <c r="K26" i="36" s="1"/>
  <c r="L26" i="36" s="1"/>
  <c r="I25" i="36"/>
  <c r="G25" i="36"/>
  <c r="J25" i="36" s="1"/>
  <c r="K25" i="36" s="1"/>
  <c r="L25" i="36" s="1"/>
  <c r="I24" i="36"/>
  <c r="G24" i="36"/>
  <c r="J24" i="36" s="1"/>
  <c r="K24" i="36" s="1"/>
  <c r="L24" i="36" s="1"/>
  <c r="I23" i="36"/>
  <c r="G23" i="36"/>
  <c r="J23" i="36" s="1"/>
  <c r="K23" i="36" s="1"/>
  <c r="L23" i="36" s="1"/>
  <c r="I22" i="36"/>
  <c r="G22" i="36"/>
  <c r="J22" i="36" s="1"/>
  <c r="K22" i="36" s="1"/>
  <c r="L22" i="36" s="1"/>
  <c r="I21" i="36"/>
  <c r="G21" i="36"/>
  <c r="J21" i="36" s="1"/>
  <c r="K21" i="36" s="1"/>
  <c r="L21" i="36" s="1"/>
  <c r="I20" i="36"/>
  <c r="G20" i="36"/>
  <c r="J20" i="36" s="1"/>
  <c r="K20" i="36" s="1"/>
  <c r="L20" i="36" s="1"/>
  <c r="I19" i="36"/>
  <c r="G19" i="36"/>
  <c r="J19" i="36" s="1"/>
  <c r="K19" i="36" s="1"/>
  <c r="L19" i="36" s="1"/>
  <c r="I18" i="36"/>
  <c r="G18" i="36"/>
  <c r="J18" i="36" s="1"/>
  <c r="K18" i="36" s="1"/>
  <c r="L18" i="36" s="1"/>
  <c r="I17" i="36"/>
  <c r="G17" i="36"/>
  <c r="J17" i="36" s="1"/>
  <c r="K17" i="36" s="1"/>
  <c r="L17" i="36" s="1"/>
  <c r="I16" i="36"/>
  <c r="G16" i="36"/>
  <c r="J16" i="36" s="1"/>
  <c r="K16" i="36" s="1"/>
  <c r="L16" i="36" s="1"/>
  <c r="I15" i="36"/>
  <c r="G15" i="36"/>
  <c r="J15" i="36" s="1"/>
  <c r="K15" i="36" s="1"/>
  <c r="L15" i="36" s="1"/>
  <c r="I14" i="36"/>
  <c r="O5" i="36" s="1"/>
  <c r="P5" i="36" s="1"/>
  <c r="Q5" i="36" s="1"/>
  <c r="R5" i="36" s="1"/>
  <c r="S5" i="36" s="1"/>
  <c r="G14" i="36"/>
  <c r="J14" i="36" s="1"/>
  <c r="K14" i="36" s="1"/>
  <c r="L14" i="36" s="1"/>
  <c r="I13" i="36"/>
  <c r="G13" i="36"/>
  <c r="J13" i="36" s="1"/>
  <c r="K13" i="36" s="1"/>
  <c r="L13" i="36" s="1"/>
  <c r="I12" i="36"/>
  <c r="G12" i="36"/>
  <c r="J12" i="36" s="1"/>
  <c r="K12" i="36" s="1"/>
  <c r="L12" i="36" s="1"/>
  <c r="I11" i="36"/>
  <c r="G11" i="36"/>
  <c r="J11" i="36" s="1"/>
  <c r="K11" i="36" s="1"/>
  <c r="L11" i="36" s="1"/>
  <c r="I10" i="36"/>
  <c r="G10" i="36"/>
  <c r="J10" i="36" s="1"/>
  <c r="K10" i="36" s="1"/>
  <c r="L10" i="36" s="1"/>
  <c r="I9" i="36"/>
  <c r="G9" i="36"/>
  <c r="J9" i="36" s="1"/>
  <c r="K9" i="36" s="1"/>
  <c r="L9" i="36" s="1"/>
  <c r="I8" i="36"/>
  <c r="G8" i="36"/>
  <c r="J8" i="36" s="1"/>
  <c r="K8" i="36" s="1"/>
  <c r="L8" i="36" s="1"/>
  <c r="I7" i="36"/>
  <c r="G7" i="36"/>
  <c r="J7" i="36" s="1"/>
  <c r="K7" i="36" s="1"/>
  <c r="L7" i="36" s="1"/>
  <c r="I6" i="36"/>
  <c r="G6" i="36"/>
  <c r="J6" i="36" s="1"/>
  <c r="K6" i="36" s="1"/>
  <c r="L6" i="36" s="1"/>
  <c r="I5" i="36"/>
  <c r="G5" i="36"/>
  <c r="J5" i="36" s="1"/>
  <c r="K5" i="36"/>
  <c r="L5" i="36" s="1"/>
  <c r="I4" i="36"/>
  <c r="G4" i="36"/>
  <c r="J4" i="36" s="1"/>
  <c r="K4" i="36" s="1"/>
  <c r="L4" i="36" s="1"/>
  <c r="I3" i="36"/>
  <c r="O3" i="36" s="1"/>
  <c r="P3" i="36" s="1"/>
  <c r="Q3" i="36" s="1"/>
  <c r="R3" i="36" s="1"/>
  <c r="S3" i="36" s="1"/>
  <c r="G3" i="36"/>
  <c r="J3" i="36" s="1"/>
  <c r="K3" i="36" s="1"/>
  <c r="L3" i="36" s="1"/>
  <c r="I2" i="36"/>
  <c r="G2" i="36"/>
  <c r="J2" i="36" s="1"/>
  <c r="N2" i="36"/>
  <c r="H48" i="36"/>
  <c r="K2" i="36"/>
  <c r="I14" i="35"/>
  <c r="G14" i="35"/>
  <c r="J14" i="35" s="1"/>
  <c r="I13" i="35"/>
  <c r="G13" i="35"/>
  <c r="J13" i="35" s="1"/>
  <c r="I12" i="35"/>
  <c r="G12" i="35"/>
  <c r="J12" i="35" s="1"/>
  <c r="I10" i="35"/>
  <c r="G10" i="35"/>
  <c r="J10" i="35" s="1"/>
  <c r="K10" i="35" s="1"/>
  <c r="L10" i="35" s="1"/>
  <c r="I9" i="35"/>
  <c r="G9" i="35"/>
  <c r="J9" i="35" s="1"/>
  <c r="K9" i="35" s="1"/>
  <c r="L9" i="35" s="1"/>
  <c r="I7" i="35"/>
  <c r="G7" i="35"/>
  <c r="J7" i="35" s="1"/>
  <c r="K7" i="35" s="1"/>
  <c r="L7" i="35" s="1"/>
  <c r="I6" i="35"/>
  <c r="G6" i="35"/>
  <c r="J6" i="35" s="1"/>
  <c r="K6" i="35" s="1"/>
  <c r="L6" i="35" s="1"/>
  <c r="I5" i="35"/>
  <c r="G5" i="35"/>
  <c r="J5" i="35" s="1"/>
  <c r="K5" i="35" s="1"/>
  <c r="L5" i="35" s="1"/>
  <c r="I4" i="35"/>
  <c r="O4" i="35" s="1"/>
  <c r="G4" i="35"/>
  <c r="J4" i="35" s="1"/>
  <c r="K4" i="35" s="1"/>
  <c r="L4" i="35" s="1"/>
  <c r="O6" i="35"/>
  <c r="P6" i="35" s="1"/>
  <c r="O5" i="35"/>
  <c r="P5" i="35" s="1"/>
  <c r="Q5" i="35" s="1"/>
  <c r="R5" i="35" s="1"/>
  <c r="S5" i="35" s="1"/>
  <c r="N2" i="35"/>
  <c r="I3" i="35"/>
  <c r="G3" i="35"/>
  <c r="J3" i="35" s="1"/>
  <c r="K3" i="35" s="1"/>
  <c r="L3" i="35" s="1"/>
  <c r="I2" i="35"/>
  <c r="G2" i="35"/>
  <c r="J2" i="35" s="1"/>
  <c r="H48" i="35"/>
  <c r="K2" i="35"/>
  <c r="H48" i="34"/>
  <c r="W2" i="34"/>
  <c r="H48" i="33"/>
  <c r="W2" i="33"/>
  <c r="H48" i="32"/>
  <c r="W2" i="32"/>
  <c r="A3" i="13"/>
  <c r="J48" i="31"/>
  <c r="K48" i="31"/>
  <c r="I48" i="31"/>
  <c r="O4" i="31"/>
  <c r="P4" i="31" s="1"/>
  <c r="Q4" i="31" s="1"/>
  <c r="R4" i="31" s="1"/>
  <c r="S4" i="31" s="1"/>
  <c r="O7" i="31"/>
  <c r="P7" i="31" s="1"/>
  <c r="Q7" i="31" s="1"/>
  <c r="R7" i="31" s="1"/>
  <c r="S7" i="31" s="1"/>
  <c r="O3" i="31"/>
  <c r="P3" i="31" s="1"/>
  <c r="Q3" i="31" s="1"/>
  <c r="R3" i="31" s="1"/>
  <c r="S3" i="31" s="1"/>
  <c r="O5" i="31"/>
  <c r="P5" i="31" s="1"/>
  <c r="Q5" i="31" s="1"/>
  <c r="R5" i="31" s="1"/>
  <c r="S5" i="31" s="1"/>
  <c r="O6" i="31"/>
  <c r="P6" i="31" s="1"/>
  <c r="Q6" i="31" s="1"/>
  <c r="R6" i="31" s="1"/>
  <c r="S6" i="31" s="1"/>
  <c r="L2" i="31"/>
  <c r="L48" i="31" s="1"/>
  <c r="N2" i="31"/>
  <c r="K34" i="23"/>
  <c r="L34" i="23" s="1"/>
  <c r="O7" i="29"/>
  <c r="P7" i="29" s="1"/>
  <c r="Q7" i="29" s="1"/>
  <c r="R7" i="29" s="1"/>
  <c r="S7" i="29" s="1"/>
  <c r="O6" i="29"/>
  <c r="P6" i="29" s="1"/>
  <c r="Q6" i="29" s="1"/>
  <c r="R6" i="29" s="1"/>
  <c r="S6" i="29" s="1"/>
  <c r="O4" i="29"/>
  <c r="P4" i="29" s="1"/>
  <c r="Q4" i="29" s="1"/>
  <c r="R4" i="29" s="1"/>
  <c r="S4" i="29" s="1"/>
  <c r="O5" i="29"/>
  <c r="P5" i="29" s="1"/>
  <c r="Q5" i="29" s="1"/>
  <c r="R5" i="29" s="1"/>
  <c r="S5" i="29" s="1"/>
  <c r="G2" i="29"/>
  <c r="J48" i="29" s="1"/>
  <c r="O3" i="29"/>
  <c r="P3" i="29" s="1"/>
  <c r="Q3" i="29" s="1"/>
  <c r="R3" i="29" s="1"/>
  <c r="S3" i="29" s="1"/>
  <c r="T3" i="29" s="1"/>
  <c r="V3" i="29" s="1"/>
  <c r="W3" i="29" s="1"/>
  <c r="O2" i="29"/>
  <c r="P2" i="29" s="1"/>
  <c r="Q2" i="29" s="1"/>
  <c r="R2" i="29" s="1"/>
  <c r="S2" i="29" s="1"/>
  <c r="I48" i="29"/>
  <c r="K37" i="23"/>
  <c r="L37" i="23" s="1"/>
  <c r="K48" i="29"/>
  <c r="L2" i="29"/>
  <c r="L48" i="29" s="1"/>
  <c r="H48" i="29"/>
  <c r="I39" i="26"/>
  <c r="G39" i="26"/>
  <c r="J39" i="26" s="1"/>
  <c r="K39" i="26" s="1"/>
  <c r="L39" i="26" s="1"/>
  <c r="I36" i="26"/>
  <c r="G36" i="26"/>
  <c r="J36" i="26" s="1"/>
  <c r="K36" i="26" s="1"/>
  <c r="L36" i="26" s="1"/>
  <c r="I29" i="26"/>
  <c r="G29" i="26"/>
  <c r="J29" i="26" s="1"/>
  <c r="K29" i="26" s="1"/>
  <c r="L29" i="26" s="1"/>
  <c r="I27" i="26"/>
  <c r="G27" i="26"/>
  <c r="J27" i="26" s="1"/>
  <c r="K27" i="26" s="1"/>
  <c r="L27" i="26" s="1"/>
  <c r="I26" i="26"/>
  <c r="G26" i="26"/>
  <c r="J26" i="26" s="1"/>
  <c r="K26" i="26" s="1"/>
  <c r="L26" i="26" s="1"/>
  <c r="I25" i="26"/>
  <c r="G25" i="26"/>
  <c r="J25" i="26" s="1"/>
  <c r="K25" i="26" s="1"/>
  <c r="L25" i="26" s="1"/>
  <c r="I24" i="26"/>
  <c r="G24" i="26"/>
  <c r="J24" i="26" s="1"/>
  <c r="K24" i="26" s="1"/>
  <c r="L24" i="26" s="1"/>
  <c r="K31" i="23"/>
  <c r="L31" i="23" s="1"/>
  <c r="K30" i="23"/>
  <c r="L30" i="23" s="1"/>
  <c r="K39" i="23"/>
  <c r="L39" i="23" s="1"/>
  <c r="I23" i="26"/>
  <c r="G23" i="26"/>
  <c r="J23" i="26" s="1"/>
  <c r="K23" i="26" s="1"/>
  <c r="L23" i="26" s="1"/>
  <c r="I22" i="26"/>
  <c r="G22" i="26"/>
  <c r="J22" i="26" s="1"/>
  <c r="K22" i="26" s="1"/>
  <c r="L22" i="26" s="1"/>
  <c r="I17" i="26"/>
  <c r="G17" i="26"/>
  <c r="J17" i="26" s="1"/>
  <c r="K17" i="26" s="1"/>
  <c r="L17" i="26" s="1"/>
  <c r="I15" i="26"/>
  <c r="G15" i="26"/>
  <c r="J15" i="26" s="1"/>
  <c r="K15" i="26" s="1"/>
  <c r="L15" i="26" s="1"/>
  <c r="I14" i="26"/>
  <c r="G14" i="26"/>
  <c r="J14" i="26" s="1"/>
  <c r="K14" i="26" s="1"/>
  <c r="L14" i="26" s="1"/>
  <c r="I13" i="26"/>
  <c r="G13" i="26"/>
  <c r="J13" i="26" s="1"/>
  <c r="K13" i="26" s="1"/>
  <c r="L13" i="26" s="1"/>
  <c r="I9" i="26"/>
  <c r="G9" i="26"/>
  <c r="J9" i="26" s="1"/>
  <c r="K9" i="26" s="1"/>
  <c r="L9" i="26" s="1"/>
  <c r="I8" i="26"/>
  <c r="G8" i="26"/>
  <c r="J8" i="26" s="1"/>
  <c r="K8" i="26" s="1"/>
  <c r="L8" i="26" s="1"/>
  <c r="I7" i="26"/>
  <c r="G7" i="26"/>
  <c r="J7" i="26" s="1"/>
  <c r="K7" i="26" s="1"/>
  <c r="L7" i="26" s="1"/>
  <c r="I6" i="26"/>
  <c r="G6" i="26"/>
  <c r="J6" i="26" s="1"/>
  <c r="K6" i="26" s="1"/>
  <c r="L6" i="26" s="1"/>
  <c r="I5" i="26"/>
  <c r="G5" i="26"/>
  <c r="J5" i="26" s="1"/>
  <c r="K5" i="26" s="1"/>
  <c r="L5" i="26" s="1"/>
  <c r="I4" i="26"/>
  <c r="G4" i="26"/>
  <c r="J4" i="26" s="1"/>
  <c r="K4" i="26" s="1"/>
  <c r="L4" i="26" s="1"/>
  <c r="I3" i="26"/>
  <c r="G3" i="26"/>
  <c r="J3" i="26" s="1"/>
  <c r="K3" i="26" s="1"/>
  <c r="L3" i="26" s="1"/>
  <c r="I2" i="26"/>
  <c r="G2" i="26"/>
  <c r="J2" i="26" s="1"/>
  <c r="N2" i="26"/>
  <c r="H48" i="26"/>
  <c r="O7" i="25"/>
  <c r="P7" i="25" s="1"/>
  <c r="Q7" i="25" s="1"/>
  <c r="R7" i="25" s="1"/>
  <c r="S7" i="25" s="1"/>
  <c r="N2" i="25"/>
  <c r="O4" i="25"/>
  <c r="I44" i="24"/>
  <c r="G44" i="24"/>
  <c r="J44" i="24" s="1"/>
  <c r="K44" i="24" s="1"/>
  <c r="L44" i="24" s="1"/>
  <c r="I43" i="24"/>
  <c r="G43" i="24"/>
  <c r="J43" i="24" s="1"/>
  <c r="K43" i="24" s="1"/>
  <c r="L43" i="24" s="1"/>
  <c r="I42" i="24"/>
  <c r="G42" i="24"/>
  <c r="J42" i="24" s="1"/>
  <c r="K42" i="24" s="1"/>
  <c r="L42" i="24" s="1"/>
  <c r="I41" i="24"/>
  <c r="G41" i="24"/>
  <c r="J41" i="24" s="1"/>
  <c r="K41" i="24" s="1"/>
  <c r="L41" i="24" s="1"/>
  <c r="I40" i="24"/>
  <c r="G40" i="24"/>
  <c r="J40" i="24" s="1"/>
  <c r="K40" i="24" s="1"/>
  <c r="L40" i="24" s="1"/>
  <c r="I39" i="24"/>
  <c r="G39" i="24"/>
  <c r="J39" i="24" s="1"/>
  <c r="K39" i="24" s="1"/>
  <c r="L39" i="24" s="1"/>
  <c r="I38" i="24"/>
  <c r="G38" i="24"/>
  <c r="J38" i="24" s="1"/>
  <c r="K38" i="24" s="1"/>
  <c r="L38" i="24" s="1"/>
  <c r="I37" i="24"/>
  <c r="G37" i="24"/>
  <c r="J37" i="24" s="1"/>
  <c r="K37" i="24" s="1"/>
  <c r="L37" i="24" s="1"/>
  <c r="I36" i="24"/>
  <c r="G36" i="24"/>
  <c r="J36" i="24" s="1"/>
  <c r="K36" i="24" s="1"/>
  <c r="L36" i="24" s="1"/>
  <c r="I35" i="24"/>
  <c r="G35" i="24"/>
  <c r="J35" i="24" s="1"/>
  <c r="K35" i="24" s="1"/>
  <c r="L35" i="24" s="1"/>
  <c r="I34" i="24"/>
  <c r="G34" i="24"/>
  <c r="J34" i="24" s="1"/>
  <c r="K34" i="24" s="1"/>
  <c r="L34" i="24" s="1"/>
  <c r="I33" i="24"/>
  <c r="G33" i="24"/>
  <c r="J33" i="24" s="1"/>
  <c r="K33" i="24" s="1"/>
  <c r="L33" i="24" s="1"/>
  <c r="I32" i="24"/>
  <c r="G32" i="24"/>
  <c r="J32" i="24" s="1"/>
  <c r="K32" i="24" s="1"/>
  <c r="L32" i="24" s="1"/>
  <c r="I31" i="24"/>
  <c r="G31" i="24"/>
  <c r="J31" i="24" s="1"/>
  <c r="K31" i="24" s="1"/>
  <c r="L31" i="24" s="1"/>
  <c r="I30" i="24"/>
  <c r="G30" i="24"/>
  <c r="J30" i="24" s="1"/>
  <c r="K30" i="24" s="1"/>
  <c r="L30" i="24" s="1"/>
  <c r="I29" i="24"/>
  <c r="G29" i="24"/>
  <c r="J29" i="24" s="1"/>
  <c r="K29" i="24" s="1"/>
  <c r="L29" i="24" s="1"/>
  <c r="I28" i="24"/>
  <c r="G28" i="24"/>
  <c r="J28" i="24" s="1"/>
  <c r="K28" i="24" s="1"/>
  <c r="L28" i="24" s="1"/>
  <c r="I27" i="24"/>
  <c r="G27" i="24"/>
  <c r="J27" i="24" s="1"/>
  <c r="K27" i="24" s="1"/>
  <c r="L27" i="24" s="1"/>
  <c r="I26" i="24"/>
  <c r="G26" i="24"/>
  <c r="J26" i="24" s="1"/>
  <c r="K26" i="24" s="1"/>
  <c r="L26" i="24" s="1"/>
  <c r="I25" i="24"/>
  <c r="G25" i="24"/>
  <c r="J25" i="24" s="1"/>
  <c r="K25" i="24" s="1"/>
  <c r="L25" i="24" s="1"/>
  <c r="I24" i="24"/>
  <c r="G24" i="24"/>
  <c r="J24" i="24" s="1"/>
  <c r="K24" i="24" s="1"/>
  <c r="L24" i="24" s="1"/>
  <c r="I23" i="24"/>
  <c r="G23" i="24"/>
  <c r="J23" i="24" s="1"/>
  <c r="K23" i="24" s="1"/>
  <c r="L23" i="24" s="1"/>
  <c r="I22" i="24"/>
  <c r="G22" i="24"/>
  <c r="J22" i="24" s="1"/>
  <c r="K22" i="24" s="1"/>
  <c r="L22" i="24" s="1"/>
  <c r="I21" i="24"/>
  <c r="G21" i="24"/>
  <c r="J21" i="24" s="1"/>
  <c r="K21" i="24" s="1"/>
  <c r="L21" i="24" s="1"/>
  <c r="I20" i="24"/>
  <c r="G20" i="24"/>
  <c r="J20" i="24" s="1"/>
  <c r="K20" i="24" s="1"/>
  <c r="L20" i="24" s="1"/>
  <c r="I19" i="24"/>
  <c r="G19" i="24"/>
  <c r="J19" i="24" s="1"/>
  <c r="K19" i="24" s="1"/>
  <c r="L19" i="24" s="1"/>
  <c r="I18" i="24"/>
  <c r="G18" i="24"/>
  <c r="J18" i="24" s="1"/>
  <c r="K18" i="24" s="1"/>
  <c r="L18" i="24" s="1"/>
  <c r="I17" i="24"/>
  <c r="G17" i="24"/>
  <c r="J17" i="24" s="1"/>
  <c r="K17" i="24" s="1"/>
  <c r="L17" i="24" s="1"/>
  <c r="I16" i="24"/>
  <c r="G16" i="24"/>
  <c r="J16" i="24" s="1"/>
  <c r="K16" i="24" s="1"/>
  <c r="L16" i="24" s="1"/>
  <c r="I15" i="24"/>
  <c r="G15" i="24"/>
  <c r="J15" i="24" s="1"/>
  <c r="K15" i="24" s="1"/>
  <c r="L15" i="24" s="1"/>
  <c r="I14" i="24"/>
  <c r="G14" i="24"/>
  <c r="J14" i="24" s="1"/>
  <c r="K14" i="24" s="1"/>
  <c r="L14" i="24" s="1"/>
  <c r="I13" i="24"/>
  <c r="G13" i="24"/>
  <c r="J13" i="24" s="1"/>
  <c r="K13" i="24" s="1"/>
  <c r="L13" i="24" s="1"/>
  <c r="I12" i="24"/>
  <c r="G12" i="24"/>
  <c r="J12" i="24" s="1"/>
  <c r="K12" i="24" s="1"/>
  <c r="L12" i="24" s="1"/>
  <c r="I11" i="24"/>
  <c r="G11" i="24"/>
  <c r="J11" i="24" s="1"/>
  <c r="K11" i="24" s="1"/>
  <c r="L11" i="24" s="1"/>
  <c r="I10" i="24"/>
  <c r="G10" i="24"/>
  <c r="J10" i="24" s="1"/>
  <c r="K10" i="24" s="1"/>
  <c r="L10" i="24" s="1"/>
  <c r="I9" i="24"/>
  <c r="G9" i="24"/>
  <c r="J9" i="24" s="1"/>
  <c r="K9" i="24" s="1"/>
  <c r="L9" i="24" s="1"/>
  <c r="I8" i="24"/>
  <c r="G8" i="24"/>
  <c r="J8" i="24" s="1"/>
  <c r="K8" i="24" s="1"/>
  <c r="L8" i="24" s="1"/>
  <c r="I7" i="24"/>
  <c r="G7" i="24"/>
  <c r="J7" i="24" s="1"/>
  <c r="K7" i="24" s="1"/>
  <c r="L7" i="24" s="1"/>
  <c r="I6" i="24"/>
  <c r="G6" i="24"/>
  <c r="J6" i="24" s="1"/>
  <c r="K6" i="24" s="1"/>
  <c r="L6" i="24" s="1"/>
  <c r="I5" i="24"/>
  <c r="G5" i="24"/>
  <c r="J5" i="24" s="1"/>
  <c r="K5" i="24" s="1"/>
  <c r="L5" i="24" s="1"/>
  <c r="N2" i="24"/>
  <c r="I4" i="24"/>
  <c r="G4" i="24"/>
  <c r="J4" i="24" s="1"/>
  <c r="K4" i="24" s="1"/>
  <c r="L4" i="24" s="1"/>
  <c r="I3" i="24"/>
  <c r="G3" i="24"/>
  <c r="J3" i="24" s="1"/>
  <c r="K3" i="24" s="1"/>
  <c r="L3" i="24" s="1"/>
  <c r="I2" i="24"/>
  <c r="G2" i="24"/>
  <c r="J2" i="24" s="1"/>
  <c r="K2" i="24" s="1"/>
  <c r="H48" i="24"/>
  <c r="K45" i="11"/>
  <c r="L45" i="11" s="1"/>
  <c r="K40" i="11"/>
  <c r="L40" i="11" s="1"/>
  <c r="K39" i="11"/>
  <c r="L39" i="11" s="1"/>
  <c r="K29" i="11"/>
  <c r="L29" i="11" s="1"/>
  <c r="K19" i="11"/>
  <c r="L19" i="11" s="1"/>
  <c r="K24" i="11"/>
  <c r="L24" i="11" s="1"/>
  <c r="K30" i="11"/>
  <c r="L30" i="11" s="1"/>
  <c r="K20" i="11"/>
  <c r="L20" i="11" s="1"/>
  <c r="G35" i="23"/>
  <c r="J35" i="23" s="1"/>
  <c r="I39" i="23"/>
  <c r="G38" i="23"/>
  <c r="J38" i="23" s="1"/>
  <c r="K38" i="23" s="1"/>
  <c r="L38" i="23" s="1"/>
  <c r="G44" i="23"/>
  <c r="J44" i="23" s="1"/>
  <c r="K44" i="23" s="1"/>
  <c r="L44" i="23" s="1"/>
  <c r="K48" i="23"/>
  <c r="L48" i="23" s="1"/>
  <c r="K32" i="23"/>
  <c r="L32" i="23" s="1"/>
  <c r="K29" i="23"/>
  <c r="L29" i="23" s="1"/>
  <c r="K50" i="23"/>
  <c r="L50" i="23" s="1"/>
  <c r="K27" i="23"/>
  <c r="L27" i="23" s="1"/>
  <c r="K26" i="23"/>
  <c r="L26" i="23" s="1"/>
  <c r="K35" i="23"/>
  <c r="L35" i="23" s="1"/>
  <c r="G47" i="23"/>
  <c r="J47" i="23" s="1"/>
  <c r="K47" i="23" s="1"/>
  <c r="L47" i="23" s="1"/>
  <c r="I50" i="23"/>
  <c r="I29" i="23"/>
  <c r="I28" i="23"/>
  <c r="I49" i="23"/>
  <c r="G49" i="23"/>
  <c r="J49" i="23" s="1"/>
  <c r="K49" i="23" s="1"/>
  <c r="L49" i="23" s="1"/>
  <c r="I36" i="23"/>
  <c r="G36" i="23"/>
  <c r="J36" i="23" s="1"/>
  <c r="K36" i="23" s="1"/>
  <c r="L36" i="23" s="1"/>
  <c r="O7" i="23"/>
  <c r="P7" i="23" s="1"/>
  <c r="I25" i="23"/>
  <c r="G25" i="23"/>
  <c r="J25" i="23" s="1"/>
  <c r="K25" i="23" s="1"/>
  <c r="L25" i="23" s="1"/>
  <c r="I24" i="23"/>
  <c r="G24" i="23"/>
  <c r="J24" i="23" s="1"/>
  <c r="K24" i="23" s="1"/>
  <c r="L24" i="23" s="1"/>
  <c r="I23" i="23"/>
  <c r="G23" i="23"/>
  <c r="J23" i="23" s="1"/>
  <c r="K23" i="23" s="1"/>
  <c r="L23" i="23" s="1"/>
  <c r="I22" i="23"/>
  <c r="G22" i="23"/>
  <c r="J22" i="23" s="1"/>
  <c r="K22" i="23" s="1"/>
  <c r="L22" i="23" s="1"/>
  <c r="I21" i="23"/>
  <c r="G21" i="23"/>
  <c r="J21" i="23" s="1"/>
  <c r="K21" i="23" s="1"/>
  <c r="L21" i="23" s="1"/>
  <c r="I20" i="23"/>
  <c r="J20" i="23"/>
  <c r="K20" i="23" s="1"/>
  <c r="L20" i="23" s="1"/>
  <c r="I19" i="23"/>
  <c r="G19" i="23"/>
  <c r="J19" i="23" s="1"/>
  <c r="K19" i="23" s="1"/>
  <c r="L19" i="23" s="1"/>
  <c r="I18" i="23"/>
  <c r="G18" i="23"/>
  <c r="J18" i="23" s="1"/>
  <c r="K18" i="23" s="1"/>
  <c r="L18" i="23" s="1"/>
  <c r="I17" i="23"/>
  <c r="G17" i="23"/>
  <c r="J17" i="23" s="1"/>
  <c r="K17" i="23" s="1"/>
  <c r="L17" i="23" s="1"/>
  <c r="I16" i="23"/>
  <c r="G16" i="23"/>
  <c r="J16" i="23" s="1"/>
  <c r="K16" i="23" s="1"/>
  <c r="L16" i="23" s="1"/>
  <c r="I15" i="23"/>
  <c r="G15" i="23"/>
  <c r="J15" i="23" s="1"/>
  <c r="K15" i="23" s="1"/>
  <c r="L15" i="23" s="1"/>
  <c r="I14" i="23"/>
  <c r="G14" i="23"/>
  <c r="J14" i="23" s="1"/>
  <c r="K14" i="23" s="1"/>
  <c r="L14" i="23" s="1"/>
  <c r="I13" i="23"/>
  <c r="G13" i="23"/>
  <c r="J13" i="23" s="1"/>
  <c r="K13" i="23" s="1"/>
  <c r="L13" i="23" s="1"/>
  <c r="I12" i="23"/>
  <c r="G12" i="23"/>
  <c r="J12" i="23" s="1"/>
  <c r="K12" i="23" s="1"/>
  <c r="L12" i="23" s="1"/>
  <c r="I11" i="23"/>
  <c r="G11" i="23"/>
  <c r="J11" i="23" s="1"/>
  <c r="K11" i="23" s="1"/>
  <c r="L11" i="23" s="1"/>
  <c r="I10" i="23"/>
  <c r="G10" i="23"/>
  <c r="J10" i="23" s="1"/>
  <c r="K10" i="23" s="1"/>
  <c r="L10" i="23" s="1"/>
  <c r="I9" i="23"/>
  <c r="G9" i="23"/>
  <c r="J9" i="23" s="1"/>
  <c r="K9" i="23" s="1"/>
  <c r="L9" i="23" s="1"/>
  <c r="I8" i="23"/>
  <c r="G8" i="23"/>
  <c r="J8" i="23" s="1"/>
  <c r="K8" i="23" s="1"/>
  <c r="L8" i="23" s="1"/>
  <c r="I7" i="23"/>
  <c r="G7" i="23"/>
  <c r="J7" i="23" s="1"/>
  <c r="K7" i="23" s="1"/>
  <c r="L7" i="23" s="1"/>
  <c r="I6" i="23"/>
  <c r="G6" i="23"/>
  <c r="J6" i="23" s="1"/>
  <c r="K6" i="23" s="1"/>
  <c r="L6" i="23" s="1"/>
  <c r="I5" i="23"/>
  <c r="G5" i="23"/>
  <c r="J5" i="23" s="1"/>
  <c r="K5" i="23" s="1"/>
  <c r="L5" i="23" s="1"/>
  <c r="I4" i="23"/>
  <c r="G4" i="23"/>
  <c r="J4" i="23" s="1"/>
  <c r="K4" i="23" s="1"/>
  <c r="L4" i="23" s="1"/>
  <c r="I3" i="23"/>
  <c r="G3" i="23"/>
  <c r="J3" i="23" s="1"/>
  <c r="K3" i="23" s="1"/>
  <c r="L3" i="23" s="1"/>
  <c r="I2" i="23"/>
  <c r="O3" i="23" s="1"/>
  <c r="P3" i="23" s="1"/>
  <c r="Q3" i="23" s="1"/>
  <c r="R3" i="23" s="1"/>
  <c r="S3" i="23" s="1"/>
  <c r="G2" i="23"/>
  <c r="J2" i="23" s="1"/>
  <c r="K2" i="23" s="1"/>
  <c r="N2" i="23"/>
  <c r="H54" i="23"/>
  <c r="I28" i="22"/>
  <c r="G28" i="22"/>
  <c r="J28" i="22" s="1"/>
  <c r="K28" i="22" s="1"/>
  <c r="L28" i="22" s="1"/>
  <c r="I27" i="22"/>
  <c r="G27" i="22"/>
  <c r="J27" i="22" s="1"/>
  <c r="K27" i="22" s="1"/>
  <c r="L27" i="22" s="1"/>
  <c r="I26" i="22"/>
  <c r="G26" i="22"/>
  <c r="J26" i="22" s="1"/>
  <c r="K26" i="22" s="1"/>
  <c r="L26" i="22" s="1"/>
  <c r="I25" i="22"/>
  <c r="G25" i="22"/>
  <c r="J25" i="22" s="1"/>
  <c r="K25" i="22" s="1"/>
  <c r="L25" i="22" s="1"/>
  <c r="I24" i="22"/>
  <c r="G24" i="22"/>
  <c r="J24" i="22" s="1"/>
  <c r="K24" i="22" s="1"/>
  <c r="L24" i="22" s="1"/>
  <c r="I23" i="22"/>
  <c r="G23" i="22"/>
  <c r="J23" i="22" s="1"/>
  <c r="K23" i="22" s="1"/>
  <c r="L23" i="22" s="1"/>
  <c r="I22" i="22"/>
  <c r="G22" i="22"/>
  <c r="J22" i="22" s="1"/>
  <c r="K22" i="22" s="1"/>
  <c r="L22" i="22" s="1"/>
  <c r="I21" i="22"/>
  <c r="G21" i="22"/>
  <c r="J21" i="22" s="1"/>
  <c r="K21" i="22" s="1"/>
  <c r="L21" i="22" s="1"/>
  <c r="I20" i="22"/>
  <c r="G20" i="22"/>
  <c r="J20" i="22" s="1"/>
  <c r="K20" i="22" s="1"/>
  <c r="L20" i="22" s="1"/>
  <c r="I19" i="22"/>
  <c r="G19" i="22"/>
  <c r="J19" i="22" s="1"/>
  <c r="K19" i="22" s="1"/>
  <c r="L19" i="22" s="1"/>
  <c r="I18" i="22"/>
  <c r="G18" i="22"/>
  <c r="J18" i="22" s="1"/>
  <c r="K18" i="22" s="1"/>
  <c r="L18" i="22" s="1"/>
  <c r="I17" i="22"/>
  <c r="G17" i="22"/>
  <c r="J17" i="22" s="1"/>
  <c r="K17" i="22" s="1"/>
  <c r="L17" i="22" s="1"/>
  <c r="I16" i="22"/>
  <c r="G16" i="22"/>
  <c r="J16" i="22" s="1"/>
  <c r="K16" i="22" s="1"/>
  <c r="L16" i="22" s="1"/>
  <c r="I15" i="22"/>
  <c r="G15" i="22"/>
  <c r="J15" i="22" s="1"/>
  <c r="K15" i="22" s="1"/>
  <c r="L15" i="22" s="1"/>
  <c r="I14" i="22"/>
  <c r="G14" i="22"/>
  <c r="J14" i="22" s="1"/>
  <c r="K14" i="22" s="1"/>
  <c r="L14" i="22" s="1"/>
  <c r="I13" i="22"/>
  <c r="G13" i="22"/>
  <c r="J13" i="22" s="1"/>
  <c r="K13" i="22" s="1"/>
  <c r="L13" i="22" s="1"/>
  <c r="I12" i="22"/>
  <c r="G12" i="22"/>
  <c r="J12" i="22" s="1"/>
  <c r="K12" i="22" s="1"/>
  <c r="L12" i="22" s="1"/>
  <c r="O5" i="22"/>
  <c r="I11" i="22"/>
  <c r="G11" i="22"/>
  <c r="J11" i="22" s="1"/>
  <c r="K11" i="22" s="1"/>
  <c r="L11" i="22" s="1"/>
  <c r="I10" i="22"/>
  <c r="G10" i="22"/>
  <c r="J10" i="22" s="1"/>
  <c r="K10" i="22" s="1"/>
  <c r="L10" i="22" s="1"/>
  <c r="I9" i="22"/>
  <c r="G9" i="22"/>
  <c r="J9" i="22" s="1"/>
  <c r="K9" i="22" s="1"/>
  <c r="L9" i="22" s="1"/>
  <c r="I8" i="22"/>
  <c r="G8" i="22"/>
  <c r="J8" i="22" s="1"/>
  <c r="K8" i="22" s="1"/>
  <c r="L8" i="22" s="1"/>
  <c r="O4" i="22"/>
  <c r="I7" i="22"/>
  <c r="G7" i="22"/>
  <c r="J7" i="22" s="1"/>
  <c r="K7" i="22" s="1"/>
  <c r="L7" i="22" s="1"/>
  <c r="I6" i="22"/>
  <c r="G6" i="22"/>
  <c r="J6" i="22" s="1"/>
  <c r="K6" i="22" s="1"/>
  <c r="L6" i="22" s="1"/>
  <c r="I5" i="22"/>
  <c r="G5" i="22"/>
  <c r="J5" i="22" s="1"/>
  <c r="K5" i="22" s="1"/>
  <c r="L5" i="22" s="1"/>
  <c r="I4" i="22"/>
  <c r="G4" i="22"/>
  <c r="J4" i="22" s="1"/>
  <c r="K4" i="22" s="1"/>
  <c r="L4" i="22" s="1"/>
  <c r="I3" i="22"/>
  <c r="G3" i="22"/>
  <c r="J3" i="22" s="1"/>
  <c r="K3" i="22" s="1"/>
  <c r="L3" i="22" s="1"/>
  <c r="I2" i="22"/>
  <c r="G2" i="22"/>
  <c r="J2" i="22" s="1"/>
  <c r="K2" i="22" s="1"/>
  <c r="N2" i="22"/>
  <c r="H32" i="22"/>
  <c r="I30" i="21"/>
  <c r="G30" i="21"/>
  <c r="J30" i="21" s="1"/>
  <c r="K30" i="21" s="1"/>
  <c r="L30" i="21" s="1"/>
  <c r="I29" i="21"/>
  <c r="G29" i="21"/>
  <c r="J29" i="21" s="1"/>
  <c r="K29" i="21"/>
  <c r="L29" i="21" s="1"/>
  <c r="I28" i="21"/>
  <c r="G28" i="21"/>
  <c r="J28" i="21" s="1"/>
  <c r="K28" i="21" s="1"/>
  <c r="L28" i="21" s="1"/>
  <c r="I27" i="21"/>
  <c r="G27" i="21"/>
  <c r="J27" i="21" s="1"/>
  <c r="K27" i="21" s="1"/>
  <c r="L27" i="21" s="1"/>
  <c r="I26" i="21"/>
  <c r="G26" i="21"/>
  <c r="J26" i="21" s="1"/>
  <c r="K26" i="21" s="1"/>
  <c r="L26" i="21" s="1"/>
  <c r="I25" i="21"/>
  <c r="G25" i="21"/>
  <c r="J25" i="21" s="1"/>
  <c r="K25" i="21" s="1"/>
  <c r="L25" i="21" s="1"/>
  <c r="I24" i="21"/>
  <c r="G24" i="21"/>
  <c r="J24" i="21" s="1"/>
  <c r="K24" i="21" s="1"/>
  <c r="L24" i="21" s="1"/>
  <c r="I23" i="21"/>
  <c r="G23" i="21"/>
  <c r="J23" i="21" s="1"/>
  <c r="K23" i="21" s="1"/>
  <c r="L23" i="21" s="1"/>
  <c r="I22" i="21"/>
  <c r="G22" i="21"/>
  <c r="J22" i="21" s="1"/>
  <c r="K22" i="21" s="1"/>
  <c r="L22" i="21" s="1"/>
  <c r="I21" i="21"/>
  <c r="G21" i="21"/>
  <c r="J21" i="21" s="1"/>
  <c r="K21" i="21" s="1"/>
  <c r="L21" i="21" s="1"/>
  <c r="I20" i="21"/>
  <c r="G20" i="21"/>
  <c r="J20" i="21" s="1"/>
  <c r="K20" i="21" s="1"/>
  <c r="L20" i="21" s="1"/>
  <c r="I19" i="21"/>
  <c r="G19" i="21"/>
  <c r="J19" i="21" s="1"/>
  <c r="K19" i="21" s="1"/>
  <c r="L19" i="21" s="1"/>
  <c r="I18" i="21"/>
  <c r="G18" i="21"/>
  <c r="J18" i="21" s="1"/>
  <c r="K18" i="21" s="1"/>
  <c r="L18" i="21" s="1"/>
  <c r="I17" i="21"/>
  <c r="G17" i="21"/>
  <c r="J17" i="21" s="1"/>
  <c r="K17" i="21" s="1"/>
  <c r="L17" i="21" s="1"/>
  <c r="I16" i="21"/>
  <c r="G16" i="21"/>
  <c r="J16" i="21" s="1"/>
  <c r="K16" i="21" s="1"/>
  <c r="L16" i="21" s="1"/>
  <c r="I15" i="21"/>
  <c r="G15" i="21"/>
  <c r="J15" i="21" s="1"/>
  <c r="K15" i="21" s="1"/>
  <c r="L15" i="21" s="1"/>
  <c r="I14" i="21"/>
  <c r="G14" i="21"/>
  <c r="J14" i="21" s="1"/>
  <c r="K14" i="21" s="1"/>
  <c r="L14" i="21" s="1"/>
  <c r="I13" i="21"/>
  <c r="G13" i="21"/>
  <c r="J13" i="21" s="1"/>
  <c r="K13" i="21" s="1"/>
  <c r="L13" i="21" s="1"/>
  <c r="I12" i="21"/>
  <c r="G12" i="21"/>
  <c r="J12" i="21" s="1"/>
  <c r="K12" i="21" s="1"/>
  <c r="L12" i="21" s="1"/>
  <c r="I11" i="21"/>
  <c r="G11" i="21"/>
  <c r="J11" i="21" s="1"/>
  <c r="K11" i="21" s="1"/>
  <c r="L11" i="21" s="1"/>
  <c r="I10" i="21"/>
  <c r="G10" i="21"/>
  <c r="J10" i="21" s="1"/>
  <c r="K10" i="21" s="1"/>
  <c r="L10" i="21" s="1"/>
  <c r="I9" i="21"/>
  <c r="G9" i="21"/>
  <c r="J9" i="21" s="1"/>
  <c r="K9" i="21" s="1"/>
  <c r="L9" i="21" s="1"/>
  <c r="I8" i="21"/>
  <c r="O4" i="21" s="1"/>
  <c r="P4" i="21" s="1"/>
  <c r="Q4" i="21" s="1"/>
  <c r="R4" i="21" s="1"/>
  <c r="S4" i="21" s="1"/>
  <c r="G8" i="21"/>
  <c r="J8" i="21" s="1"/>
  <c r="K8" i="21" s="1"/>
  <c r="L8" i="21" s="1"/>
  <c r="I7" i="21"/>
  <c r="G7" i="21"/>
  <c r="J7" i="21" s="1"/>
  <c r="K7" i="21" s="1"/>
  <c r="L7" i="21" s="1"/>
  <c r="I6" i="21"/>
  <c r="G6" i="21"/>
  <c r="J6" i="21" s="1"/>
  <c r="K6" i="21" s="1"/>
  <c r="L6" i="21" s="1"/>
  <c r="O5" i="21"/>
  <c r="P5" i="21" s="1"/>
  <c r="Q5" i="21" s="1"/>
  <c r="R5" i="21" s="1"/>
  <c r="S5" i="21" s="1"/>
  <c r="I5" i="21"/>
  <c r="G5" i="21"/>
  <c r="J5" i="21" s="1"/>
  <c r="K5" i="21" s="1"/>
  <c r="L5" i="21" s="1"/>
  <c r="I4" i="21"/>
  <c r="G4" i="21"/>
  <c r="J4" i="21" s="1"/>
  <c r="K4" i="21" s="1"/>
  <c r="L4" i="21" s="1"/>
  <c r="I3" i="21"/>
  <c r="O3" i="21" s="1"/>
  <c r="P3" i="21" s="1"/>
  <c r="Q3" i="21" s="1"/>
  <c r="R3" i="21" s="1"/>
  <c r="S3" i="21" s="1"/>
  <c r="G3" i="21"/>
  <c r="J3" i="21" s="1"/>
  <c r="K3" i="21" s="1"/>
  <c r="L3" i="21" s="1"/>
  <c r="I2" i="21"/>
  <c r="G2" i="21"/>
  <c r="J2" i="21" s="1"/>
  <c r="K2" i="21" s="1"/>
  <c r="I35" i="21"/>
  <c r="H35" i="21"/>
  <c r="I32" i="20"/>
  <c r="G32" i="20"/>
  <c r="J32" i="20" s="1"/>
  <c r="K32" i="20" s="1"/>
  <c r="L32" i="20" s="1"/>
  <c r="I31" i="20"/>
  <c r="G31" i="20"/>
  <c r="J31" i="20" s="1"/>
  <c r="K31" i="20" s="1"/>
  <c r="L31" i="20" s="1"/>
  <c r="I30" i="20"/>
  <c r="G30" i="20"/>
  <c r="J30" i="20" s="1"/>
  <c r="K30" i="20" s="1"/>
  <c r="L30" i="20" s="1"/>
  <c r="I29" i="20"/>
  <c r="G29" i="20"/>
  <c r="J29" i="20" s="1"/>
  <c r="K29" i="20" s="1"/>
  <c r="L29" i="20" s="1"/>
  <c r="I28" i="20"/>
  <c r="G28" i="20"/>
  <c r="J28" i="20" s="1"/>
  <c r="K28" i="20" s="1"/>
  <c r="L28" i="20" s="1"/>
  <c r="I27" i="20"/>
  <c r="G27" i="20"/>
  <c r="J27" i="20" s="1"/>
  <c r="K27" i="20" s="1"/>
  <c r="L27" i="20" s="1"/>
  <c r="I26" i="20"/>
  <c r="G26" i="20"/>
  <c r="J26" i="20" s="1"/>
  <c r="K26" i="20" s="1"/>
  <c r="L26" i="20" s="1"/>
  <c r="I25" i="20"/>
  <c r="G25" i="20"/>
  <c r="J25" i="20" s="1"/>
  <c r="K25" i="20" s="1"/>
  <c r="L25" i="20" s="1"/>
  <c r="I24" i="20"/>
  <c r="G24" i="20"/>
  <c r="J24" i="20" s="1"/>
  <c r="K24" i="20" s="1"/>
  <c r="L24" i="20" s="1"/>
  <c r="I23" i="20"/>
  <c r="G23" i="20"/>
  <c r="J23" i="20" s="1"/>
  <c r="K23" i="20" s="1"/>
  <c r="L23" i="20" s="1"/>
  <c r="I22" i="20"/>
  <c r="G22" i="20"/>
  <c r="J22" i="20" s="1"/>
  <c r="K22" i="20" s="1"/>
  <c r="L22" i="20" s="1"/>
  <c r="I21" i="20"/>
  <c r="G21" i="20"/>
  <c r="J21" i="20" s="1"/>
  <c r="K21" i="20" s="1"/>
  <c r="L21" i="20" s="1"/>
  <c r="I20" i="20"/>
  <c r="G20" i="20"/>
  <c r="J20" i="20" s="1"/>
  <c r="K20" i="20" s="1"/>
  <c r="L20" i="20" s="1"/>
  <c r="I19" i="20"/>
  <c r="G19" i="20"/>
  <c r="J19" i="20" s="1"/>
  <c r="K19" i="20" s="1"/>
  <c r="L19" i="20" s="1"/>
  <c r="I18" i="20"/>
  <c r="G18" i="20"/>
  <c r="J18" i="20" s="1"/>
  <c r="K18" i="20" s="1"/>
  <c r="L18" i="20" s="1"/>
  <c r="I17" i="20"/>
  <c r="G17" i="20"/>
  <c r="J17" i="20" s="1"/>
  <c r="K17" i="20" s="1"/>
  <c r="L17" i="20" s="1"/>
  <c r="I16" i="20"/>
  <c r="G16" i="20"/>
  <c r="J16" i="20" s="1"/>
  <c r="K16" i="20" s="1"/>
  <c r="L16" i="20" s="1"/>
  <c r="I15" i="20"/>
  <c r="G15" i="20"/>
  <c r="J15" i="20" s="1"/>
  <c r="K15" i="20" s="1"/>
  <c r="L15" i="20" s="1"/>
  <c r="I14" i="20"/>
  <c r="G14" i="20"/>
  <c r="J14" i="20" s="1"/>
  <c r="K14" i="20" s="1"/>
  <c r="L14" i="20" s="1"/>
  <c r="I13" i="20"/>
  <c r="G13" i="20"/>
  <c r="J13" i="20" s="1"/>
  <c r="K13" i="20" s="1"/>
  <c r="L13" i="20" s="1"/>
  <c r="I12" i="20"/>
  <c r="G12" i="20"/>
  <c r="J12" i="20" s="1"/>
  <c r="K12" i="20" s="1"/>
  <c r="L12" i="20" s="1"/>
  <c r="I11" i="20"/>
  <c r="G11" i="20"/>
  <c r="J11" i="20" s="1"/>
  <c r="K11" i="20" s="1"/>
  <c r="L11" i="20" s="1"/>
  <c r="I10" i="20"/>
  <c r="G10" i="20"/>
  <c r="J10" i="20" s="1"/>
  <c r="K10" i="20" s="1"/>
  <c r="L10" i="20" s="1"/>
  <c r="I9" i="20"/>
  <c r="G9" i="20"/>
  <c r="J9" i="20" s="1"/>
  <c r="K9" i="20" s="1"/>
  <c r="L9" i="20" s="1"/>
  <c r="I8" i="20"/>
  <c r="G8" i="20"/>
  <c r="J8" i="20" s="1"/>
  <c r="K8" i="20" s="1"/>
  <c r="L8" i="20" s="1"/>
  <c r="I4" i="20"/>
  <c r="G4" i="20"/>
  <c r="J4" i="20" s="1"/>
  <c r="K4" i="20" s="1"/>
  <c r="L4" i="20" s="1"/>
  <c r="I3" i="20"/>
  <c r="G3" i="20"/>
  <c r="J3" i="20" s="1"/>
  <c r="K3" i="20" s="1"/>
  <c r="L3" i="20" s="1"/>
  <c r="I2" i="20"/>
  <c r="G2" i="20"/>
  <c r="J2" i="20" s="1"/>
  <c r="K2" i="20" s="1"/>
  <c r="N2" i="20"/>
  <c r="H35" i="20"/>
  <c r="F30" i="19"/>
  <c r="G30" i="19"/>
  <c r="G31" i="19"/>
  <c r="H30" i="19"/>
  <c r="H31" i="19"/>
  <c r="I30" i="19"/>
  <c r="I31" i="19"/>
  <c r="J30" i="19"/>
  <c r="J31" i="19"/>
  <c r="F32" i="19"/>
  <c r="F33" i="19"/>
  <c r="G32" i="19"/>
  <c r="G33" i="19"/>
  <c r="H32" i="19"/>
  <c r="H33" i="19"/>
  <c r="I32" i="19"/>
  <c r="I33" i="19"/>
  <c r="J32" i="19"/>
  <c r="J33" i="19"/>
  <c r="F20" i="19"/>
  <c r="H35" i="19"/>
  <c r="F35" i="19"/>
  <c r="H34" i="19"/>
  <c r="H29" i="19"/>
  <c r="F29" i="19"/>
  <c r="H28" i="19"/>
  <c r="F28" i="19"/>
  <c r="H26" i="19"/>
  <c r="F26" i="19"/>
  <c r="H25" i="19"/>
  <c r="F25" i="19"/>
  <c r="H24" i="19"/>
  <c r="H23" i="19"/>
  <c r="F23" i="19"/>
  <c r="H22" i="19"/>
  <c r="F22" i="19"/>
  <c r="H21" i="19"/>
  <c r="H20" i="19"/>
  <c r="G20" i="19"/>
  <c r="J20" i="19" s="1"/>
  <c r="I20" i="19"/>
  <c r="H19" i="19"/>
  <c r="F19" i="19"/>
  <c r="H18" i="19"/>
  <c r="H17" i="19"/>
  <c r="F17" i="19"/>
  <c r="H16" i="19"/>
  <c r="F16" i="19"/>
  <c r="H15" i="19"/>
  <c r="F15" i="19"/>
  <c r="H14" i="19"/>
  <c r="G14" i="19"/>
  <c r="J14" i="19" s="1"/>
  <c r="I14" i="19"/>
  <c r="H13" i="19"/>
  <c r="F13" i="19"/>
  <c r="H12" i="19"/>
  <c r="F12" i="19"/>
  <c r="H11" i="19"/>
  <c r="H10" i="19"/>
  <c r="H9" i="19"/>
  <c r="F9" i="19"/>
  <c r="H8" i="19"/>
  <c r="F8" i="19"/>
  <c r="H7" i="19"/>
  <c r="F7" i="19"/>
  <c r="H6" i="19"/>
  <c r="H5" i="19"/>
  <c r="F5" i="19"/>
  <c r="F4" i="19"/>
  <c r="H3" i="19"/>
  <c r="N2" i="19" a="1"/>
  <c r="H2" i="19"/>
  <c r="F2" i="19"/>
  <c r="O1" i="19" a="1"/>
  <c r="O1" i="19" s="1"/>
  <c r="F30" i="17"/>
  <c r="I30" i="17" s="1"/>
  <c r="G31" i="17"/>
  <c r="J31" i="17" s="1"/>
  <c r="H30" i="17"/>
  <c r="H31" i="17"/>
  <c r="I31" i="17"/>
  <c r="H33" i="17"/>
  <c r="K33" i="17" s="1"/>
  <c r="L33" i="17" s="1"/>
  <c r="F33" i="17"/>
  <c r="I33" i="17" s="1"/>
  <c r="F32" i="17"/>
  <c r="F29" i="17"/>
  <c r="H27" i="17"/>
  <c r="F27" i="17"/>
  <c r="H26" i="17"/>
  <c r="F26" i="17"/>
  <c r="H25" i="17"/>
  <c r="F24" i="17"/>
  <c r="H23" i="17"/>
  <c r="F23" i="17"/>
  <c r="H22" i="17"/>
  <c r="F21" i="17"/>
  <c r="F20" i="17"/>
  <c r="H19" i="17"/>
  <c r="F19" i="17"/>
  <c r="F17" i="17"/>
  <c r="H16" i="17"/>
  <c r="F15" i="17"/>
  <c r="F14" i="17"/>
  <c r="F12" i="17"/>
  <c r="F11" i="17"/>
  <c r="H9" i="17"/>
  <c r="F9" i="17"/>
  <c r="F8" i="17"/>
  <c r="H7" i="17"/>
  <c r="F6" i="17"/>
  <c r="H5" i="17"/>
  <c r="F5" i="17"/>
  <c r="F3" i="17"/>
  <c r="N2" i="17" a="1"/>
  <c r="H2" i="17"/>
  <c r="F2" i="17"/>
  <c r="O1" i="17" a="1"/>
  <c r="O1" i="17" s="1"/>
  <c r="H31" i="16"/>
  <c r="K31" i="16" s="1"/>
  <c r="L31" i="16" s="1"/>
  <c r="F31" i="16"/>
  <c r="H30" i="16"/>
  <c r="K30" i="16" s="1"/>
  <c r="L30" i="16" s="1"/>
  <c r="F30" i="16"/>
  <c r="I30" i="16" s="1"/>
  <c r="H29" i="16"/>
  <c r="K29" i="16" s="1"/>
  <c r="L29" i="16" s="1"/>
  <c r="F29" i="16"/>
  <c r="H28" i="16"/>
  <c r="K28" i="16" s="1"/>
  <c r="L28" i="16" s="1"/>
  <c r="F28" i="16"/>
  <c r="I28" i="16" s="1"/>
  <c r="H27" i="16"/>
  <c r="K27" i="16" s="1"/>
  <c r="L27" i="16" s="1"/>
  <c r="F27" i="16"/>
  <c r="H26" i="16"/>
  <c r="K26" i="16" s="1"/>
  <c r="L26" i="16" s="1"/>
  <c r="F26" i="16"/>
  <c r="I26" i="16" s="1"/>
  <c r="H25" i="16"/>
  <c r="K25" i="16" s="1"/>
  <c r="L25" i="16" s="1"/>
  <c r="F25" i="16"/>
  <c r="H24" i="16"/>
  <c r="K24" i="16" s="1"/>
  <c r="L24" i="16" s="1"/>
  <c r="F24" i="16"/>
  <c r="I24" i="16" s="1"/>
  <c r="H23" i="16"/>
  <c r="K23" i="16" s="1"/>
  <c r="L23" i="16" s="1"/>
  <c r="F23" i="16"/>
  <c r="H22" i="16"/>
  <c r="K22" i="16" s="1"/>
  <c r="L22" i="16" s="1"/>
  <c r="F22" i="16"/>
  <c r="I22" i="16" s="1"/>
  <c r="H21" i="16"/>
  <c r="K21" i="16" s="1"/>
  <c r="L21" i="16" s="1"/>
  <c r="F21" i="16"/>
  <c r="H20" i="16"/>
  <c r="K20" i="16" s="1"/>
  <c r="L20" i="16" s="1"/>
  <c r="F20" i="16"/>
  <c r="I20" i="16" s="1"/>
  <c r="H19" i="16"/>
  <c r="K19" i="16" s="1"/>
  <c r="L19" i="16" s="1"/>
  <c r="F19" i="16"/>
  <c r="H18" i="16"/>
  <c r="K18" i="16" s="1"/>
  <c r="L18" i="16" s="1"/>
  <c r="F18" i="16"/>
  <c r="I18" i="16" s="1"/>
  <c r="H17" i="16"/>
  <c r="K17" i="16" s="1"/>
  <c r="L17" i="16" s="1"/>
  <c r="F17" i="16"/>
  <c r="I17" i="16" s="1"/>
  <c r="H16" i="16"/>
  <c r="K16" i="16" s="1"/>
  <c r="L16" i="16" s="1"/>
  <c r="F16" i="16"/>
  <c r="I16" i="16" s="1"/>
  <c r="H15" i="16"/>
  <c r="K15" i="16" s="1"/>
  <c r="L15" i="16" s="1"/>
  <c r="F15" i="16"/>
  <c r="H14" i="16"/>
  <c r="K14" i="16" s="1"/>
  <c r="L14" i="16" s="1"/>
  <c r="F14" i="16"/>
  <c r="I14" i="16" s="1"/>
  <c r="H13" i="16"/>
  <c r="K13" i="16" s="1"/>
  <c r="L13" i="16" s="1"/>
  <c r="F13" i="16"/>
  <c r="H12" i="16"/>
  <c r="K12" i="16" s="1"/>
  <c r="L12" i="16" s="1"/>
  <c r="F12" i="16"/>
  <c r="I12" i="16" s="1"/>
  <c r="H11" i="16"/>
  <c r="K11" i="16" s="1"/>
  <c r="L11" i="16" s="1"/>
  <c r="F11" i="16"/>
  <c r="H10" i="16"/>
  <c r="K10" i="16" s="1"/>
  <c r="L10" i="16" s="1"/>
  <c r="F10" i="16"/>
  <c r="I10" i="16" s="1"/>
  <c r="H9" i="16"/>
  <c r="K9" i="16" s="1"/>
  <c r="L9" i="16" s="1"/>
  <c r="F9" i="16"/>
  <c r="H8" i="16"/>
  <c r="K8" i="16" s="1"/>
  <c r="L8" i="16" s="1"/>
  <c r="F8" i="16"/>
  <c r="I8" i="16" s="1"/>
  <c r="H7" i="16"/>
  <c r="K7" i="16" s="1"/>
  <c r="L7" i="16" s="1"/>
  <c r="G7" i="16"/>
  <c r="J7" i="16" s="1"/>
  <c r="F7" i="16"/>
  <c r="I7" i="16" s="1"/>
  <c r="H6" i="16"/>
  <c r="K6" i="16" s="1"/>
  <c r="L6" i="16" s="1"/>
  <c r="F6" i="16"/>
  <c r="I6" i="16" s="1"/>
  <c r="V5" i="16"/>
  <c r="W5" i="16" s="1"/>
  <c r="H5" i="16"/>
  <c r="K5" i="16" s="1"/>
  <c r="L5" i="16" s="1"/>
  <c r="F5" i="16"/>
  <c r="V4" i="16"/>
  <c r="W4" i="16" s="1"/>
  <c r="H4" i="16"/>
  <c r="K4" i="16" s="1"/>
  <c r="L4" i="16" s="1"/>
  <c r="G4" i="16"/>
  <c r="J4" i="16" s="1"/>
  <c r="F4" i="16"/>
  <c r="I4" i="16" s="1"/>
  <c r="V3" i="16"/>
  <c r="W3" i="16" s="1"/>
  <c r="H3" i="16"/>
  <c r="K3" i="16" s="1"/>
  <c r="L3" i="16" s="1"/>
  <c r="F3" i="16"/>
  <c r="I3" i="16" s="1"/>
  <c r="H2" i="16"/>
  <c r="G2" i="16"/>
  <c r="J2" i="16" s="1"/>
  <c r="F2" i="16"/>
  <c r="I2" i="16" s="1"/>
  <c r="O1" i="16" a="1"/>
  <c r="O1" i="16" s="1"/>
  <c r="O39" i="16" s="1"/>
  <c r="P39" i="16" s="1"/>
  <c r="Q39" i="16" s="1"/>
  <c r="R39" i="16" s="1"/>
  <c r="S39" i="16" s="1"/>
  <c r="H30" i="15"/>
  <c r="K30" i="15" s="1"/>
  <c r="L30" i="15" s="1"/>
  <c r="F30" i="15"/>
  <c r="I30" i="15" s="1"/>
  <c r="I29" i="15"/>
  <c r="H29" i="15"/>
  <c r="K29" i="15" s="1"/>
  <c r="L29" i="15" s="1"/>
  <c r="F29" i="15"/>
  <c r="G29" i="15" s="1"/>
  <c r="J29" i="15" s="1"/>
  <c r="H28" i="15"/>
  <c r="K28" i="15" s="1"/>
  <c r="L28" i="15" s="1"/>
  <c r="F28" i="15"/>
  <c r="I27" i="15"/>
  <c r="H27" i="15"/>
  <c r="K27" i="15" s="1"/>
  <c r="L27" i="15" s="1"/>
  <c r="F27" i="15"/>
  <c r="G27" i="15" s="1"/>
  <c r="J27" i="15" s="1"/>
  <c r="H26" i="15"/>
  <c r="K26" i="15" s="1"/>
  <c r="L26" i="15" s="1"/>
  <c r="F26" i="15"/>
  <c r="I26" i="15" s="1"/>
  <c r="H25" i="15"/>
  <c r="K25" i="15" s="1"/>
  <c r="L25" i="15" s="1"/>
  <c r="G25" i="15"/>
  <c r="J25" i="15" s="1"/>
  <c r="I25" i="15"/>
  <c r="H24" i="15"/>
  <c r="K24" i="15" s="1"/>
  <c r="L24" i="15" s="1"/>
  <c r="G24" i="15"/>
  <c r="J24" i="15" s="1"/>
  <c r="I24" i="15"/>
  <c r="H23" i="15"/>
  <c r="K23" i="15" s="1"/>
  <c r="L23" i="15" s="1"/>
  <c r="I23" i="15"/>
  <c r="H22" i="15"/>
  <c r="K22" i="15" s="1"/>
  <c r="L22" i="15" s="1"/>
  <c r="I22" i="15"/>
  <c r="I21" i="15"/>
  <c r="H21" i="15"/>
  <c r="K21" i="15" s="1"/>
  <c r="L21" i="15" s="1"/>
  <c r="G21" i="15"/>
  <c r="J21" i="15" s="1"/>
  <c r="F20" i="15"/>
  <c r="I20" i="15" s="1"/>
  <c r="F19" i="15"/>
  <c r="I19" i="15" s="1"/>
  <c r="I18" i="15"/>
  <c r="H18" i="15"/>
  <c r="G18" i="15"/>
  <c r="J18" i="15" s="1"/>
  <c r="F17" i="15"/>
  <c r="I17" i="15" s="1"/>
  <c r="H16" i="15"/>
  <c r="F16" i="15"/>
  <c r="I16" i="15" s="1"/>
  <c r="G15" i="15"/>
  <c r="J15" i="15" s="1"/>
  <c r="K15" i="15" s="1"/>
  <c r="L15" i="15" s="1"/>
  <c r="I15" i="15"/>
  <c r="F14" i="15"/>
  <c r="I14" i="15" s="1"/>
  <c r="G13" i="15"/>
  <c r="J13" i="15" s="1"/>
  <c r="K13" i="15" s="1"/>
  <c r="L13" i="15" s="1"/>
  <c r="F13" i="15"/>
  <c r="I13" i="15" s="1"/>
  <c r="I12" i="15"/>
  <c r="H11" i="15"/>
  <c r="F11" i="15"/>
  <c r="G11" i="15" s="1"/>
  <c r="J11" i="15" s="1"/>
  <c r="F10" i="15"/>
  <c r="I10" i="15" s="1"/>
  <c r="I9" i="15"/>
  <c r="I8" i="15"/>
  <c r="H8" i="15"/>
  <c r="G8" i="15"/>
  <c r="J8" i="15" s="1"/>
  <c r="F8" i="15"/>
  <c r="F7" i="15"/>
  <c r="I7" i="15" s="1"/>
  <c r="I6" i="15"/>
  <c r="H6" i="15"/>
  <c r="G6" i="15"/>
  <c r="J6" i="15" s="1"/>
  <c r="H5" i="15"/>
  <c r="F5" i="15"/>
  <c r="I5" i="15" s="1"/>
  <c r="I4" i="15"/>
  <c r="G4" i="15"/>
  <c r="J4" i="15" s="1"/>
  <c r="K4" i="15" s="1"/>
  <c r="L4" i="15" s="1"/>
  <c r="I3" i="15"/>
  <c r="N2" i="15" a="1"/>
  <c r="H2" i="15"/>
  <c r="F2" i="15"/>
  <c r="I2" i="15" s="1"/>
  <c r="O1" i="15" a="1"/>
  <c r="O1" i="15" s="1"/>
  <c r="H31" i="14"/>
  <c r="K31" i="14" s="1"/>
  <c r="L31" i="14" s="1"/>
  <c r="F31" i="14"/>
  <c r="I31" i="14" s="1"/>
  <c r="H30" i="14"/>
  <c r="K30" i="14" s="1"/>
  <c r="L30" i="14" s="1"/>
  <c r="G30" i="14"/>
  <c r="J30" i="14" s="1"/>
  <c r="F30" i="14"/>
  <c r="I30" i="14" s="1"/>
  <c r="H29" i="14"/>
  <c r="F29" i="14"/>
  <c r="H28" i="14"/>
  <c r="H27" i="14"/>
  <c r="F27" i="14"/>
  <c r="H26" i="14"/>
  <c r="F26" i="14"/>
  <c r="H25" i="14"/>
  <c r="H24" i="14"/>
  <c r="F24" i="14"/>
  <c r="H23" i="14"/>
  <c r="F23" i="14"/>
  <c r="H22" i="14"/>
  <c r="F22" i="14"/>
  <c r="F20" i="14"/>
  <c r="H19" i="14"/>
  <c r="F19" i="14"/>
  <c r="H18" i="14"/>
  <c r="F18" i="14"/>
  <c r="H17" i="14"/>
  <c r="H16" i="14"/>
  <c r="F16" i="14"/>
  <c r="H15" i="14"/>
  <c r="F15" i="14"/>
  <c r="H14" i="14"/>
  <c r="F14" i="14"/>
  <c r="H13" i="14"/>
  <c r="H12" i="14"/>
  <c r="F12" i="14"/>
  <c r="H11" i="14"/>
  <c r="F11" i="14"/>
  <c r="H10" i="14"/>
  <c r="F10" i="14"/>
  <c r="H9" i="14"/>
  <c r="F8" i="14"/>
  <c r="F7" i="14"/>
  <c r="H4" i="14"/>
  <c r="F4" i="14"/>
  <c r="H3" i="14"/>
  <c r="N2" i="14" a="1"/>
  <c r="H2" i="14"/>
  <c r="F2" i="14"/>
  <c r="O1" i="14" a="1"/>
  <c r="O1" i="14" s="1"/>
  <c r="J3" i="12"/>
  <c r="K3" i="12" s="1"/>
  <c r="L3" i="12" s="1"/>
  <c r="J4" i="12"/>
  <c r="J13" i="12"/>
  <c r="J18" i="12"/>
  <c r="F2" i="12"/>
  <c r="G2" i="12" s="1"/>
  <c r="J2" i="12" s="1"/>
  <c r="H2" i="12"/>
  <c r="G3" i="12"/>
  <c r="I3" i="12"/>
  <c r="F4" i="12"/>
  <c r="G4" i="12"/>
  <c r="H4" i="12"/>
  <c r="I4" i="12"/>
  <c r="G5" i="12"/>
  <c r="J5" i="12" s="1"/>
  <c r="H5" i="12"/>
  <c r="I5" i="12"/>
  <c r="G6" i="12"/>
  <c r="J6" i="12" s="1"/>
  <c r="K6" i="12" s="1"/>
  <c r="L6" i="12" s="1"/>
  <c r="I6" i="12"/>
  <c r="F7" i="12"/>
  <c r="I7" i="12" s="1"/>
  <c r="G8" i="12"/>
  <c r="J8" i="12" s="1"/>
  <c r="K8" i="12" s="1"/>
  <c r="L8" i="12" s="1"/>
  <c r="I8" i="12"/>
  <c r="F9" i="12"/>
  <c r="G9" i="12" s="1"/>
  <c r="J9" i="12" s="1"/>
  <c r="K9" i="12" s="1"/>
  <c r="L9" i="12" s="1"/>
  <c r="G10" i="12"/>
  <c r="J10" i="12" s="1"/>
  <c r="K10" i="12" s="1"/>
  <c r="L10" i="12" s="1"/>
  <c r="I10" i="12"/>
  <c r="G11" i="12"/>
  <c r="J11" i="12" s="1"/>
  <c r="K11" i="12" s="1"/>
  <c r="I11" i="12"/>
  <c r="F12" i="12"/>
  <c r="G12" i="12" s="1"/>
  <c r="J12" i="12" s="1"/>
  <c r="H12" i="12"/>
  <c r="K12" i="12" s="1"/>
  <c r="L12" i="12" s="1"/>
  <c r="I12" i="12"/>
  <c r="G13" i="12"/>
  <c r="H13" i="12"/>
  <c r="I13" i="12"/>
  <c r="F14" i="12"/>
  <c r="I14" i="12" s="1"/>
  <c r="G15" i="12"/>
  <c r="J15" i="12" s="1"/>
  <c r="H15" i="12"/>
  <c r="I15" i="12"/>
  <c r="F16" i="12"/>
  <c r="G16" i="12"/>
  <c r="J16" i="12" s="1"/>
  <c r="H16" i="12"/>
  <c r="I16" i="12"/>
  <c r="G17" i="12"/>
  <c r="J17" i="12" s="1"/>
  <c r="H17" i="12"/>
  <c r="I17" i="12"/>
  <c r="F18" i="12"/>
  <c r="G18" i="12" s="1"/>
  <c r="H18" i="12"/>
  <c r="I18" i="12"/>
  <c r="G19" i="12"/>
  <c r="J19" i="12" s="1"/>
  <c r="H19" i="12"/>
  <c r="I19" i="12"/>
  <c r="G20" i="12"/>
  <c r="J20" i="12" s="1"/>
  <c r="K20" i="12" s="1"/>
  <c r="I20" i="12"/>
  <c r="F21" i="12"/>
  <c r="G21" i="12" s="1"/>
  <c r="J21" i="12" s="1"/>
  <c r="H21" i="12"/>
  <c r="G22" i="12"/>
  <c r="J22" i="12" s="1"/>
  <c r="H22" i="12"/>
  <c r="I22" i="12"/>
  <c r="F23" i="12"/>
  <c r="G23" i="12" s="1"/>
  <c r="J23" i="12" s="1"/>
  <c r="H23" i="12"/>
  <c r="G24" i="12"/>
  <c r="J24" i="12" s="1"/>
  <c r="H24" i="12"/>
  <c r="I24" i="12"/>
  <c r="F25" i="12"/>
  <c r="G25" i="12"/>
  <c r="J25" i="12" s="1"/>
  <c r="H25" i="12"/>
  <c r="I25" i="12"/>
  <c r="F26" i="12"/>
  <c r="I26" i="12" s="1"/>
  <c r="G26" i="12"/>
  <c r="J26" i="12" s="1"/>
  <c r="H26" i="12"/>
  <c r="K26" i="12" s="1"/>
  <c r="L26" i="12" s="1"/>
  <c r="F27" i="12"/>
  <c r="H27" i="12"/>
  <c r="K27" i="12" s="1"/>
  <c r="L27" i="12" s="1"/>
  <c r="F28" i="12"/>
  <c r="I28" i="12" s="1"/>
  <c r="G28" i="12"/>
  <c r="J28" i="12" s="1"/>
  <c r="H28" i="12"/>
  <c r="K28" i="12" s="1"/>
  <c r="L28" i="12" s="1"/>
  <c r="F29" i="12"/>
  <c r="I29" i="12" s="1"/>
  <c r="H29" i="12"/>
  <c r="K29" i="12" s="1"/>
  <c r="L29" i="12" s="1"/>
  <c r="F30" i="12"/>
  <c r="I30" i="12" s="1"/>
  <c r="G30" i="12"/>
  <c r="J30" i="12" s="1"/>
  <c r="H30" i="12"/>
  <c r="K30" i="12" s="1"/>
  <c r="L30" i="12" s="1"/>
  <c r="F31" i="12"/>
  <c r="I31" i="12" s="1"/>
  <c r="G31" i="12"/>
  <c r="J31" i="12" s="1"/>
  <c r="H31" i="12"/>
  <c r="K31" i="12" s="1"/>
  <c r="L31" i="12" s="1"/>
  <c r="F32" i="12"/>
  <c r="H32" i="12"/>
  <c r="K32" i="12" s="1"/>
  <c r="L32" i="12" s="1"/>
  <c r="F33" i="12"/>
  <c r="H33" i="12"/>
  <c r="K33" i="12" s="1"/>
  <c r="L33" i="12" s="1"/>
  <c r="O1" i="12" a="1"/>
  <c r="O1" i="12" s="1"/>
  <c r="N2" i="12" a="1"/>
  <c r="N2" i="12" s="1"/>
  <c r="F2" i="10"/>
  <c r="G2" i="10" s="1"/>
  <c r="J2" i="10" s="1"/>
  <c r="H2" i="10"/>
  <c r="I2" i="10"/>
  <c r="G3" i="10"/>
  <c r="J3" i="10" s="1"/>
  <c r="H3" i="10"/>
  <c r="I3" i="10"/>
  <c r="F4" i="10"/>
  <c r="I4" i="10" s="1"/>
  <c r="F8" i="10"/>
  <c r="G8" i="10" s="1"/>
  <c r="J8" i="10" s="1"/>
  <c r="H8" i="10"/>
  <c r="G9" i="10"/>
  <c r="J9" i="10" s="1"/>
  <c r="H9" i="10"/>
  <c r="I9" i="10"/>
  <c r="F10" i="10"/>
  <c r="G10" i="10" s="1"/>
  <c r="J10" i="10" s="1"/>
  <c r="K10" i="10" s="1"/>
  <c r="L10" i="10" s="1"/>
  <c r="I10" i="10"/>
  <c r="F11" i="10"/>
  <c r="I11" i="10" s="1"/>
  <c r="G11" i="10"/>
  <c r="J11" i="10" s="1"/>
  <c r="H11" i="10"/>
  <c r="G12" i="10"/>
  <c r="J12" i="10" s="1"/>
  <c r="H12" i="10"/>
  <c r="I12" i="10"/>
  <c r="F13" i="10"/>
  <c r="G13" i="10" s="1"/>
  <c r="J13" i="10" s="1"/>
  <c r="H13" i="10"/>
  <c r="I13" i="10"/>
  <c r="F14" i="10"/>
  <c r="I14" i="10" s="1"/>
  <c r="H14" i="10"/>
  <c r="J14" i="10"/>
  <c r="G15" i="10"/>
  <c r="J15" i="10" s="1"/>
  <c r="H15" i="10"/>
  <c r="I15" i="10"/>
  <c r="F16" i="10"/>
  <c r="I16" i="10" s="1"/>
  <c r="H16" i="10"/>
  <c r="G17" i="10"/>
  <c r="H17" i="10"/>
  <c r="I17" i="10"/>
  <c r="J17" i="10"/>
  <c r="F18" i="10"/>
  <c r="G18" i="10" s="1"/>
  <c r="J18" i="10" s="1"/>
  <c r="H18" i="10"/>
  <c r="F19" i="10"/>
  <c r="G19" i="10" s="1"/>
  <c r="J19" i="10" s="1"/>
  <c r="H19" i="10"/>
  <c r="G20" i="10"/>
  <c r="H20" i="10"/>
  <c r="I20" i="10"/>
  <c r="J20" i="10"/>
  <c r="F21" i="10"/>
  <c r="I21" i="10" s="1"/>
  <c r="H21" i="10"/>
  <c r="F22" i="10"/>
  <c r="G22" i="10" s="1"/>
  <c r="J22" i="10" s="1"/>
  <c r="H22" i="10"/>
  <c r="F23" i="10"/>
  <c r="G23" i="10" s="1"/>
  <c r="J23" i="10" s="1"/>
  <c r="H23" i="10"/>
  <c r="I23" i="10"/>
  <c r="G24" i="10"/>
  <c r="J24" i="10" s="1"/>
  <c r="H24" i="10"/>
  <c r="I24" i="10"/>
  <c r="F25" i="10"/>
  <c r="I25" i="10" s="1"/>
  <c r="H25" i="10"/>
  <c r="F26" i="10"/>
  <c r="G26" i="10" s="1"/>
  <c r="J26" i="10" s="1"/>
  <c r="H26" i="10"/>
  <c r="F27" i="10"/>
  <c r="G27" i="10" s="1"/>
  <c r="J27" i="10" s="1"/>
  <c r="H27" i="10"/>
  <c r="G28" i="10"/>
  <c r="J28" i="10" s="1"/>
  <c r="H28" i="10"/>
  <c r="I28" i="10"/>
  <c r="F29" i="10"/>
  <c r="G29" i="10" s="1"/>
  <c r="J29" i="10" s="1"/>
  <c r="K29" i="10" s="1"/>
  <c r="L29" i="10" s="1"/>
  <c r="F30" i="10"/>
  <c r="I30" i="10" s="1"/>
  <c r="H30" i="10"/>
  <c r="F31" i="10"/>
  <c r="G31" i="10" s="1"/>
  <c r="J31" i="10" s="1"/>
  <c r="H31" i="10"/>
  <c r="G32" i="10"/>
  <c r="J32" i="10" s="1"/>
  <c r="H32" i="10"/>
  <c r="I32" i="10"/>
  <c r="F33" i="10"/>
  <c r="I33" i="10" s="1"/>
  <c r="H33" i="10"/>
  <c r="G34" i="10"/>
  <c r="I34" i="10"/>
  <c r="J34" i="10"/>
  <c r="K34" i="10" s="1"/>
  <c r="L34" i="10" s="1"/>
  <c r="C52" i="13"/>
  <c r="D52" i="13"/>
  <c r="B50" i="13"/>
  <c r="C50" i="13"/>
  <c r="D50" i="13"/>
  <c r="B38" i="13"/>
  <c r="B47" i="13"/>
  <c r="C47" i="13"/>
  <c r="C46" i="13"/>
  <c r="C44" i="13"/>
  <c r="B48" i="13"/>
  <c r="B42" i="13"/>
  <c r="D42" i="13"/>
  <c r="D36" i="13"/>
  <c r="B52" i="13"/>
  <c r="B51" i="13"/>
  <c r="C41" i="13"/>
  <c r="D40" i="13"/>
  <c r="B36" i="13"/>
  <c r="D49" i="13"/>
  <c r="D47" i="13"/>
  <c r="C51" i="13"/>
  <c r="D44" i="13"/>
  <c r="D38" i="13"/>
  <c r="C39" i="13"/>
  <c r="B37" i="13"/>
  <c r="D51" i="13"/>
  <c r="D41" i="13"/>
  <c r="C49" i="13"/>
  <c r="B41" i="13"/>
  <c r="D39" i="13"/>
  <c r="B45" i="13"/>
  <c r="C40" i="13"/>
  <c r="C48" i="13"/>
  <c r="C36" i="13"/>
  <c r="C45" i="13"/>
  <c r="B40" i="13"/>
  <c r="C42" i="13"/>
  <c r="C43" i="13"/>
  <c r="D48" i="13"/>
  <c r="B43" i="13"/>
  <c r="D43" i="13"/>
  <c r="D45" i="13"/>
  <c r="D46" i="13"/>
  <c r="B44" i="13"/>
  <c r="B49" i="13"/>
  <c r="C37" i="13"/>
  <c r="C38" i="13"/>
  <c r="B46" i="13"/>
  <c r="D37" i="13"/>
  <c r="B39" i="13"/>
  <c r="B35" i="13"/>
  <c r="B17" i="13"/>
  <c r="B20" i="13"/>
  <c r="B18" i="13"/>
  <c r="B16" i="13"/>
  <c r="B19" i="13"/>
  <c r="O5" i="25" l="1"/>
  <c r="P5" i="25" s="1"/>
  <c r="Q5" i="25" s="1"/>
  <c r="R5" i="25" s="1"/>
  <c r="S5" i="25" s="1"/>
  <c r="I19" i="10"/>
  <c r="I31" i="10"/>
  <c r="G30" i="10"/>
  <c r="J30" i="10" s="1"/>
  <c r="I22" i="10"/>
  <c r="G33" i="10"/>
  <c r="J33" i="10" s="1"/>
  <c r="G25" i="10"/>
  <c r="J25" i="10" s="1"/>
  <c r="K25" i="10" s="1"/>
  <c r="L25" i="10" s="1"/>
  <c r="I18" i="10"/>
  <c r="O2" i="23"/>
  <c r="I35" i="20"/>
  <c r="G16" i="15"/>
  <c r="J16" i="15" s="1"/>
  <c r="G2" i="15"/>
  <c r="J2" i="15" s="1"/>
  <c r="I11" i="15"/>
  <c r="G7" i="15"/>
  <c r="J7" i="15" s="1"/>
  <c r="K7" i="15" s="1"/>
  <c r="L7" i="15" s="1"/>
  <c r="P6" i="37"/>
  <c r="Q6" i="37" s="1"/>
  <c r="R6" i="37" s="1"/>
  <c r="I48" i="35"/>
  <c r="J48" i="39"/>
  <c r="O39" i="12"/>
  <c r="P39" i="12" s="1"/>
  <c r="Q39" i="12" s="1"/>
  <c r="R39" i="12" s="1"/>
  <c r="S39" i="12" s="1"/>
  <c r="O6" i="12"/>
  <c r="P6" i="12" s="1"/>
  <c r="Q6" i="12" s="1"/>
  <c r="R6" i="12" s="1"/>
  <c r="S6" i="12" s="1"/>
  <c r="O14" i="12"/>
  <c r="P14" i="12" s="1"/>
  <c r="Q14" i="12" s="1"/>
  <c r="R14" i="12" s="1"/>
  <c r="S14" i="12" s="1"/>
  <c r="O28" i="12"/>
  <c r="P28" i="12" s="1"/>
  <c r="Q28" i="12" s="1"/>
  <c r="R28" i="12" s="1"/>
  <c r="S28" i="12" s="1"/>
  <c r="O17" i="12"/>
  <c r="P17" i="12" s="1"/>
  <c r="Q17" i="12" s="1"/>
  <c r="R17" i="12" s="1"/>
  <c r="S17" i="12" s="1"/>
  <c r="O25" i="12"/>
  <c r="O35" i="12"/>
  <c r="P35" i="12" s="1"/>
  <c r="Q35" i="12" s="1"/>
  <c r="R35" i="12" s="1"/>
  <c r="S35" i="12" s="1"/>
  <c r="O16" i="14"/>
  <c r="P16" i="14" s="1"/>
  <c r="Q16" i="14" s="1"/>
  <c r="R16" i="14" s="1"/>
  <c r="S16" i="14" s="1"/>
  <c r="O22" i="14"/>
  <c r="O9" i="14"/>
  <c r="P9" i="14" s="1"/>
  <c r="Q9" i="14" s="1"/>
  <c r="R9" i="14" s="1"/>
  <c r="S9" i="14" s="1"/>
  <c r="O33" i="14"/>
  <c r="O8" i="14"/>
  <c r="O17" i="14"/>
  <c r="P17" i="14" s="1"/>
  <c r="Q17" i="14" s="1"/>
  <c r="R17" i="14" s="1"/>
  <c r="S17" i="14" s="1"/>
  <c r="T7" i="29"/>
  <c r="V7" i="29" s="1"/>
  <c r="W7" i="29" s="1"/>
  <c r="T11" i="36"/>
  <c r="V11" i="36" s="1"/>
  <c r="W11" i="36" s="1"/>
  <c r="T15" i="37"/>
  <c r="V15" i="37" s="1"/>
  <c r="W15" i="37" s="1"/>
  <c r="T8" i="25"/>
  <c r="V8" i="25" s="1"/>
  <c r="W8" i="25" s="1"/>
  <c r="T19" i="36"/>
  <c r="T11" i="38"/>
  <c r="V11" i="38" s="1"/>
  <c r="W11" i="38" s="1"/>
  <c r="T37" i="31"/>
  <c r="T15" i="36"/>
  <c r="V15" i="36" s="1"/>
  <c r="W15" i="36" s="1"/>
  <c r="O21" i="15"/>
  <c r="P21" i="15" s="1"/>
  <c r="Q21" i="15" s="1"/>
  <c r="R21" i="15" s="1"/>
  <c r="S21" i="15" s="1"/>
  <c r="O37" i="15"/>
  <c r="O32" i="15"/>
  <c r="O27" i="15"/>
  <c r="O18" i="15"/>
  <c r="O13" i="15"/>
  <c r="O41" i="15"/>
  <c r="O36" i="15"/>
  <c r="O31" i="15"/>
  <c r="O15" i="15"/>
  <c r="O40" i="15"/>
  <c r="O35" i="15"/>
  <c r="O30" i="15"/>
  <c r="O20" i="15"/>
  <c r="O12" i="15"/>
  <c r="O28" i="15"/>
  <c r="O17" i="15"/>
  <c r="O9" i="15"/>
  <c r="O39" i="15"/>
  <c r="O34" i="15"/>
  <c r="O26" i="15"/>
  <c r="O19" i="15"/>
  <c r="O14" i="15"/>
  <c r="O11" i="15"/>
  <c r="O7" i="15"/>
  <c r="O33" i="15"/>
  <c r="O38" i="15"/>
  <c r="O16" i="15"/>
  <c r="O10" i="15"/>
  <c r="O29" i="15"/>
  <c r="O8" i="15"/>
  <c r="G26" i="15"/>
  <c r="J26" i="15" s="1"/>
  <c r="O40" i="16"/>
  <c r="O35" i="16"/>
  <c r="I5" i="16"/>
  <c r="G5" i="16"/>
  <c r="J5" i="16" s="1"/>
  <c r="I9" i="16"/>
  <c r="I32" i="16" s="1"/>
  <c r="G9" i="16"/>
  <c r="J9" i="16" s="1"/>
  <c r="T39" i="12"/>
  <c r="T28" i="12"/>
  <c r="T17" i="12"/>
  <c r="T6" i="12"/>
  <c r="I19" i="16"/>
  <c r="G19" i="16"/>
  <c r="J19" i="16" s="1"/>
  <c r="I29" i="16"/>
  <c r="G29" i="16"/>
  <c r="J29" i="16" s="1"/>
  <c r="P22" i="14"/>
  <c r="Q22" i="14" s="1"/>
  <c r="R22" i="14" s="1"/>
  <c r="S22" i="14" s="1"/>
  <c r="G31" i="14"/>
  <c r="J31" i="14" s="1"/>
  <c r="I15" i="16"/>
  <c r="G15" i="16"/>
  <c r="J15" i="16" s="1"/>
  <c r="I27" i="12"/>
  <c r="G27" i="12"/>
  <c r="J27" i="12" s="1"/>
  <c r="O39" i="14"/>
  <c r="O34" i="14"/>
  <c r="O28" i="14"/>
  <c r="O14" i="14"/>
  <c r="O30" i="14"/>
  <c r="O25" i="14"/>
  <c r="O19" i="14"/>
  <c r="O11" i="14"/>
  <c r="O27" i="14"/>
  <c r="O42" i="14"/>
  <c r="O37" i="14"/>
  <c r="O32" i="14"/>
  <c r="O24" i="14"/>
  <c r="O13" i="14"/>
  <c r="O26" i="14"/>
  <c r="O12" i="14"/>
  <c r="O18" i="14"/>
  <c r="O10" i="14"/>
  <c r="O7" i="14"/>
  <c r="O41" i="14"/>
  <c r="O36" i="14"/>
  <c r="O31" i="14"/>
  <c r="O29" i="14"/>
  <c r="O21" i="14"/>
  <c r="O15" i="14"/>
  <c r="T17" i="14"/>
  <c r="I25" i="16"/>
  <c r="G25" i="16"/>
  <c r="J25" i="16" s="1"/>
  <c r="I11" i="16"/>
  <c r="G11" i="16"/>
  <c r="J11" i="16" s="1"/>
  <c r="O23" i="14"/>
  <c r="I21" i="16"/>
  <c r="G21" i="16"/>
  <c r="J21" i="16" s="1"/>
  <c r="I31" i="16"/>
  <c r="G31" i="16"/>
  <c r="J31" i="16" s="1"/>
  <c r="O7" i="12"/>
  <c r="O13" i="12"/>
  <c r="O18" i="12"/>
  <c r="O24" i="12"/>
  <c r="O29" i="12"/>
  <c r="O34" i="12"/>
  <c r="O40" i="12"/>
  <c r="O10" i="12"/>
  <c r="O16" i="12"/>
  <c r="O22" i="12"/>
  <c r="O27" i="12"/>
  <c r="O32" i="12"/>
  <c r="O38" i="12"/>
  <c r="O43" i="12"/>
  <c r="O9" i="12"/>
  <c r="O15" i="12"/>
  <c r="O21" i="12"/>
  <c r="O26" i="12"/>
  <c r="O31" i="12"/>
  <c r="O37" i="12"/>
  <c r="O42" i="12"/>
  <c r="P8" i="14"/>
  <c r="Q8" i="14" s="1"/>
  <c r="R8" i="14" s="1"/>
  <c r="S8" i="14" s="1"/>
  <c r="T9" i="14"/>
  <c r="I28" i="15"/>
  <c r="I31" i="15" s="1"/>
  <c r="G28" i="15"/>
  <c r="J28" i="15" s="1"/>
  <c r="O44" i="12"/>
  <c r="O33" i="12"/>
  <c r="O23" i="12"/>
  <c r="O12" i="12"/>
  <c r="G29" i="12"/>
  <c r="J29" i="12" s="1"/>
  <c r="O38" i="14"/>
  <c r="G17" i="16"/>
  <c r="J17" i="16" s="1"/>
  <c r="I27" i="16"/>
  <c r="G27" i="16"/>
  <c r="J27" i="16" s="1"/>
  <c r="I32" i="12"/>
  <c r="G32" i="12"/>
  <c r="J32" i="12" s="1"/>
  <c r="I13" i="16"/>
  <c r="G13" i="16"/>
  <c r="J13" i="16" s="1"/>
  <c r="T39" i="16"/>
  <c r="T35" i="12"/>
  <c r="P25" i="12"/>
  <c r="Q25" i="12" s="1"/>
  <c r="R25" i="12" s="1"/>
  <c r="S25" i="12" s="1"/>
  <c r="P33" i="14"/>
  <c r="Q33" i="14" s="1"/>
  <c r="R33" i="14" s="1"/>
  <c r="S33" i="14" s="1"/>
  <c r="G33" i="12"/>
  <c r="J33" i="12" s="1"/>
  <c r="I33" i="12"/>
  <c r="O35" i="14"/>
  <c r="O41" i="12"/>
  <c r="O30" i="12"/>
  <c r="O19" i="12"/>
  <c r="O8" i="12"/>
  <c r="O20" i="14"/>
  <c r="O40" i="14"/>
  <c r="I23" i="16"/>
  <c r="G23" i="16"/>
  <c r="J23" i="16" s="1"/>
  <c r="O32" i="17"/>
  <c r="O44" i="17"/>
  <c r="O39" i="17"/>
  <c r="O34" i="17"/>
  <c r="O19" i="17"/>
  <c r="O28" i="17"/>
  <c r="O25" i="17"/>
  <c r="O22" i="17"/>
  <c r="O8" i="17"/>
  <c r="O43" i="17"/>
  <c r="O38" i="17"/>
  <c r="O33" i="17"/>
  <c r="O11" i="17"/>
  <c r="O27" i="17"/>
  <c r="O42" i="17"/>
  <c r="O37" i="17"/>
  <c r="O24" i="17"/>
  <c r="O21" i="17"/>
  <c r="O18" i="17"/>
  <c r="O7" i="17"/>
  <c r="O10" i="17"/>
  <c r="O41" i="17"/>
  <c r="O36" i="17"/>
  <c r="O17" i="17"/>
  <c r="O6" i="17"/>
  <c r="O26" i="17"/>
  <c r="O23" i="17"/>
  <c r="O20" i="17"/>
  <c r="O13" i="17"/>
  <c r="O9" i="17"/>
  <c r="O14" i="17"/>
  <c r="O40" i="17"/>
  <c r="O35" i="17"/>
  <c r="O29" i="17"/>
  <c r="O16" i="17"/>
  <c r="O12" i="17"/>
  <c r="O41" i="19"/>
  <c r="O36" i="19"/>
  <c r="O31" i="19"/>
  <c r="O7" i="19"/>
  <c r="O28" i="19"/>
  <c r="O25" i="19"/>
  <c r="O17" i="19"/>
  <c r="O40" i="19"/>
  <c r="O35" i="19"/>
  <c r="O22" i="19"/>
  <c r="O12" i="19"/>
  <c r="O9" i="19"/>
  <c r="O14" i="19"/>
  <c r="O39" i="19"/>
  <c r="O34" i="19"/>
  <c r="O30" i="19"/>
  <c r="O19" i="19"/>
  <c r="O6" i="19"/>
  <c r="O27" i="19"/>
  <c r="O24" i="19"/>
  <c r="O16" i="19"/>
  <c r="O38" i="19"/>
  <c r="O33" i="19"/>
  <c r="O21" i="19"/>
  <c r="O11" i="19"/>
  <c r="O8" i="19"/>
  <c r="O29" i="19"/>
  <c r="O26" i="19"/>
  <c r="O42" i="19"/>
  <c r="O37" i="19"/>
  <c r="O32" i="19"/>
  <c r="O23" i="19"/>
  <c r="O18" i="19"/>
  <c r="O13" i="19"/>
  <c r="O20" i="19"/>
  <c r="O15" i="19"/>
  <c r="O10" i="19"/>
  <c r="P41" i="39"/>
  <c r="Q41" i="39" s="1"/>
  <c r="R41" i="39" s="1"/>
  <c r="S41" i="39" s="1"/>
  <c r="T41" i="39"/>
  <c r="P38" i="39"/>
  <c r="Q38" i="39" s="1"/>
  <c r="R38" i="39" s="1"/>
  <c r="S38" i="39" s="1"/>
  <c r="T38" i="39"/>
  <c r="P25" i="36"/>
  <c r="Q25" i="36" s="1"/>
  <c r="R25" i="36" s="1"/>
  <c r="S25" i="36" s="1"/>
  <c r="P16" i="38"/>
  <c r="Q16" i="38" s="1"/>
  <c r="R16" i="38" s="1"/>
  <c r="S16" i="38" s="1"/>
  <c r="P36" i="38"/>
  <c r="Q36" i="38" s="1"/>
  <c r="R36" i="38" s="1"/>
  <c r="S36" i="38" s="1"/>
  <c r="T36" i="38"/>
  <c r="P25" i="38"/>
  <c r="Q25" i="38" s="1"/>
  <c r="R25" i="38" s="1"/>
  <c r="S25" i="38" s="1"/>
  <c r="P13" i="38"/>
  <c r="Q13" i="38" s="1"/>
  <c r="R13" i="38" s="1"/>
  <c r="S13" i="38" s="1"/>
  <c r="P11" i="37"/>
  <c r="Q11" i="37" s="1"/>
  <c r="R11" i="37" s="1"/>
  <c r="S11" i="37" s="1"/>
  <c r="P18" i="36"/>
  <c r="Q18" i="36" s="1"/>
  <c r="R18" i="36" s="1"/>
  <c r="S18" i="36" s="1"/>
  <c r="P13" i="36"/>
  <c r="Q13" i="36" s="1"/>
  <c r="R13" i="36" s="1"/>
  <c r="S13" i="36" s="1"/>
  <c r="T13" i="36"/>
  <c r="V13" i="36" s="1"/>
  <c r="W13" i="36" s="1"/>
  <c r="P35" i="40"/>
  <c r="Q35" i="40" s="1"/>
  <c r="R35" i="40" s="1"/>
  <c r="S35" i="40" s="1"/>
  <c r="P13" i="40"/>
  <c r="Q13" i="40" s="1"/>
  <c r="R13" i="40" s="1"/>
  <c r="S13" i="40" s="1"/>
  <c r="P29" i="40"/>
  <c r="Q29" i="40" s="1"/>
  <c r="R29" i="40" s="1"/>
  <c r="S29" i="40" s="1"/>
  <c r="P36" i="37"/>
  <c r="Q36" i="37" s="1"/>
  <c r="R36" i="37" s="1"/>
  <c r="S36" i="37" s="1"/>
  <c r="T36" i="37"/>
  <c r="P19" i="37"/>
  <c r="Q19" i="37" s="1"/>
  <c r="R19" i="37" s="1"/>
  <c r="S19" i="37" s="1"/>
  <c r="T19" i="37"/>
  <c r="P39" i="37"/>
  <c r="Q39" i="37" s="1"/>
  <c r="R39" i="37" s="1"/>
  <c r="S39" i="37" s="1"/>
  <c r="P19" i="34"/>
  <c r="Q19" i="34" s="1"/>
  <c r="R19" i="34" s="1"/>
  <c r="S19" i="34" s="1"/>
  <c r="T19" i="34"/>
  <c r="P40" i="34"/>
  <c r="Q40" i="34" s="1"/>
  <c r="R40" i="34" s="1"/>
  <c r="S40" i="34" s="1"/>
  <c r="T40" i="34"/>
  <c r="P32" i="34"/>
  <c r="Q32" i="34" s="1"/>
  <c r="R32" i="34" s="1"/>
  <c r="S32" i="34" s="1"/>
  <c r="T32" i="34"/>
  <c r="P25" i="35"/>
  <c r="Q25" i="35" s="1"/>
  <c r="R25" i="35" s="1"/>
  <c r="S25" i="35" s="1"/>
  <c r="P30" i="35"/>
  <c r="Q30" i="35" s="1"/>
  <c r="R30" i="35" s="1"/>
  <c r="S30" i="35" s="1"/>
  <c r="P15" i="35"/>
  <c r="Q15" i="35" s="1"/>
  <c r="R15" i="35" s="1"/>
  <c r="S15" i="35" s="1"/>
  <c r="T15" i="35"/>
  <c r="V15" i="35" s="1"/>
  <c r="W15" i="35" s="1"/>
  <c r="P27" i="33"/>
  <c r="Q27" i="33" s="1"/>
  <c r="R27" i="33" s="1"/>
  <c r="S27" i="33" s="1"/>
  <c r="P20" i="33"/>
  <c r="Q20" i="33" s="1"/>
  <c r="R20" i="33" s="1"/>
  <c r="S20" i="33" s="1"/>
  <c r="P40" i="33"/>
  <c r="Q40" i="33" s="1"/>
  <c r="R40" i="33" s="1"/>
  <c r="S40" i="33" s="1"/>
  <c r="P22" i="31"/>
  <c r="Q22" i="31" s="1"/>
  <c r="R22" i="31" s="1"/>
  <c r="S22" i="31" s="1"/>
  <c r="T22" i="31"/>
  <c r="P26" i="32"/>
  <c r="Q26" i="32" s="1"/>
  <c r="R26" i="32" s="1"/>
  <c r="S26" i="32" s="1"/>
  <c r="P19" i="32"/>
  <c r="Q19" i="32" s="1"/>
  <c r="R19" i="32" s="1"/>
  <c r="S19" i="32" s="1"/>
  <c r="P39" i="32"/>
  <c r="Q39" i="32" s="1"/>
  <c r="R39" i="32" s="1"/>
  <c r="S39" i="32" s="1"/>
  <c r="P21" i="31"/>
  <c r="Q21" i="31" s="1"/>
  <c r="R21" i="31" s="1"/>
  <c r="S21" i="31" s="1"/>
  <c r="P29" i="31"/>
  <c r="Q29" i="31" s="1"/>
  <c r="R29" i="31" s="1"/>
  <c r="S29" i="31" s="1"/>
  <c r="T29" i="31"/>
  <c r="P9" i="23"/>
  <c r="Q9" i="23" s="1"/>
  <c r="R9" i="23" s="1"/>
  <c r="S9" i="23" s="1"/>
  <c r="P27" i="25"/>
  <c r="Q27" i="25" s="1"/>
  <c r="R27" i="25" s="1"/>
  <c r="S27" i="25" s="1"/>
  <c r="P34" i="25"/>
  <c r="Q34" i="25" s="1"/>
  <c r="R34" i="25" s="1"/>
  <c r="S34" i="25" s="1"/>
  <c r="P26" i="25"/>
  <c r="Q26" i="25" s="1"/>
  <c r="R26" i="25" s="1"/>
  <c r="S26" i="25" s="1"/>
  <c r="T26" i="25"/>
  <c r="P29" i="24"/>
  <c r="Q29" i="24" s="1"/>
  <c r="R29" i="24" s="1"/>
  <c r="S29" i="24" s="1"/>
  <c r="P42" i="24"/>
  <c r="Q42" i="24" s="1"/>
  <c r="R42" i="24" s="1"/>
  <c r="S42" i="24" s="1"/>
  <c r="P25" i="24"/>
  <c r="Q25" i="24" s="1"/>
  <c r="R25" i="24" s="1"/>
  <c r="S25" i="24" s="1"/>
  <c r="T25" i="24"/>
  <c r="P11" i="29"/>
  <c r="Q11" i="29" s="1"/>
  <c r="R11" i="29" s="1"/>
  <c r="S11" i="29" s="1"/>
  <c r="T11" i="29"/>
  <c r="V11" i="29" s="1"/>
  <c r="W11" i="29" s="1"/>
  <c r="P22" i="29"/>
  <c r="Q22" i="29" s="1"/>
  <c r="R22" i="29" s="1"/>
  <c r="S22" i="29" s="1"/>
  <c r="T22" i="29"/>
  <c r="P34" i="29"/>
  <c r="Q34" i="29" s="1"/>
  <c r="R34" i="29" s="1"/>
  <c r="S34" i="29" s="1"/>
  <c r="P12" i="22"/>
  <c r="Q12" i="22" s="1"/>
  <c r="R12" i="22" s="1"/>
  <c r="S12" i="22" s="1"/>
  <c r="P20" i="22"/>
  <c r="Q20" i="22" s="1"/>
  <c r="R20" i="22" s="1"/>
  <c r="S20" i="22" s="1"/>
  <c r="T20" i="22"/>
  <c r="P40" i="22"/>
  <c r="Q40" i="22" s="1"/>
  <c r="R40" i="22" s="1"/>
  <c r="S40" i="22" s="1"/>
  <c r="T40" i="22" s="1"/>
  <c r="P25" i="22"/>
  <c r="Q25" i="22" s="1"/>
  <c r="R25" i="22" s="1"/>
  <c r="S25" i="22" s="1"/>
  <c r="P12" i="20"/>
  <c r="Q12" i="20" s="1"/>
  <c r="R12" i="20" s="1"/>
  <c r="S12" i="20" s="1"/>
  <c r="T12" i="20"/>
  <c r="P32" i="20"/>
  <c r="Q32" i="20" s="1"/>
  <c r="R32" i="20" s="1"/>
  <c r="S32" i="20" s="1"/>
  <c r="P20" i="20"/>
  <c r="Q20" i="20" s="1"/>
  <c r="R20" i="20" s="1"/>
  <c r="S20" i="20" s="1"/>
  <c r="P27" i="21"/>
  <c r="Q27" i="21" s="1"/>
  <c r="R27" i="21" s="1"/>
  <c r="S27" i="21" s="1"/>
  <c r="P38" i="21"/>
  <c r="Q38" i="21" s="1"/>
  <c r="R38" i="21" s="1"/>
  <c r="S38" i="21" s="1"/>
  <c r="P11" i="21"/>
  <c r="Q11" i="21" s="1"/>
  <c r="R11" i="21" s="1"/>
  <c r="S11" i="21" s="1"/>
  <c r="P44" i="21"/>
  <c r="Q44" i="21" s="1"/>
  <c r="R44" i="21" s="1"/>
  <c r="S44" i="21" s="1"/>
  <c r="G30" i="15"/>
  <c r="J30" i="15" s="1"/>
  <c r="O7" i="16"/>
  <c r="O9" i="16"/>
  <c r="O11" i="16"/>
  <c r="O13" i="16"/>
  <c r="O15" i="16"/>
  <c r="O17" i="16"/>
  <c r="O19" i="16"/>
  <c r="O21" i="16"/>
  <c r="O23" i="16"/>
  <c r="O25" i="16"/>
  <c r="O27" i="16"/>
  <c r="O29" i="16"/>
  <c r="O31" i="16"/>
  <c r="O36" i="16"/>
  <c r="O41" i="16"/>
  <c r="P42" i="39"/>
  <c r="Q42" i="39" s="1"/>
  <c r="R42" i="39" s="1"/>
  <c r="S42" i="39" s="1"/>
  <c r="T42" i="39"/>
  <c r="P34" i="39"/>
  <c r="Q34" i="39" s="1"/>
  <c r="R34" i="39" s="1"/>
  <c r="S34" i="39" s="1"/>
  <c r="T34" i="39"/>
  <c r="P35" i="39"/>
  <c r="Q35" i="39" s="1"/>
  <c r="R35" i="39" s="1"/>
  <c r="S35" i="39" s="1"/>
  <c r="T35" i="39"/>
  <c r="P9" i="36"/>
  <c r="Q9" i="36" s="1"/>
  <c r="R9" i="36" s="1"/>
  <c r="S9" i="36" s="1"/>
  <c r="T9" i="36"/>
  <c r="V9" i="36" s="1"/>
  <c r="W9" i="36" s="1"/>
  <c r="P12" i="38"/>
  <c r="Q12" i="38" s="1"/>
  <c r="R12" i="38" s="1"/>
  <c r="S12" i="38" s="1"/>
  <c r="P10" i="40"/>
  <c r="Q10" i="40" s="1"/>
  <c r="R10" i="40" s="1"/>
  <c r="S10" i="40" s="1"/>
  <c r="P17" i="40"/>
  <c r="Q17" i="40" s="1"/>
  <c r="R17" i="40" s="1"/>
  <c r="S17" i="40" s="1"/>
  <c r="P9" i="40"/>
  <c r="Q9" i="40" s="1"/>
  <c r="R9" i="40" s="1"/>
  <c r="S9" i="40" s="1"/>
  <c r="T9" i="40"/>
  <c r="V9" i="40" s="1"/>
  <c r="W9" i="40" s="1"/>
  <c r="P31" i="40"/>
  <c r="Q31" i="40" s="1"/>
  <c r="R31" i="40" s="1"/>
  <c r="S31" i="40" s="1"/>
  <c r="P9" i="37"/>
  <c r="Q9" i="37" s="1"/>
  <c r="R9" i="37" s="1"/>
  <c r="S9" i="37" s="1"/>
  <c r="P38" i="37"/>
  <c r="Q38" i="37" s="1"/>
  <c r="R38" i="37" s="1"/>
  <c r="S38" i="37" s="1"/>
  <c r="P21" i="37"/>
  <c r="Q21" i="37" s="1"/>
  <c r="R21" i="37" s="1"/>
  <c r="S21" i="37" s="1"/>
  <c r="P41" i="37"/>
  <c r="Q41" i="37" s="1"/>
  <c r="R41" i="37" s="1"/>
  <c r="S41" i="37" s="1"/>
  <c r="P21" i="34"/>
  <c r="Q21" i="34" s="1"/>
  <c r="R21" i="34" s="1"/>
  <c r="S21" i="34" s="1"/>
  <c r="P18" i="34"/>
  <c r="Q18" i="34" s="1"/>
  <c r="R18" i="34" s="1"/>
  <c r="S18" i="34" s="1"/>
  <c r="P34" i="34"/>
  <c r="Q34" i="34" s="1"/>
  <c r="R34" i="34" s="1"/>
  <c r="S34" i="34" s="1"/>
  <c r="P36" i="35"/>
  <c r="Q36" i="35" s="1"/>
  <c r="R36" i="35" s="1"/>
  <c r="S36" i="35" s="1"/>
  <c r="P39" i="35"/>
  <c r="Q39" i="35" s="1"/>
  <c r="R39" i="35" s="1"/>
  <c r="S39" i="35" s="1"/>
  <c r="P18" i="35"/>
  <c r="Q18" i="35" s="1"/>
  <c r="R18" i="35" s="1"/>
  <c r="S18" i="35" s="1"/>
  <c r="P29" i="33"/>
  <c r="Q29" i="33" s="1"/>
  <c r="R29" i="33" s="1"/>
  <c r="S29" i="33" s="1"/>
  <c r="T29" i="33"/>
  <c r="P22" i="33"/>
  <c r="Q22" i="33" s="1"/>
  <c r="R22" i="33" s="1"/>
  <c r="S22" i="33" s="1"/>
  <c r="P42" i="33"/>
  <c r="Q42" i="33" s="1"/>
  <c r="R42" i="33" s="1"/>
  <c r="S42" i="33" s="1"/>
  <c r="P8" i="31"/>
  <c r="Q8" i="31" s="1"/>
  <c r="R8" i="31" s="1"/>
  <c r="S8" i="31" s="1"/>
  <c r="P28" i="32"/>
  <c r="Q28" i="32" s="1"/>
  <c r="R28" i="32" s="1"/>
  <c r="S28" i="32" s="1"/>
  <c r="P21" i="32"/>
  <c r="Q21" i="32" s="1"/>
  <c r="R21" i="32" s="1"/>
  <c r="S21" i="32" s="1"/>
  <c r="P41" i="32"/>
  <c r="Q41" i="32" s="1"/>
  <c r="R41" i="32" s="1"/>
  <c r="S41" i="32" s="1"/>
  <c r="P11" i="31"/>
  <c r="Q11" i="31" s="1"/>
  <c r="R11" i="31" s="1"/>
  <c r="S11" i="31" s="1"/>
  <c r="P17" i="31"/>
  <c r="Q17" i="31" s="1"/>
  <c r="R17" i="31" s="1"/>
  <c r="S17" i="31" s="1"/>
  <c r="T41" i="36"/>
  <c r="P39" i="24"/>
  <c r="Q39" i="24" s="1"/>
  <c r="R39" i="24" s="1"/>
  <c r="S39" i="24" s="1"/>
  <c r="P33" i="25"/>
  <c r="Q33" i="25" s="1"/>
  <c r="R33" i="25" s="1"/>
  <c r="S33" i="25" s="1"/>
  <c r="P37" i="25"/>
  <c r="Q37" i="25" s="1"/>
  <c r="R37" i="25" s="1"/>
  <c r="S37" i="25" s="1"/>
  <c r="P32" i="25"/>
  <c r="Q32" i="25" s="1"/>
  <c r="R32" i="25" s="1"/>
  <c r="S32" i="25" s="1"/>
  <c r="P35" i="24"/>
  <c r="Q35" i="24" s="1"/>
  <c r="R35" i="24" s="1"/>
  <c r="S35" i="24" s="1"/>
  <c r="P18" i="24"/>
  <c r="Q18" i="24" s="1"/>
  <c r="R18" i="24" s="1"/>
  <c r="S18" i="24" s="1"/>
  <c r="P28" i="24"/>
  <c r="Q28" i="24" s="1"/>
  <c r="R28" i="24" s="1"/>
  <c r="S28" i="24" s="1"/>
  <c r="P12" i="29"/>
  <c r="Q12" i="29" s="1"/>
  <c r="R12" i="29" s="1"/>
  <c r="S12" i="29" s="1"/>
  <c r="P26" i="29"/>
  <c r="Q26" i="29" s="1"/>
  <c r="R26" i="29" s="1"/>
  <c r="S26" i="29" s="1"/>
  <c r="T26" i="29"/>
  <c r="P27" i="29"/>
  <c r="Q27" i="29" s="1"/>
  <c r="R27" i="29" s="1"/>
  <c r="S27" i="29" s="1"/>
  <c r="P38" i="29"/>
  <c r="Q38" i="29" s="1"/>
  <c r="R38" i="29" s="1"/>
  <c r="S38" i="29" s="1"/>
  <c r="P16" i="22"/>
  <c r="Q16" i="22" s="1"/>
  <c r="R16" i="22" s="1"/>
  <c r="S16" i="22" s="1"/>
  <c r="P27" i="22"/>
  <c r="Q27" i="22" s="1"/>
  <c r="R27" i="22" s="1"/>
  <c r="S27" i="22" s="1"/>
  <c r="T27" i="22"/>
  <c r="P8" i="22"/>
  <c r="Q8" i="22" s="1"/>
  <c r="R8" i="22" s="1"/>
  <c r="S8" i="22" s="1"/>
  <c r="T8" i="22"/>
  <c r="P33" i="22"/>
  <c r="Q33" i="22" s="1"/>
  <c r="R33" i="22" s="1"/>
  <c r="S33" i="22" s="1"/>
  <c r="P15" i="20"/>
  <c r="Q15" i="20" s="1"/>
  <c r="R15" i="20" s="1"/>
  <c r="S15" i="20" s="1"/>
  <c r="P10" i="20"/>
  <c r="Q10" i="20" s="1"/>
  <c r="R10" i="20" s="1"/>
  <c r="S10" i="20" s="1"/>
  <c r="P23" i="20"/>
  <c r="Q23" i="20" s="1"/>
  <c r="R23" i="20" s="1"/>
  <c r="S23" i="20" s="1"/>
  <c r="P43" i="21"/>
  <c r="Q43" i="21" s="1"/>
  <c r="R43" i="21" s="1"/>
  <c r="S43" i="21" s="1"/>
  <c r="T43" i="21"/>
  <c r="P13" i="21"/>
  <c r="Q13" i="21" s="1"/>
  <c r="R13" i="21" s="1"/>
  <c r="S13" i="21" s="1"/>
  <c r="T13" i="21"/>
  <c r="P17" i="21"/>
  <c r="Q17" i="21" s="1"/>
  <c r="R17" i="21" s="1"/>
  <c r="S17" i="21" s="1"/>
  <c r="P10" i="21"/>
  <c r="Q10" i="21" s="1"/>
  <c r="R10" i="21" s="1"/>
  <c r="S10" i="21" s="1"/>
  <c r="P5" i="22"/>
  <c r="Q5" i="22" s="1"/>
  <c r="R5" i="22" s="1"/>
  <c r="S5" i="22" s="1"/>
  <c r="P37" i="39"/>
  <c r="Q37" i="39" s="1"/>
  <c r="R37" i="39" s="1"/>
  <c r="S37" i="39" s="1"/>
  <c r="T37" i="39"/>
  <c r="T29" i="39"/>
  <c r="P29" i="39"/>
  <c r="Q29" i="39" s="1"/>
  <c r="R29" i="39" s="1"/>
  <c r="S29" i="39" s="1"/>
  <c r="P38" i="38"/>
  <c r="Q38" i="38" s="1"/>
  <c r="R38" i="38" s="1"/>
  <c r="S38" i="38" s="1"/>
  <c r="P27" i="38"/>
  <c r="Q27" i="38" s="1"/>
  <c r="R27" i="38" s="1"/>
  <c r="S27" i="38" s="1"/>
  <c r="P10" i="38"/>
  <c r="Q10" i="38" s="1"/>
  <c r="R10" i="38" s="1"/>
  <c r="S10" i="38" s="1"/>
  <c r="T10" i="38"/>
  <c r="V10" i="38" s="1"/>
  <c r="W10" i="38" s="1"/>
  <c r="P39" i="36"/>
  <c r="Q39" i="36" s="1"/>
  <c r="R39" i="36" s="1"/>
  <c r="S39" i="36" s="1"/>
  <c r="P21" i="36"/>
  <c r="Q21" i="36" s="1"/>
  <c r="R21" i="36" s="1"/>
  <c r="S21" i="36" s="1"/>
  <c r="G3" i="16"/>
  <c r="J3" i="16" s="1"/>
  <c r="P16" i="39"/>
  <c r="Q16" i="39" s="1"/>
  <c r="R16" i="39" s="1"/>
  <c r="S16" i="39" s="1"/>
  <c r="T16" i="39"/>
  <c r="V16" i="39" s="1"/>
  <c r="W16" i="39" s="1"/>
  <c r="P26" i="39"/>
  <c r="Q26" i="39" s="1"/>
  <c r="R26" i="39" s="1"/>
  <c r="S26" i="39" s="1"/>
  <c r="T26" i="39"/>
  <c r="P20" i="38"/>
  <c r="Q20" i="38" s="1"/>
  <c r="R20" i="38" s="1"/>
  <c r="S20" i="38" s="1"/>
  <c r="P40" i="38"/>
  <c r="Q40" i="38" s="1"/>
  <c r="R40" i="38" s="1"/>
  <c r="S40" i="38" s="1"/>
  <c r="P29" i="38"/>
  <c r="Q29" i="38" s="1"/>
  <c r="R29" i="38" s="1"/>
  <c r="S29" i="38" s="1"/>
  <c r="P15" i="38"/>
  <c r="Q15" i="38" s="1"/>
  <c r="R15" i="38" s="1"/>
  <c r="S15" i="38" s="1"/>
  <c r="P34" i="36"/>
  <c r="Q34" i="36" s="1"/>
  <c r="R34" i="36" s="1"/>
  <c r="S34" i="36" s="1"/>
  <c r="T34" i="36"/>
  <c r="P24" i="36"/>
  <c r="Q24" i="36" s="1"/>
  <c r="R24" i="36" s="1"/>
  <c r="S24" i="36" s="1"/>
  <c r="P18" i="40"/>
  <c r="Q18" i="40" s="1"/>
  <c r="R18" i="40" s="1"/>
  <c r="S18" i="40" s="1"/>
  <c r="P11" i="40"/>
  <c r="Q11" i="40" s="1"/>
  <c r="R11" i="40" s="1"/>
  <c r="S11" i="40" s="1"/>
  <c r="P16" i="40"/>
  <c r="Q16" i="40" s="1"/>
  <c r="R16" i="40" s="1"/>
  <c r="S16" i="40" s="1"/>
  <c r="P15" i="40"/>
  <c r="Q15" i="40" s="1"/>
  <c r="R15" i="40" s="1"/>
  <c r="S15" i="40" s="1"/>
  <c r="P20" i="37"/>
  <c r="Q20" i="37" s="1"/>
  <c r="R20" i="37" s="1"/>
  <c r="S20" i="37" s="1"/>
  <c r="P40" i="37"/>
  <c r="Q40" i="37" s="1"/>
  <c r="R40" i="37" s="1"/>
  <c r="S40" i="37" s="1"/>
  <c r="P23" i="37"/>
  <c r="Q23" i="37" s="1"/>
  <c r="R23" i="37" s="1"/>
  <c r="S23" i="37" s="1"/>
  <c r="P23" i="34"/>
  <c r="Q23" i="34" s="1"/>
  <c r="R23" i="34" s="1"/>
  <c r="S23" i="34" s="1"/>
  <c r="P38" i="34"/>
  <c r="Q38" i="34" s="1"/>
  <c r="R38" i="34" s="1"/>
  <c r="S38" i="34" s="1"/>
  <c r="T38" i="34"/>
  <c r="P17" i="34"/>
  <c r="Q17" i="34" s="1"/>
  <c r="R17" i="34" s="1"/>
  <c r="S17" i="34" s="1"/>
  <c r="P14" i="35"/>
  <c r="Q14" i="35" s="1"/>
  <c r="R14" i="35" s="1"/>
  <c r="S14" i="35" s="1"/>
  <c r="P16" i="35"/>
  <c r="Q16" i="35" s="1"/>
  <c r="R16" i="35" s="1"/>
  <c r="S16" i="35" s="1"/>
  <c r="P22" i="35"/>
  <c r="Q22" i="35" s="1"/>
  <c r="R22" i="35" s="1"/>
  <c r="S22" i="35" s="1"/>
  <c r="P31" i="33"/>
  <c r="Q31" i="33" s="1"/>
  <c r="R31" i="33" s="1"/>
  <c r="S31" i="33" s="1"/>
  <c r="P24" i="33"/>
  <c r="Q24" i="33" s="1"/>
  <c r="R24" i="33" s="1"/>
  <c r="S24" i="33" s="1"/>
  <c r="T24" i="33"/>
  <c r="P30" i="32"/>
  <c r="Q30" i="32" s="1"/>
  <c r="R30" i="32" s="1"/>
  <c r="S30" i="32" s="1"/>
  <c r="T30" i="32"/>
  <c r="P23" i="32"/>
  <c r="Q23" i="32" s="1"/>
  <c r="R23" i="32" s="1"/>
  <c r="S23" i="32" s="1"/>
  <c r="P15" i="32"/>
  <c r="Q15" i="32" s="1"/>
  <c r="R15" i="32" s="1"/>
  <c r="S15" i="32" s="1"/>
  <c r="P20" i="31"/>
  <c r="Q20" i="31" s="1"/>
  <c r="R20" i="31" s="1"/>
  <c r="S20" i="31" s="1"/>
  <c r="P23" i="31"/>
  <c r="Q23" i="31" s="1"/>
  <c r="R23" i="31" s="1"/>
  <c r="S23" i="31" s="1"/>
  <c r="P36" i="24"/>
  <c r="Q36" i="24" s="1"/>
  <c r="R36" i="24" s="1"/>
  <c r="S36" i="24" s="1"/>
  <c r="P27" i="24"/>
  <c r="Q27" i="24" s="1"/>
  <c r="R27" i="24" s="1"/>
  <c r="S27" i="24" s="1"/>
  <c r="P36" i="25"/>
  <c r="Q36" i="25" s="1"/>
  <c r="R36" i="25" s="1"/>
  <c r="S36" i="25" s="1"/>
  <c r="P22" i="25"/>
  <c r="Q22" i="25" s="1"/>
  <c r="R22" i="25" s="1"/>
  <c r="S22" i="25" s="1"/>
  <c r="P38" i="25"/>
  <c r="Q38" i="25" s="1"/>
  <c r="R38" i="25" s="1"/>
  <c r="S38" i="25" s="1"/>
  <c r="T38" i="25"/>
  <c r="P38" i="24"/>
  <c r="Q38" i="24" s="1"/>
  <c r="R38" i="24" s="1"/>
  <c r="S38" i="24" s="1"/>
  <c r="P21" i="24"/>
  <c r="Q21" i="24" s="1"/>
  <c r="R21" i="24" s="1"/>
  <c r="S21" i="24" s="1"/>
  <c r="T21" i="24"/>
  <c r="P37" i="24"/>
  <c r="Q37" i="24" s="1"/>
  <c r="R37" i="24" s="1"/>
  <c r="S37" i="24" s="1"/>
  <c r="T37" i="24"/>
  <c r="P16" i="29"/>
  <c r="Q16" i="29" s="1"/>
  <c r="R16" i="29" s="1"/>
  <c r="S16" i="29" s="1"/>
  <c r="P13" i="29"/>
  <c r="Q13" i="29" s="1"/>
  <c r="R13" i="29" s="1"/>
  <c r="S13" i="29" s="1"/>
  <c r="P39" i="29"/>
  <c r="Q39" i="29" s="1"/>
  <c r="R39" i="29" s="1"/>
  <c r="S39" i="29" s="1"/>
  <c r="P14" i="29"/>
  <c r="Q14" i="29" s="1"/>
  <c r="R14" i="29" s="1"/>
  <c r="S14" i="29" s="1"/>
  <c r="P19" i="22"/>
  <c r="Q19" i="22" s="1"/>
  <c r="R19" i="22" s="1"/>
  <c r="S19" i="22" s="1"/>
  <c r="T19" i="22"/>
  <c r="P36" i="22"/>
  <c r="Q36" i="22" s="1"/>
  <c r="R36" i="22" s="1"/>
  <c r="S36" i="22" s="1"/>
  <c r="T36" i="22"/>
  <c r="P14" i="22"/>
  <c r="Q14" i="22" s="1"/>
  <c r="R14" i="22" s="1"/>
  <c r="S14" i="22" s="1"/>
  <c r="P38" i="22"/>
  <c r="Q38" i="22" s="1"/>
  <c r="R38" i="22" s="1"/>
  <c r="S38" i="22" s="1"/>
  <c r="P25" i="20"/>
  <c r="Q25" i="20" s="1"/>
  <c r="R25" i="20" s="1"/>
  <c r="S25" i="20" s="1"/>
  <c r="P13" i="20"/>
  <c r="Q13" i="20" s="1"/>
  <c r="R13" i="20" s="1"/>
  <c r="S13" i="20" s="1"/>
  <c r="T13" i="20" s="1"/>
  <c r="P35" i="20"/>
  <c r="Q35" i="20" s="1"/>
  <c r="R35" i="20" s="1"/>
  <c r="S35" i="20" s="1"/>
  <c r="P9" i="21"/>
  <c r="Q9" i="21" s="1"/>
  <c r="R9" i="21" s="1"/>
  <c r="S9" i="21" s="1"/>
  <c r="P22" i="21"/>
  <c r="Q22" i="21" s="1"/>
  <c r="R22" i="21" s="1"/>
  <c r="S22" i="21" s="1"/>
  <c r="P20" i="21"/>
  <c r="Q20" i="21" s="1"/>
  <c r="R20" i="21" s="1"/>
  <c r="S20" i="21" s="1"/>
  <c r="P21" i="21"/>
  <c r="Q21" i="21" s="1"/>
  <c r="R21" i="21" s="1"/>
  <c r="S21" i="21" s="1"/>
  <c r="T21" i="21"/>
  <c r="O32" i="16"/>
  <c r="O37" i="16"/>
  <c r="O42" i="16"/>
  <c r="P24" i="39"/>
  <c r="Q24" i="39" s="1"/>
  <c r="R24" i="39" s="1"/>
  <c r="S24" i="39" s="1"/>
  <c r="T24" i="39"/>
  <c r="P18" i="39"/>
  <c r="Q18" i="39" s="1"/>
  <c r="R18" i="39" s="1"/>
  <c r="S18" i="39" s="1"/>
  <c r="T18" i="39"/>
  <c r="V18" i="39" s="1"/>
  <c r="W18" i="39" s="1"/>
  <c r="P36" i="39"/>
  <c r="Q36" i="39" s="1"/>
  <c r="R36" i="39" s="1"/>
  <c r="S36" i="39" s="1"/>
  <c r="T36" i="39"/>
  <c r="T14" i="39"/>
  <c r="V14" i="39" s="1"/>
  <c r="W14" i="39" s="1"/>
  <c r="P14" i="39"/>
  <c r="Q14" i="39" s="1"/>
  <c r="R14" i="39" s="1"/>
  <c r="S14" i="39" s="1"/>
  <c r="P23" i="39"/>
  <c r="Q23" i="39" s="1"/>
  <c r="R23" i="39" s="1"/>
  <c r="S23" i="39" s="1"/>
  <c r="T23" i="39"/>
  <c r="P22" i="38"/>
  <c r="Q22" i="38" s="1"/>
  <c r="R22" i="38" s="1"/>
  <c r="S22" i="38" s="1"/>
  <c r="T22" i="38"/>
  <c r="P42" i="38"/>
  <c r="Q42" i="38" s="1"/>
  <c r="R42" i="38" s="1"/>
  <c r="S42" i="38" s="1"/>
  <c r="P31" i="38"/>
  <c r="Q31" i="38" s="1"/>
  <c r="R31" i="38" s="1"/>
  <c r="S31" i="38" s="1"/>
  <c r="P18" i="38"/>
  <c r="Q18" i="38" s="1"/>
  <c r="R18" i="38" s="1"/>
  <c r="S18" i="38" s="1"/>
  <c r="P28" i="36"/>
  <c r="Q28" i="36" s="1"/>
  <c r="R28" i="36" s="1"/>
  <c r="S28" i="36" s="1"/>
  <c r="P26" i="36"/>
  <c r="Q26" i="36" s="1"/>
  <c r="R26" i="36" s="1"/>
  <c r="S26" i="36" s="1"/>
  <c r="T26" i="36"/>
  <c r="P25" i="40"/>
  <c r="Q25" i="40" s="1"/>
  <c r="R25" i="40" s="1"/>
  <c r="S25" i="40" s="1"/>
  <c r="P19" i="40"/>
  <c r="Q19" i="40" s="1"/>
  <c r="R19" i="40" s="1"/>
  <c r="S19" i="40" s="1"/>
  <c r="P32" i="40"/>
  <c r="Q32" i="40" s="1"/>
  <c r="R32" i="40" s="1"/>
  <c r="S32" i="40" s="1"/>
  <c r="P36" i="40"/>
  <c r="Q36" i="40" s="1"/>
  <c r="R36" i="40" s="1"/>
  <c r="S36" i="40" s="1"/>
  <c r="P22" i="37"/>
  <c r="Q22" i="37" s="1"/>
  <c r="R22" i="37" s="1"/>
  <c r="S22" i="37" s="1"/>
  <c r="P42" i="37"/>
  <c r="Q42" i="37" s="1"/>
  <c r="R42" i="37" s="1"/>
  <c r="S42" i="37" s="1"/>
  <c r="P25" i="37"/>
  <c r="Q25" i="37" s="1"/>
  <c r="R25" i="37" s="1"/>
  <c r="S25" i="37" s="1"/>
  <c r="P25" i="34"/>
  <c r="Q25" i="34" s="1"/>
  <c r="R25" i="34" s="1"/>
  <c r="S25" i="34" s="1"/>
  <c r="P36" i="34"/>
  <c r="Q36" i="34" s="1"/>
  <c r="R36" i="34" s="1"/>
  <c r="S36" i="34" s="1"/>
  <c r="T36" i="34"/>
  <c r="P35" i="34"/>
  <c r="Q35" i="34" s="1"/>
  <c r="R35" i="34" s="1"/>
  <c r="S35" i="34" s="1"/>
  <c r="P17" i="35"/>
  <c r="Q17" i="35" s="1"/>
  <c r="R17" i="35" s="1"/>
  <c r="S17" i="35" s="1"/>
  <c r="P28" i="35"/>
  <c r="Q28" i="35" s="1"/>
  <c r="R28" i="35" s="1"/>
  <c r="S28" i="35" s="1"/>
  <c r="P31" i="35"/>
  <c r="Q31" i="35" s="1"/>
  <c r="R31" i="35" s="1"/>
  <c r="S31" i="35" s="1"/>
  <c r="T31" i="35"/>
  <c r="P33" i="33"/>
  <c r="Q33" i="33" s="1"/>
  <c r="R33" i="33" s="1"/>
  <c r="S33" i="33" s="1"/>
  <c r="P26" i="33"/>
  <c r="Q26" i="33" s="1"/>
  <c r="R26" i="33" s="1"/>
  <c r="S26" i="33" s="1"/>
  <c r="P32" i="32"/>
  <c r="Q32" i="32" s="1"/>
  <c r="R32" i="32" s="1"/>
  <c r="S32" i="32" s="1"/>
  <c r="T32" i="32"/>
  <c r="P25" i="32"/>
  <c r="Q25" i="32" s="1"/>
  <c r="R25" i="32" s="1"/>
  <c r="S25" i="32" s="1"/>
  <c r="P39" i="31"/>
  <c r="Q39" i="31" s="1"/>
  <c r="R39" i="31" s="1"/>
  <c r="S39" i="31" s="1"/>
  <c r="P31" i="31"/>
  <c r="Q31" i="31" s="1"/>
  <c r="R31" i="31" s="1"/>
  <c r="S31" i="31" s="1"/>
  <c r="P16" i="24"/>
  <c r="Q16" i="24" s="1"/>
  <c r="R16" i="24" s="1"/>
  <c r="S16" i="24" s="1"/>
  <c r="T16" i="24"/>
  <c r="V16" i="24" s="1"/>
  <c r="W16" i="24" s="1"/>
  <c r="P14" i="24"/>
  <c r="Q14" i="24" s="1"/>
  <c r="R14" i="24" s="1"/>
  <c r="S14" i="24" s="1"/>
  <c r="P10" i="25"/>
  <c r="Q10" i="25" s="1"/>
  <c r="R10" i="25" s="1"/>
  <c r="S10" i="25" s="1"/>
  <c r="P28" i="25"/>
  <c r="Q28" i="25" s="1"/>
  <c r="R28" i="25" s="1"/>
  <c r="S28" i="25" s="1"/>
  <c r="T28" i="25"/>
  <c r="P18" i="25"/>
  <c r="Q18" i="25" s="1"/>
  <c r="R18" i="25" s="1"/>
  <c r="S18" i="25" s="1"/>
  <c r="P8" i="24"/>
  <c r="Q8" i="24" s="1"/>
  <c r="R8" i="24" s="1"/>
  <c r="S8" i="24" s="1"/>
  <c r="P30" i="24"/>
  <c r="Q30" i="24" s="1"/>
  <c r="R30" i="24" s="1"/>
  <c r="S30" i="24" s="1"/>
  <c r="P34" i="24"/>
  <c r="Q34" i="24" s="1"/>
  <c r="R34" i="24" s="1"/>
  <c r="S34" i="24" s="1"/>
  <c r="P20" i="29"/>
  <c r="Q20" i="29" s="1"/>
  <c r="R20" i="29" s="1"/>
  <c r="S20" i="29" s="1"/>
  <c r="T20" i="29"/>
  <c r="P29" i="29"/>
  <c r="Q29" i="29" s="1"/>
  <c r="R29" i="29" s="1"/>
  <c r="S29" i="29" s="1"/>
  <c r="T29" i="29"/>
  <c r="P8" i="29"/>
  <c r="Q8" i="29" s="1"/>
  <c r="R8" i="29" s="1"/>
  <c r="S8" i="29" s="1"/>
  <c r="P30" i="29"/>
  <c r="Q30" i="29" s="1"/>
  <c r="R30" i="29" s="1"/>
  <c r="S30" i="29" s="1"/>
  <c r="P26" i="22"/>
  <c r="Q26" i="22" s="1"/>
  <c r="R26" i="22" s="1"/>
  <c r="S26" i="22" s="1"/>
  <c r="P7" i="22"/>
  <c r="Q7" i="22" s="1"/>
  <c r="R7" i="22" s="1"/>
  <c r="S7" i="22" s="1"/>
  <c r="T7" i="22"/>
  <c r="P28" i="22"/>
  <c r="Q28" i="22" s="1"/>
  <c r="R28" i="22" s="1"/>
  <c r="S28" i="22" s="1"/>
  <c r="T28" i="22"/>
  <c r="P18" i="20"/>
  <c r="Q18" i="20" s="1"/>
  <c r="R18" i="20" s="1"/>
  <c r="S18" i="20" s="1"/>
  <c r="P22" i="20"/>
  <c r="Q22" i="20" s="1"/>
  <c r="R22" i="20" s="1"/>
  <c r="S22" i="20" s="1"/>
  <c r="P33" i="20"/>
  <c r="Q33" i="20" s="1"/>
  <c r="R33" i="20" s="1"/>
  <c r="S33" i="20" s="1"/>
  <c r="P40" i="20"/>
  <c r="Q40" i="20" s="1"/>
  <c r="R40" i="20" s="1"/>
  <c r="S40" i="20" s="1"/>
  <c r="T40" i="20"/>
  <c r="P12" i="21"/>
  <c r="Q12" i="21" s="1"/>
  <c r="R12" i="21" s="1"/>
  <c r="S12" i="21" s="1"/>
  <c r="T12" i="21"/>
  <c r="P25" i="21"/>
  <c r="Q25" i="21" s="1"/>
  <c r="R25" i="21" s="1"/>
  <c r="S25" i="21" s="1"/>
  <c r="P23" i="21"/>
  <c r="Q23" i="21" s="1"/>
  <c r="R23" i="21" s="1"/>
  <c r="S23" i="21" s="1"/>
  <c r="P29" i="21"/>
  <c r="Q29" i="21" s="1"/>
  <c r="R29" i="21" s="1"/>
  <c r="S29" i="21" s="1"/>
  <c r="G6" i="16"/>
  <c r="J6" i="16" s="1"/>
  <c r="G8" i="16"/>
  <c r="J8" i="16" s="1"/>
  <c r="G10" i="16"/>
  <c r="J10" i="16" s="1"/>
  <c r="G12" i="16"/>
  <c r="J12" i="16" s="1"/>
  <c r="G14" i="16"/>
  <c r="J14" i="16" s="1"/>
  <c r="G16" i="16"/>
  <c r="J16" i="16" s="1"/>
  <c r="G18" i="16"/>
  <c r="J18" i="16" s="1"/>
  <c r="G20" i="16"/>
  <c r="J20" i="16" s="1"/>
  <c r="G22" i="16"/>
  <c r="J22" i="16" s="1"/>
  <c r="G24" i="16"/>
  <c r="J24" i="16" s="1"/>
  <c r="G26" i="16"/>
  <c r="J26" i="16" s="1"/>
  <c r="G28" i="16"/>
  <c r="J28" i="16" s="1"/>
  <c r="G30" i="16"/>
  <c r="J30" i="16" s="1"/>
  <c r="P21" i="39"/>
  <c r="Q21" i="39" s="1"/>
  <c r="R21" i="39" s="1"/>
  <c r="S21" i="39" s="1"/>
  <c r="T21" i="39"/>
  <c r="P15" i="39"/>
  <c r="Q15" i="39" s="1"/>
  <c r="R15" i="39" s="1"/>
  <c r="S15" i="39" s="1"/>
  <c r="T15" i="39"/>
  <c r="V15" i="39" s="1"/>
  <c r="W15" i="39" s="1"/>
  <c r="P30" i="39"/>
  <c r="Q30" i="39" s="1"/>
  <c r="R30" i="39" s="1"/>
  <c r="S30" i="39" s="1"/>
  <c r="T30" i="39"/>
  <c r="P39" i="39"/>
  <c r="Q39" i="39" s="1"/>
  <c r="R39" i="39" s="1"/>
  <c r="S39" i="39" s="1"/>
  <c r="T39" i="39"/>
  <c r="T11" i="39"/>
  <c r="V11" i="39" s="1"/>
  <c r="W11" i="39" s="1"/>
  <c r="P11" i="39"/>
  <c r="Q11" i="39" s="1"/>
  <c r="R11" i="39" s="1"/>
  <c r="S11" i="39" s="1"/>
  <c r="P9" i="39"/>
  <c r="Q9" i="39" s="1"/>
  <c r="R9" i="39" s="1"/>
  <c r="S9" i="39" s="1"/>
  <c r="T9" i="39"/>
  <c r="V9" i="39" s="1"/>
  <c r="W9" i="39" s="1"/>
  <c r="P24" i="38"/>
  <c r="Q24" i="38" s="1"/>
  <c r="R24" i="38" s="1"/>
  <c r="S24" i="38" s="1"/>
  <c r="T24" i="38"/>
  <c r="P17" i="38"/>
  <c r="Q17" i="38" s="1"/>
  <c r="R17" i="38" s="1"/>
  <c r="S17" i="38" s="1"/>
  <c r="P33" i="38"/>
  <c r="Q33" i="38" s="1"/>
  <c r="R33" i="38" s="1"/>
  <c r="S33" i="38" s="1"/>
  <c r="P23" i="36"/>
  <c r="Q23" i="36" s="1"/>
  <c r="R23" i="36" s="1"/>
  <c r="S23" i="36" s="1"/>
  <c r="P30" i="40"/>
  <c r="Q30" i="40" s="1"/>
  <c r="R30" i="40" s="1"/>
  <c r="S30" i="40" s="1"/>
  <c r="P21" i="40"/>
  <c r="Q21" i="40" s="1"/>
  <c r="R21" i="40" s="1"/>
  <c r="S21" i="40" s="1"/>
  <c r="P12" i="40"/>
  <c r="Q12" i="40" s="1"/>
  <c r="R12" i="40" s="1"/>
  <c r="S12" i="40" s="1"/>
  <c r="P24" i="37"/>
  <c r="Q24" i="37" s="1"/>
  <c r="R24" i="37" s="1"/>
  <c r="S24" i="37" s="1"/>
  <c r="T24" i="37"/>
  <c r="P17" i="37"/>
  <c r="Q17" i="37" s="1"/>
  <c r="R17" i="37" s="1"/>
  <c r="S17" i="37" s="1"/>
  <c r="P27" i="37"/>
  <c r="Q27" i="37" s="1"/>
  <c r="R27" i="37" s="1"/>
  <c r="S27" i="37" s="1"/>
  <c r="P27" i="34"/>
  <c r="Q27" i="34" s="1"/>
  <c r="R27" i="34" s="1"/>
  <c r="S27" i="34" s="1"/>
  <c r="T27" i="34"/>
  <c r="P20" i="34"/>
  <c r="Q20" i="34" s="1"/>
  <c r="R20" i="34" s="1"/>
  <c r="S20" i="34" s="1"/>
  <c r="T20" i="34"/>
  <c r="P37" i="34"/>
  <c r="Q37" i="34" s="1"/>
  <c r="R37" i="34" s="1"/>
  <c r="S37" i="34" s="1"/>
  <c r="T37" i="34"/>
  <c r="P23" i="35"/>
  <c r="Q23" i="35" s="1"/>
  <c r="R23" i="35" s="1"/>
  <c r="S23" i="35" s="1"/>
  <c r="P37" i="35"/>
  <c r="Q37" i="35" s="1"/>
  <c r="R37" i="35" s="1"/>
  <c r="S37" i="35" s="1"/>
  <c r="P42" i="35"/>
  <c r="Q42" i="35" s="1"/>
  <c r="R42" i="35" s="1"/>
  <c r="S42" i="35" s="1"/>
  <c r="T42" i="35"/>
  <c r="P35" i="33"/>
  <c r="Q35" i="33" s="1"/>
  <c r="R35" i="33" s="1"/>
  <c r="S35" i="33" s="1"/>
  <c r="P28" i="33"/>
  <c r="Q28" i="33" s="1"/>
  <c r="R28" i="33" s="1"/>
  <c r="S28" i="33" s="1"/>
  <c r="P34" i="32"/>
  <c r="Q34" i="32" s="1"/>
  <c r="R34" i="32" s="1"/>
  <c r="S34" i="32" s="1"/>
  <c r="P27" i="32"/>
  <c r="Q27" i="32" s="1"/>
  <c r="R27" i="32" s="1"/>
  <c r="S27" i="32" s="1"/>
  <c r="T27" i="32"/>
  <c r="P41" i="31"/>
  <c r="Q41" i="31" s="1"/>
  <c r="R41" i="31" s="1"/>
  <c r="S41" i="31" s="1"/>
  <c r="P33" i="31"/>
  <c r="Q33" i="31" s="1"/>
  <c r="R33" i="31" s="1"/>
  <c r="S33" i="31" s="1"/>
  <c r="P13" i="23"/>
  <c r="Q13" i="23" s="1"/>
  <c r="R13" i="23" s="1"/>
  <c r="S13" i="23" s="1"/>
  <c r="T13" i="23"/>
  <c r="P23" i="25"/>
  <c r="Q23" i="25" s="1"/>
  <c r="R23" i="25" s="1"/>
  <c r="S23" i="25" s="1"/>
  <c r="P14" i="25"/>
  <c r="Q14" i="25" s="1"/>
  <c r="R14" i="25" s="1"/>
  <c r="S14" i="25" s="1"/>
  <c r="P15" i="25"/>
  <c r="Q15" i="25" s="1"/>
  <c r="R15" i="25" s="1"/>
  <c r="S15" i="25" s="1"/>
  <c r="P24" i="25"/>
  <c r="Q24" i="25" s="1"/>
  <c r="R24" i="25" s="1"/>
  <c r="S24" i="25" s="1"/>
  <c r="P13" i="24"/>
  <c r="Q13" i="24" s="1"/>
  <c r="R13" i="24" s="1"/>
  <c r="S13" i="24" s="1"/>
  <c r="T13" i="24"/>
  <c r="V13" i="24" s="1"/>
  <c r="W13" i="24" s="1"/>
  <c r="P10" i="24"/>
  <c r="Q10" i="24" s="1"/>
  <c r="R10" i="24" s="1"/>
  <c r="S10" i="24" s="1"/>
  <c r="T10" i="24"/>
  <c r="V10" i="24" s="1"/>
  <c r="W10" i="24" s="1"/>
  <c r="P7" i="24"/>
  <c r="Q7" i="24" s="1"/>
  <c r="R7" i="24" s="1"/>
  <c r="S7" i="24" s="1"/>
  <c r="P28" i="29"/>
  <c r="Q28" i="29" s="1"/>
  <c r="R28" i="29" s="1"/>
  <c r="S28" i="29" s="1"/>
  <c r="P15" i="29"/>
  <c r="Q15" i="29" s="1"/>
  <c r="R15" i="29" s="1"/>
  <c r="S15" i="29" s="1"/>
  <c r="P33" i="29"/>
  <c r="Q33" i="29" s="1"/>
  <c r="R33" i="29" s="1"/>
  <c r="S33" i="29" s="1"/>
  <c r="T33" i="29"/>
  <c r="P32" i="29"/>
  <c r="Q32" i="29" s="1"/>
  <c r="R32" i="29" s="1"/>
  <c r="S32" i="29" s="1"/>
  <c r="T24" i="24"/>
  <c r="P29" i="22"/>
  <c r="Q29" i="22" s="1"/>
  <c r="R29" i="22" s="1"/>
  <c r="S29" i="22" s="1"/>
  <c r="P24" i="22"/>
  <c r="Q24" i="22" s="1"/>
  <c r="R24" i="22" s="1"/>
  <c r="S24" i="22" s="1"/>
  <c r="P30" i="22"/>
  <c r="Q30" i="22" s="1"/>
  <c r="R30" i="22" s="1"/>
  <c r="S30" i="22" s="1"/>
  <c r="P36" i="20"/>
  <c r="Q36" i="20" s="1"/>
  <c r="R36" i="20" s="1"/>
  <c r="S36" i="20" s="1"/>
  <c r="P31" i="20"/>
  <c r="Q31" i="20" s="1"/>
  <c r="R31" i="20" s="1"/>
  <c r="S31" i="20" s="1"/>
  <c r="T31" i="20"/>
  <c r="P24" i="20"/>
  <c r="Q24" i="20" s="1"/>
  <c r="R24" i="20" s="1"/>
  <c r="S24" i="20" s="1"/>
  <c r="T24" i="20"/>
  <c r="P11" i="20"/>
  <c r="Q11" i="20" s="1"/>
  <c r="R11" i="20" s="1"/>
  <c r="S11" i="20" s="1"/>
  <c r="P18" i="21"/>
  <c r="Q18" i="21" s="1"/>
  <c r="R18" i="21" s="1"/>
  <c r="S18" i="21" s="1"/>
  <c r="P28" i="21"/>
  <c r="Q28" i="21" s="1"/>
  <c r="R28" i="21" s="1"/>
  <c r="S28" i="21" s="1"/>
  <c r="P35" i="21"/>
  <c r="Q35" i="21" s="1"/>
  <c r="R35" i="21" s="1"/>
  <c r="S35" i="21" s="1"/>
  <c r="P7" i="21"/>
  <c r="Q7" i="21" s="1"/>
  <c r="R7" i="21" s="1"/>
  <c r="S7" i="21" s="1"/>
  <c r="T7" i="21"/>
  <c r="O33" i="16"/>
  <c r="O38" i="16"/>
  <c r="G33" i="17"/>
  <c r="J33" i="17" s="1"/>
  <c r="P17" i="39"/>
  <c r="Q17" i="39" s="1"/>
  <c r="R17" i="39" s="1"/>
  <c r="S17" i="39" s="1"/>
  <c r="T17" i="39"/>
  <c r="V17" i="39" s="1"/>
  <c r="W17" i="39" s="1"/>
  <c r="P27" i="39"/>
  <c r="Q27" i="39" s="1"/>
  <c r="R27" i="39" s="1"/>
  <c r="S27" i="39" s="1"/>
  <c r="T27" i="39"/>
  <c r="P26" i="38"/>
  <c r="Q26" i="38" s="1"/>
  <c r="R26" i="38" s="1"/>
  <c r="S26" i="38" s="1"/>
  <c r="P9" i="38"/>
  <c r="Q9" i="38" s="1"/>
  <c r="R9" i="38" s="1"/>
  <c r="S9" i="38" s="1"/>
  <c r="T9" i="38"/>
  <c r="V9" i="38" s="1"/>
  <c r="W9" i="38" s="1"/>
  <c r="P35" i="38"/>
  <c r="Q35" i="38" s="1"/>
  <c r="R35" i="38" s="1"/>
  <c r="S35" i="38" s="1"/>
  <c r="T35" i="38"/>
  <c r="P29" i="36"/>
  <c r="Q29" i="36" s="1"/>
  <c r="R29" i="36" s="1"/>
  <c r="S29" i="36" s="1"/>
  <c r="P36" i="36"/>
  <c r="Q36" i="36" s="1"/>
  <c r="R36" i="36" s="1"/>
  <c r="S36" i="36" s="1"/>
  <c r="P20" i="40"/>
  <c r="Q20" i="40" s="1"/>
  <c r="R20" i="40" s="1"/>
  <c r="S20" i="40" s="1"/>
  <c r="T20" i="40"/>
  <c r="P26" i="40"/>
  <c r="Q26" i="40" s="1"/>
  <c r="R26" i="40" s="1"/>
  <c r="S26" i="40" s="1"/>
  <c r="T26" i="40"/>
  <c r="P34" i="40"/>
  <c r="Q34" i="40" s="1"/>
  <c r="R34" i="40" s="1"/>
  <c r="S34" i="40" s="1"/>
  <c r="T34" i="40"/>
  <c r="P26" i="37"/>
  <c r="Q26" i="37" s="1"/>
  <c r="R26" i="37" s="1"/>
  <c r="S26" i="37" s="1"/>
  <c r="P8" i="37"/>
  <c r="Q8" i="37" s="1"/>
  <c r="R8" i="37" s="1"/>
  <c r="S8" i="37" s="1"/>
  <c r="P29" i="37"/>
  <c r="Q29" i="37" s="1"/>
  <c r="R29" i="37" s="1"/>
  <c r="S29" i="37" s="1"/>
  <c r="P29" i="34"/>
  <c r="Q29" i="34" s="1"/>
  <c r="R29" i="34" s="1"/>
  <c r="S29" i="34" s="1"/>
  <c r="P22" i="34"/>
  <c r="Q22" i="34" s="1"/>
  <c r="R22" i="34" s="1"/>
  <c r="S22" i="34" s="1"/>
  <c r="P39" i="34"/>
  <c r="Q39" i="34" s="1"/>
  <c r="R39" i="34" s="1"/>
  <c r="S39" i="34" s="1"/>
  <c r="P34" i="35"/>
  <c r="Q34" i="35" s="1"/>
  <c r="R34" i="35" s="1"/>
  <c r="S34" i="35" s="1"/>
  <c r="P13" i="35"/>
  <c r="Q13" i="35" s="1"/>
  <c r="R13" i="35" s="1"/>
  <c r="S13" i="35" s="1"/>
  <c r="T13" i="35"/>
  <c r="V13" i="35" s="1"/>
  <c r="W13" i="35" s="1"/>
  <c r="P20" i="35"/>
  <c r="Q20" i="35" s="1"/>
  <c r="R20" i="35" s="1"/>
  <c r="S20" i="35" s="1"/>
  <c r="P17" i="33"/>
  <c r="Q17" i="33" s="1"/>
  <c r="R17" i="33" s="1"/>
  <c r="S17" i="33" s="1"/>
  <c r="P37" i="33"/>
  <c r="Q37" i="33" s="1"/>
  <c r="R37" i="33" s="1"/>
  <c r="S37" i="33" s="1"/>
  <c r="T37" i="33"/>
  <c r="P30" i="33"/>
  <c r="Q30" i="33" s="1"/>
  <c r="R30" i="33" s="1"/>
  <c r="S30" i="33" s="1"/>
  <c r="P18" i="32"/>
  <c r="Q18" i="32" s="1"/>
  <c r="R18" i="32" s="1"/>
  <c r="S18" i="32" s="1"/>
  <c r="P36" i="32"/>
  <c r="Q36" i="32" s="1"/>
  <c r="R36" i="32" s="1"/>
  <c r="S36" i="32" s="1"/>
  <c r="P29" i="32"/>
  <c r="Q29" i="32" s="1"/>
  <c r="R29" i="32" s="1"/>
  <c r="S29" i="32" s="1"/>
  <c r="P10" i="31"/>
  <c r="Q10" i="31" s="1"/>
  <c r="R10" i="31" s="1"/>
  <c r="S10" i="31" s="1"/>
  <c r="T10" i="31"/>
  <c r="V10" i="31" s="1"/>
  <c r="W10" i="31" s="1"/>
  <c r="P42" i="31"/>
  <c r="Q42" i="31" s="1"/>
  <c r="R42" i="31" s="1"/>
  <c r="S42" i="31" s="1"/>
  <c r="P12" i="23"/>
  <c r="Q12" i="23" s="1"/>
  <c r="R12" i="23" s="1"/>
  <c r="S12" i="23" s="1"/>
  <c r="P35" i="25"/>
  <c r="Q35" i="25" s="1"/>
  <c r="R35" i="25" s="1"/>
  <c r="S35" i="25" s="1"/>
  <c r="P16" i="25"/>
  <c r="Q16" i="25" s="1"/>
  <c r="R16" i="25" s="1"/>
  <c r="S16" i="25" s="1"/>
  <c r="T16" i="25"/>
  <c r="V16" i="25" s="1"/>
  <c r="W16" i="25" s="1"/>
  <c r="P9" i="25"/>
  <c r="Q9" i="25" s="1"/>
  <c r="R9" i="25" s="1"/>
  <c r="S9" i="25" s="1"/>
  <c r="P15" i="24"/>
  <c r="Q15" i="24" s="1"/>
  <c r="R15" i="24" s="1"/>
  <c r="S15" i="24" s="1"/>
  <c r="P23" i="24"/>
  <c r="Q23" i="24" s="1"/>
  <c r="R23" i="24" s="1"/>
  <c r="S23" i="24" s="1"/>
  <c r="P9" i="24"/>
  <c r="Q9" i="24" s="1"/>
  <c r="R9" i="24" s="1"/>
  <c r="S9" i="24" s="1"/>
  <c r="P18" i="29"/>
  <c r="Q18" i="29" s="1"/>
  <c r="R18" i="29" s="1"/>
  <c r="S18" i="29" s="1"/>
  <c r="P17" i="29"/>
  <c r="Q17" i="29" s="1"/>
  <c r="R17" i="29" s="1"/>
  <c r="S17" i="29" s="1"/>
  <c r="T17" i="29"/>
  <c r="V17" i="29" s="1"/>
  <c r="W17" i="29" s="1"/>
  <c r="P42" i="29"/>
  <c r="Q42" i="29" s="1"/>
  <c r="R42" i="29" s="1"/>
  <c r="S42" i="29" s="1"/>
  <c r="P36" i="29"/>
  <c r="Q36" i="29" s="1"/>
  <c r="R36" i="29" s="1"/>
  <c r="S36" i="29" s="1"/>
  <c r="P35" i="22"/>
  <c r="Q35" i="22" s="1"/>
  <c r="R35" i="22" s="1"/>
  <c r="S35" i="22" s="1"/>
  <c r="P37" i="22"/>
  <c r="Q37" i="22" s="1"/>
  <c r="R37" i="22" s="1"/>
  <c r="S37" i="22" s="1"/>
  <c r="P11" i="22"/>
  <c r="Q11" i="22" s="1"/>
  <c r="R11" i="22" s="1"/>
  <c r="S11" i="22" s="1"/>
  <c r="P42" i="20"/>
  <c r="Q42" i="20" s="1"/>
  <c r="R42" i="20" s="1"/>
  <c r="S42" i="20" s="1"/>
  <c r="P37" i="20"/>
  <c r="Q37" i="20" s="1"/>
  <c r="R37" i="20" s="1"/>
  <c r="S37" i="20" s="1"/>
  <c r="T37" i="20"/>
  <c r="P8" i="20"/>
  <c r="Q8" i="20" s="1"/>
  <c r="R8" i="20" s="1"/>
  <c r="S8" i="20" s="1"/>
  <c r="P28" i="20"/>
  <c r="Q28" i="20" s="1"/>
  <c r="R28" i="20" s="1"/>
  <c r="S28" i="20" s="1"/>
  <c r="P30" i="21"/>
  <c r="Q30" i="21" s="1"/>
  <c r="R30" i="21" s="1"/>
  <c r="S30" i="21" s="1"/>
  <c r="T30" i="21"/>
  <c r="P40" i="21"/>
  <c r="Q40" i="21" s="1"/>
  <c r="R40" i="21" s="1"/>
  <c r="S40" i="21" s="1"/>
  <c r="P14" i="21"/>
  <c r="Q14" i="21" s="1"/>
  <c r="R14" i="21" s="1"/>
  <c r="S14" i="21" s="1"/>
  <c r="O6" i="16"/>
  <c r="O8" i="16"/>
  <c r="O10" i="16"/>
  <c r="O12" i="16"/>
  <c r="O14" i="16"/>
  <c r="O16" i="16"/>
  <c r="O18" i="16"/>
  <c r="O20" i="16"/>
  <c r="O22" i="16"/>
  <c r="O24" i="16"/>
  <c r="O26" i="16"/>
  <c r="O28" i="16"/>
  <c r="O30" i="16"/>
  <c r="T12" i="39"/>
  <c r="V12" i="39" s="1"/>
  <c r="W12" i="39" s="1"/>
  <c r="P12" i="39"/>
  <c r="Q12" i="39" s="1"/>
  <c r="R12" i="39" s="1"/>
  <c r="S12" i="39" s="1"/>
  <c r="P31" i="39"/>
  <c r="Q31" i="39" s="1"/>
  <c r="R31" i="39" s="1"/>
  <c r="S31" i="39" s="1"/>
  <c r="T31" i="39"/>
  <c r="P8" i="39"/>
  <c r="Q8" i="39" s="1"/>
  <c r="R8" i="39" s="1"/>
  <c r="S8" i="39" s="1"/>
  <c r="T8" i="39"/>
  <c r="V8" i="39" s="1"/>
  <c r="W8" i="39" s="1"/>
  <c r="P32" i="39"/>
  <c r="Q32" i="39" s="1"/>
  <c r="R32" i="39" s="1"/>
  <c r="S32" i="39" s="1"/>
  <c r="T32" i="39"/>
  <c r="P13" i="37"/>
  <c r="Q13" i="37" s="1"/>
  <c r="R13" i="37" s="1"/>
  <c r="S13" i="37" s="1"/>
  <c r="P28" i="38"/>
  <c r="Q28" i="38" s="1"/>
  <c r="R28" i="38" s="1"/>
  <c r="S28" i="38" s="1"/>
  <c r="P14" i="38"/>
  <c r="Q14" i="38" s="1"/>
  <c r="R14" i="38" s="1"/>
  <c r="S14" i="38" s="1"/>
  <c r="P37" i="38"/>
  <c r="Q37" i="38" s="1"/>
  <c r="R37" i="38" s="1"/>
  <c r="S37" i="38" s="1"/>
  <c r="T37" i="38"/>
  <c r="P20" i="36"/>
  <c r="Q20" i="36" s="1"/>
  <c r="R20" i="36" s="1"/>
  <c r="S20" i="36" s="1"/>
  <c r="T20" i="36"/>
  <c r="P31" i="36"/>
  <c r="Q31" i="36" s="1"/>
  <c r="R31" i="36" s="1"/>
  <c r="S31" i="36" s="1"/>
  <c r="P23" i="40"/>
  <c r="Q23" i="40" s="1"/>
  <c r="R23" i="40" s="1"/>
  <c r="S23" i="40" s="1"/>
  <c r="P38" i="40"/>
  <c r="Q38" i="40" s="1"/>
  <c r="R38" i="40" s="1"/>
  <c r="S38" i="40" s="1"/>
  <c r="T38" i="40"/>
  <c r="P41" i="40"/>
  <c r="Q41" i="40" s="1"/>
  <c r="R41" i="40" s="1"/>
  <c r="S41" i="40" s="1"/>
  <c r="T41" i="40"/>
  <c r="P28" i="37"/>
  <c r="Q28" i="37" s="1"/>
  <c r="R28" i="37" s="1"/>
  <c r="S28" i="37" s="1"/>
  <c r="P10" i="37"/>
  <c r="Q10" i="37" s="1"/>
  <c r="R10" i="37" s="1"/>
  <c r="S10" i="37" s="1"/>
  <c r="P31" i="37"/>
  <c r="Q31" i="37" s="1"/>
  <c r="R31" i="37" s="1"/>
  <c r="S31" i="37" s="1"/>
  <c r="T16" i="36"/>
  <c r="V16" i="36" s="1"/>
  <c r="W16" i="36" s="1"/>
  <c r="P17" i="32"/>
  <c r="Q17" i="32" s="1"/>
  <c r="R17" i="32" s="1"/>
  <c r="S17" i="32" s="1"/>
  <c r="P31" i="34"/>
  <c r="Q31" i="34" s="1"/>
  <c r="R31" i="34" s="1"/>
  <c r="S31" i="34" s="1"/>
  <c r="P24" i="34"/>
  <c r="Q24" i="34" s="1"/>
  <c r="R24" i="34" s="1"/>
  <c r="S24" i="34" s="1"/>
  <c r="T24" i="34"/>
  <c r="P41" i="34"/>
  <c r="Q41" i="34" s="1"/>
  <c r="R41" i="34" s="1"/>
  <c r="S41" i="34" s="1"/>
  <c r="P9" i="35"/>
  <c r="Q9" i="35" s="1"/>
  <c r="R9" i="35" s="1"/>
  <c r="S9" i="35" s="1"/>
  <c r="P21" i="35"/>
  <c r="Q21" i="35" s="1"/>
  <c r="R21" i="35" s="1"/>
  <c r="S21" i="35" s="1"/>
  <c r="T21" i="35"/>
  <c r="P26" i="35"/>
  <c r="Q26" i="35" s="1"/>
  <c r="R26" i="35" s="1"/>
  <c r="S26" i="35" s="1"/>
  <c r="P29" i="35"/>
  <c r="Q29" i="35" s="1"/>
  <c r="R29" i="35" s="1"/>
  <c r="S29" i="35" s="1"/>
  <c r="P19" i="33"/>
  <c r="Q19" i="33" s="1"/>
  <c r="R19" i="33" s="1"/>
  <c r="S19" i="33" s="1"/>
  <c r="P39" i="33"/>
  <c r="Q39" i="33" s="1"/>
  <c r="R39" i="33" s="1"/>
  <c r="S39" i="33" s="1"/>
  <c r="P32" i="33"/>
  <c r="Q32" i="33" s="1"/>
  <c r="R32" i="33" s="1"/>
  <c r="S32" i="33" s="1"/>
  <c r="T32" i="33"/>
  <c r="P16" i="33"/>
  <c r="P14" i="32"/>
  <c r="Q14" i="32" s="1"/>
  <c r="R14" i="32" s="1"/>
  <c r="S14" i="32" s="1"/>
  <c r="P38" i="32"/>
  <c r="Q38" i="32" s="1"/>
  <c r="R38" i="32" s="1"/>
  <c r="S38" i="32" s="1"/>
  <c r="P31" i="32"/>
  <c r="Q31" i="32" s="1"/>
  <c r="R31" i="32" s="1"/>
  <c r="S31" i="32" s="1"/>
  <c r="T31" i="32"/>
  <c r="P19" i="31"/>
  <c r="Q19" i="31" s="1"/>
  <c r="R19" i="31" s="1"/>
  <c r="S19" i="31" s="1"/>
  <c r="P24" i="31"/>
  <c r="Q24" i="31" s="1"/>
  <c r="R24" i="31" s="1"/>
  <c r="S24" i="31" s="1"/>
  <c r="T24" i="31"/>
  <c r="P29" i="25"/>
  <c r="Q29" i="25" s="1"/>
  <c r="R29" i="25" s="1"/>
  <c r="S29" i="25" s="1"/>
  <c r="P21" i="25"/>
  <c r="Q21" i="25" s="1"/>
  <c r="R21" i="25" s="1"/>
  <c r="S21" i="25" s="1"/>
  <c r="P11" i="25"/>
  <c r="Q11" i="25" s="1"/>
  <c r="R11" i="25" s="1"/>
  <c r="S11" i="25" s="1"/>
  <c r="P17" i="24"/>
  <c r="Q17" i="24" s="1"/>
  <c r="R17" i="24" s="1"/>
  <c r="S17" i="24" s="1"/>
  <c r="P26" i="24"/>
  <c r="Q26" i="24" s="1"/>
  <c r="R26" i="24" s="1"/>
  <c r="S26" i="24" s="1"/>
  <c r="T26" i="24"/>
  <c r="P33" i="24"/>
  <c r="Q33" i="24" s="1"/>
  <c r="R33" i="24" s="1"/>
  <c r="S33" i="24" s="1"/>
  <c r="T33" i="24"/>
  <c r="P31" i="29"/>
  <c r="Q31" i="29" s="1"/>
  <c r="R31" i="29" s="1"/>
  <c r="S31" i="29" s="1"/>
  <c r="P24" i="29"/>
  <c r="Q24" i="29" s="1"/>
  <c r="R24" i="29" s="1"/>
  <c r="S24" i="29" s="1"/>
  <c r="T24" i="29"/>
  <c r="P41" i="29"/>
  <c r="Q41" i="29" s="1"/>
  <c r="R41" i="29" s="1"/>
  <c r="S41" i="29" s="1"/>
  <c r="P42" i="22"/>
  <c r="Q42" i="22" s="1"/>
  <c r="R42" i="22" s="1"/>
  <c r="S42" i="22" s="1"/>
  <c r="P15" i="22"/>
  <c r="Q15" i="22" s="1"/>
  <c r="R15" i="22" s="1"/>
  <c r="S15" i="22" s="1"/>
  <c r="P17" i="22"/>
  <c r="Q17" i="22" s="1"/>
  <c r="R17" i="22" s="1"/>
  <c r="S17" i="22" s="1"/>
  <c r="T17" i="22"/>
  <c r="P19" i="20"/>
  <c r="Q19" i="20" s="1"/>
  <c r="R19" i="20" s="1"/>
  <c r="S19" i="20" s="1"/>
  <c r="T19" i="20"/>
  <c r="P38" i="20"/>
  <c r="Q38" i="20" s="1"/>
  <c r="R38" i="20" s="1"/>
  <c r="S38" i="20" s="1"/>
  <c r="P27" i="20"/>
  <c r="Q27" i="20" s="1"/>
  <c r="R27" i="20" s="1"/>
  <c r="S27" i="20" s="1"/>
  <c r="P34" i="20"/>
  <c r="Q34" i="20" s="1"/>
  <c r="R34" i="20" s="1"/>
  <c r="S34" i="20" s="1"/>
  <c r="P37" i="21"/>
  <c r="Q37" i="21" s="1"/>
  <c r="R37" i="21" s="1"/>
  <c r="S37" i="21" s="1"/>
  <c r="P26" i="21"/>
  <c r="Q26" i="21" s="1"/>
  <c r="R26" i="21" s="1"/>
  <c r="S26" i="21" s="1"/>
  <c r="T26" i="21"/>
  <c r="O34" i="16"/>
  <c r="P10" i="39"/>
  <c r="Q10" i="39" s="1"/>
  <c r="R10" i="39" s="1"/>
  <c r="S10" i="39" s="1"/>
  <c r="T10" i="39"/>
  <c r="V10" i="39" s="1"/>
  <c r="W10" i="39" s="1"/>
  <c r="P28" i="39"/>
  <c r="Q28" i="39" s="1"/>
  <c r="R28" i="39" s="1"/>
  <c r="S28" i="39" s="1"/>
  <c r="T28" i="39"/>
  <c r="P20" i="39"/>
  <c r="Q20" i="39" s="1"/>
  <c r="R20" i="39" s="1"/>
  <c r="S20" i="39" s="1"/>
  <c r="T20" i="39"/>
  <c r="P18" i="37"/>
  <c r="Q18" i="37" s="1"/>
  <c r="R18" i="37" s="1"/>
  <c r="S18" i="37" s="1"/>
  <c r="P30" i="38"/>
  <c r="Q30" i="38" s="1"/>
  <c r="R30" i="38" s="1"/>
  <c r="S30" i="38" s="1"/>
  <c r="T30" i="38"/>
  <c r="P19" i="38"/>
  <c r="Q19" i="38" s="1"/>
  <c r="R19" i="38" s="1"/>
  <c r="S19" i="38" s="1"/>
  <c r="P39" i="38"/>
  <c r="Q39" i="38" s="1"/>
  <c r="R39" i="38" s="1"/>
  <c r="S39" i="38" s="1"/>
  <c r="P27" i="36"/>
  <c r="Q27" i="36" s="1"/>
  <c r="R27" i="36" s="1"/>
  <c r="S27" i="36" s="1"/>
  <c r="T27" i="36"/>
  <c r="P37" i="40"/>
  <c r="Q37" i="40" s="1"/>
  <c r="R37" i="40" s="1"/>
  <c r="S37" i="40" s="1"/>
  <c r="T37" i="40" s="1"/>
  <c r="P39" i="40"/>
  <c r="Q39" i="40" s="1"/>
  <c r="R39" i="40" s="1"/>
  <c r="S39" i="40" s="1"/>
  <c r="P40" i="40"/>
  <c r="Q40" i="40" s="1"/>
  <c r="R40" i="40" s="1"/>
  <c r="S40" i="40" s="1"/>
  <c r="P8" i="40"/>
  <c r="Q8" i="40" s="1"/>
  <c r="R8" i="40" s="1"/>
  <c r="S8" i="40" s="1"/>
  <c r="P30" i="37"/>
  <c r="Q30" i="37" s="1"/>
  <c r="R30" i="37" s="1"/>
  <c r="S30" i="37" s="1"/>
  <c r="P12" i="37"/>
  <c r="Q12" i="37" s="1"/>
  <c r="R12" i="37" s="1"/>
  <c r="S12" i="37" s="1"/>
  <c r="T12" i="37"/>
  <c r="V12" i="37" s="1"/>
  <c r="W12" i="37" s="1"/>
  <c r="P33" i="37"/>
  <c r="Q33" i="37" s="1"/>
  <c r="R33" i="37" s="1"/>
  <c r="S33" i="37" s="1"/>
  <c r="P33" i="34"/>
  <c r="Q33" i="34" s="1"/>
  <c r="R33" i="34" s="1"/>
  <c r="S33" i="34" s="1"/>
  <c r="P26" i="34"/>
  <c r="Q26" i="34" s="1"/>
  <c r="R26" i="34" s="1"/>
  <c r="S26" i="34" s="1"/>
  <c r="P12" i="35"/>
  <c r="Q12" i="35" s="1"/>
  <c r="R12" i="35" s="1"/>
  <c r="S12" i="35" s="1"/>
  <c r="P32" i="35"/>
  <c r="Q32" i="35" s="1"/>
  <c r="R32" i="35" s="1"/>
  <c r="S32" i="35" s="1"/>
  <c r="P35" i="35"/>
  <c r="Q35" i="35" s="1"/>
  <c r="R35" i="35" s="1"/>
  <c r="S35" i="35" s="1"/>
  <c r="T35" i="35"/>
  <c r="P40" i="35"/>
  <c r="Q40" i="35" s="1"/>
  <c r="R40" i="35" s="1"/>
  <c r="S40" i="35" s="1"/>
  <c r="P21" i="33"/>
  <c r="Q21" i="33" s="1"/>
  <c r="R21" i="33" s="1"/>
  <c r="S21" i="33" s="1"/>
  <c r="T21" i="33"/>
  <c r="P41" i="33"/>
  <c r="Q41" i="33" s="1"/>
  <c r="R41" i="33" s="1"/>
  <c r="S41" i="33" s="1"/>
  <c r="P34" i="33"/>
  <c r="Q34" i="33" s="1"/>
  <c r="R34" i="33" s="1"/>
  <c r="S34" i="33" s="1"/>
  <c r="P40" i="31"/>
  <c r="Q40" i="31" s="1"/>
  <c r="R40" i="31" s="1"/>
  <c r="S40" i="31" s="1"/>
  <c r="P20" i="32"/>
  <c r="Q20" i="32" s="1"/>
  <c r="R20" i="32" s="1"/>
  <c r="S20" i="32" s="1"/>
  <c r="T20" i="32"/>
  <c r="P40" i="32"/>
  <c r="Q40" i="32" s="1"/>
  <c r="R40" i="32" s="1"/>
  <c r="S40" i="32" s="1"/>
  <c r="P33" i="32"/>
  <c r="Q33" i="32" s="1"/>
  <c r="R33" i="32" s="1"/>
  <c r="S33" i="32" s="1"/>
  <c r="P27" i="31"/>
  <c r="Q27" i="31" s="1"/>
  <c r="R27" i="31" s="1"/>
  <c r="S27" i="31" s="1"/>
  <c r="P12" i="31"/>
  <c r="Q12" i="31" s="1"/>
  <c r="R12" i="31" s="1"/>
  <c r="S12" i="31" s="1"/>
  <c r="T12" i="31"/>
  <c r="V12" i="31" s="1"/>
  <c r="W12" i="31" s="1"/>
  <c r="P30" i="25"/>
  <c r="Q30" i="25" s="1"/>
  <c r="R30" i="25" s="1"/>
  <c r="S30" i="25" s="1"/>
  <c r="P12" i="25"/>
  <c r="Q12" i="25" s="1"/>
  <c r="R12" i="25" s="1"/>
  <c r="S12" i="25" s="1"/>
  <c r="P13" i="25"/>
  <c r="Q13" i="25" s="1"/>
  <c r="R13" i="25" s="1"/>
  <c r="S13" i="25" s="1"/>
  <c r="P19" i="24"/>
  <c r="Q19" i="24" s="1"/>
  <c r="R19" i="24" s="1"/>
  <c r="S19" i="24" s="1"/>
  <c r="T19" i="24"/>
  <c r="P32" i="24"/>
  <c r="Q32" i="24" s="1"/>
  <c r="R32" i="24" s="1"/>
  <c r="S32" i="24" s="1"/>
  <c r="P11" i="24"/>
  <c r="Q11" i="24" s="1"/>
  <c r="R11" i="24" s="1"/>
  <c r="S11" i="24" s="1"/>
  <c r="P37" i="29"/>
  <c r="Q37" i="29" s="1"/>
  <c r="R37" i="29" s="1"/>
  <c r="S37" i="29" s="1"/>
  <c r="P35" i="29"/>
  <c r="Q35" i="29" s="1"/>
  <c r="R35" i="29" s="1"/>
  <c r="S35" i="29" s="1"/>
  <c r="P21" i="29"/>
  <c r="Q21" i="29" s="1"/>
  <c r="R21" i="29" s="1"/>
  <c r="S21" i="29" s="1"/>
  <c r="P9" i="22"/>
  <c r="Q9" i="22" s="1"/>
  <c r="R9" i="22" s="1"/>
  <c r="S9" i="22" s="1"/>
  <c r="P13" i="22"/>
  <c r="Q13" i="22" s="1"/>
  <c r="R13" i="22" s="1"/>
  <c r="S13" i="22" s="1"/>
  <c r="P18" i="22"/>
  <c r="Q18" i="22" s="1"/>
  <c r="R18" i="22" s="1"/>
  <c r="S18" i="22" s="1"/>
  <c r="T18" i="22"/>
  <c r="P34" i="22"/>
  <c r="Q34" i="22" s="1"/>
  <c r="R34" i="22" s="1"/>
  <c r="S34" i="22" s="1"/>
  <c r="P21" i="20"/>
  <c r="Q21" i="20" s="1"/>
  <c r="R21" i="20" s="1"/>
  <c r="S21" i="20" s="1"/>
  <c r="P16" i="20"/>
  <c r="Q16" i="20" s="1"/>
  <c r="R16" i="20" s="1"/>
  <c r="S16" i="20" s="1"/>
  <c r="T16" i="20"/>
  <c r="P41" i="20"/>
  <c r="Q41" i="20" s="1"/>
  <c r="R41" i="20" s="1"/>
  <c r="S41" i="20" s="1"/>
  <c r="P39" i="20"/>
  <c r="Q39" i="20" s="1"/>
  <c r="R39" i="20" s="1"/>
  <c r="S39" i="20" s="1"/>
  <c r="P45" i="21"/>
  <c r="Q45" i="21" s="1"/>
  <c r="R45" i="21" s="1"/>
  <c r="S45" i="21" s="1"/>
  <c r="P34" i="21"/>
  <c r="Q34" i="21" s="1"/>
  <c r="R34" i="21" s="1"/>
  <c r="S34" i="21" s="1"/>
  <c r="P42" i="21"/>
  <c r="Q42" i="21" s="1"/>
  <c r="R42" i="21" s="1"/>
  <c r="S42" i="21" s="1"/>
  <c r="T42" i="21"/>
  <c r="P19" i="39"/>
  <c r="Q19" i="39" s="1"/>
  <c r="R19" i="39" s="1"/>
  <c r="S19" i="39" s="1"/>
  <c r="T19" i="39"/>
  <c r="P25" i="39"/>
  <c r="Q25" i="39" s="1"/>
  <c r="R25" i="39" s="1"/>
  <c r="S25" i="39" s="1"/>
  <c r="T25" i="39"/>
  <c r="P40" i="36"/>
  <c r="Q40" i="36" s="1"/>
  <c r="R40" i="36" s="1"/>
  <c r="S40" i="36" s="1"/>
  <c r="T40" i="36"/>
  <c r="P32" i="38"/>
  <c r="Q32" i="38" s="1"/>
  <c r="R32" i="38" s="1"/>
  <c r="S32" i="38" s="1"/>
  <c r="P21" i="38"/>
  <c r="Q21" i="38" s="1"/>
  <c r="R21" i="38" s="1"/>
  <c r="S21" i="38" s="1"/>
  <c r="T21" i="38"/>
  <c r="P41" i="38"/>
  <c r="Q41" i="38" s="1"/>
  <c r="R41" i="38" s="1"/>
  <c r="S41" i="38" s="1"/>
  <c r="P10" i="36"/>
  <c r="Q10" i="36" s="1"/>
  <c r="R10" i="36" s="1"/>
  <c r="S10" i="36" s="1"/>
  <c r="T10" i="36"/>
  <c r="V10" i="36" s="1"/>
  <c r="W10" i="36" s="1"/>
  <c r="P14" i="40"/>
  <c r="Q14" i="40" s="1"/>
  <c r="R14" i="40" s="1"/>
  <c r="S14" i="40" s="1"/>
  <c r="P28" i="40"/>
  <c r="Q28" i="40" s="1"/>
  <c r="R28" i="40" s="1"/>
  <c r="S28" i="40" s="1"/>
  <c r="P42" i="40"/>
  <c r="Q42" i="40" s="1"/>
  <c r="R42" i="40" s="1"/>
  <c r="S42" i="40" s="1"/>
  <c r="P22" i="40"/>
  <c r="Q22" i="40" s="1"/>
  <c r="R22" i="40" s="1"/>
  <c r="S22" i="40" s="1"/>
  <c r="T22" i="40"/>
  <c r="P32" i="37"/>
  <c r="Q32" i="37" s="1"/>
  <c r="R32" i="37" s="1"/>
  <c r="S32" i="37" s="1"/>
  <c r="P14" i="37"/>
  <c r="Q14" i="37" s="1"/>
  <c r="R14" i="37" s="1"/>
  <c r="S14" i="37" s="1"/>
  <c r="T14" i="37"/>
  <c r="V14" i="37" s="1"/>
  <c r="W14" i="37" s="1"/>
  <c r="P35" i="37"/>
  <c r="Q35" i="37" s="1"/>
  <c r="R35" i="37" s="1"/>
  <c r="S35" i="37" s="1"/>
  <c r="T12" i="36"/>
  <c r="V12" i="36" s="1"/>
  <c r="W12" i="36" s="1"/>
  <c r="P42" i="34"/>
  <c r="Q42" i="34" s="1"/>
  <c r="R42" i="34" s="1"/>
  <c r="S42" i="34" s="1"/>
  <c r="T42" i="34"/>
  <c r="P28" i="34"/>
  <c r="Q28" i="34" s="1"/>
  <c r="R28" i="34" s="1"/>
  <c r="S28" i="34" s="1"/>
  <c r="P27" i="35"/>
  <c r="Q27" i="35" s="1"/>
  <c r="R27" i="35" s="1"/>
  <c r="S27" i="35" s="1"/>
  <c r="T27" i="35"/>
  <c r="P41" i="35"/>
  <c r="Q41" i="35" s="1"/>
  <c r="R41" i="35" s="1"/>
  <c r="S41" i="35" s="1"/>
  <c r="T41" i="35"/>
  <c r="P24" i="35"/>
  <c r="Q24" i="35" s="1"/>
  <c r="R24" i="35" s="1"/>
  <c r="S24" i="35" s="1"/>
  <c r="P10" i="35"/>
  <c r="Q10" i="35" s="1"/>
  <c r="R10" i="35" s="1"/>
  <c r="S10" i="35" s="1"/>
  <c r="P23" i="33"/>
  <c r="Q23" i="33" s="1"/>
  <c r="R23" i="33" s="1"/>
  <c r="S23" i="33" s="1"/>
  <c r="P15" i="33"/>
  <c r="Q15" i="33" s="1"/>
  <c r="R15" i="33" s="1"/>
  <c r="S15" i="33" s="1"/>
  <c r="T15" i="33"/>
  <c r="V15" i="33" s="1"/>
  <c r="W15" i="33" s="1"/>
  <c r="P36" i="33"/>
  <c r="Q36" i="33" s="1"/>
  <c r="R36" i="33" s="1"/>
  <c r="S36" i="33" s="1"/>
  <c r="T36" i="33"/>
  <c r="P35" i="31"/>
  <c r="Q35" i="31" s="1"/>
  <c r="R35" i="31" s="1"/>
  <c r="S35" i="31" s="1"/>
  <c r="T35" i="31"/>
  <c r="P25" i="31"/>
  <c r="Q25" i="31" s="1"/>
  <c r="R25" i="31" s="1"/>
  <c r="S25" i="31" s="1"/>
  <c r="P22" i="32"/>
  <c r="Q22" i="32" s="1"/>
  <c r="R22" i="32" s="1"/>
  <c r="S22" i="32" s="1"/>
  <c r="P42" i="32"/>
  <c r="Q42" i="32" s="1"/>
  <c r="R42" i="32" s="1"/>
  <c r="S42" i="32" s="1"/>
  <c r="T42" i="32"/>
  <c r="P35" i="32"/>
  <c r="Q35" i="32" s="1"/>
  <c r="R35" i="32" s="1"/>
  <c r="S35" i="32" s="1"/>
  <c r="T35" i="32"/>
  <c r="P34" i="31"/>
  <c r="Q34" i="31" s="1"/>
  <c r="R34" i="31" s="1"/>
  <c r="S34" i="31" s="1"/>
  <c r="P38" i="31"/>
  <c r="Q38" i="31" s="1"/>
  <c r="R38" i="31" s="1"/>
  <c r="S38" i="31" s="1"/>
  <c r="P15" i="31"/>
  <c r="Q15" i="31" s="1"/>
  <c r="R15" i="31" s="1"/>
  <c r="S15" i="31" s="1"/>
  <c r="P11" i="23"/>
  <c r="Q11" i="23" s="1"/>
  <c r="R11" i="23" s="1"/>
  <c r="S11" i="23" s="1"/>
  <c r="T11" i="23"/>
  <c r="P39" i="25"/>
  <c r="Q39" i="25" s="1"/>
  <c r="R39" i="25" s="1"/>
  <c r="S39" i="25" s="1"/>
  <c r="T39" i="25"/>
  <c r="P25" i="25"/>
  <c r="Q25" i="25" s="1"/>
  <c r="R25" i="25" s="1"/>
  <c r="S25" i="25" s="1"/>
  <c r="P17" i="25"/>
  <c r="Q17" i="25" s="1"/>
  <c r="R17" i="25" s="1"/>
  <c r="S17" i="25" s="1"/>
  <c r="P31" i="24"/>
  <c r="Q31" i="24" s="1"/>
  <c r="R31" i="24" s="1"/>
  <c r="S31" i="24" s="1"/>
  <c r="P12" i="24"/>
  <c r="Q12" i="24" s="1"/>
  <c r="R12" i="24" s="1"/>
  <c r="S12" i="24" s="1"/>
  <c r="T12" i="24"/>
  <c r="V12" i="24" s="1"/>
  <c r="W12" i="24" s="1"/>
  <c r="P40" i="24"/>
  <c r="Q40" i="24" s="1"/>
  <c r="R40" i="24" s="1"/>
  <c r="S40" i="24" s="1"/>
  <c r="P40" i="29"/>
  <c r="Q40" i="29" s="1"/>
  <c r="R40" i="29" s="1"/>
  <c r="S40" i="29" s="1"/>
  <c r="T40" i="29"/>
  <c r="P10" i="29"/>
  <c r="Q10" i="29" s="1"/>
  <c r="R10" i="29" s="1"/>
  <c r="S10" i="29" s="1"/>
  <c r="T10" i="29"/>
  <c r="V10" i="29" s="1"/>
  <c r="W10" i="29" s="1"/>
  <c r="P23" i="29"/>
  <c r="Q23" i="29" s="1"/>
  <c r="R23" i="29" s="1"/>
  <c r="S23" i="29" s="1"/>
  <c r="P32" i="22"/>
  <c r="Q32" i="22" s="1"/>
  <c r="R32" i="22" s="1"/>
  <c r="S32" i="22" s="1"/>
  <c r="P23" i="22"/>
  <c r="Q23" i="22" s="1"/>
  <c r="R23" i="22" s="1"/>
  <c r="S23" i="22" s="1"/>
  <c r="P21" i="22"/>
  <c r="Q21" i="22" s="1"/>
  <c r="R21" i="22" s="1"/>
  <c r="S21" i="22" s="1"/>
  <c r="T21" i="22"/>
  <c r="P39" i="22"/>
  <c r="Q39" i="22" s="1"/>
  <c r="R39" i="22" s="1"/>
  <c r="S39" i="22" s="1"/>
  <c r="T39" i="22"/>
  <c r="P30" i="20"/>
  <c r="Q30" i="20" s="1"/>
  <c r="R30" i="20" s="1"/>
  <c r="S30" i="20" s="1"/>
  <c r="P26" i="20"/>
  <c r="Q26" i="20" s="1"/>
  <c r="R26" i="20" s="1"/>
  <c r="S26" i="20" s="1"/>
  <c r="P14" i="20"/>
  <c r="Q14" i="20" s="1"/>
  <c r="R14" i="20" s="1"/>
  <c r="S14" i="20" s="1"/>
  <c r="P15" i="21"/>
  <c r="Q15" i="21" s="1"/>
  <c r="R15" i="21" s="1"/>
  <c r="S15" i="21" s="1"/>
  <c r="P19" i="21"/>
  <c r="Q19" i="21" s="1"/>
  <c r="R19" i="21" s="1"/>
  <c r="S19" i="21" s="1"/>
  <c r="T19" i="21"/>
  <c r="P41" i="21"/>
  <c r="Q41" i="21" s="1"/>
  <c r="R41" i="21" s="1"/>
  <c r="S41" i="21" s="1"/>
  <c r="P36" i="21"/>
  <c r="Q36" i="21" s="1"/>
  <c r="R36" i="21" s="1"/>
  <c r="S36" i="21" s="1"/>
  <c r="T10" i="23"/>
  <c r="P13" i="39"/>
  <c r="Q13" i="39" s="1"/>
  <c r="R13" i="39" s="1"/>
  <c r="S13" i="39" s="1"/>
  <c r="T13" i="39"/>
  <c r="V13" i="39" s="1"/>
  <c r="W13" i="39" s="1"/>
  <c r="P22" i="39"/>
  <c r="Q22" i="39" s="1"/>
  <c r="R22" i="39" s="1"/>
  <c r="S22" i="39" s="1"/>
  <c r="T22" i="39"/>
  <c r="P40" i="39"/>
  <c r="Q40" i="39" s="1"/>
  <c r="R40" i="39" s="1"/>
  <c r="S40" i="39" s="1"/>
  <c r="T40" i="39"/>
  <c r="P35" i="36"/>
  <c r="Q35" i="36" s="1"/>
  <c r="R35" i="36" s="1"/>
  <c r="S35" i="36" s="1"/>
  <c r="P34" i="38"/>
  <c r="Q34" i="38" s="1"/>
  <c r="R34" i="38" s="1"/>
  <c r="S34" i="38" s="1"/>
  <c r="P23" i="38"/>
  <c r="Q23" i="38" s="1"/>
  <c r="R23" i="38" s="1"/>
  <c r="S23" i="38" s="1"/>
  <c r="P8" i="38"/>
  <c r="Q8" i="38" s="1"/>
  <c r="R8" i="38" s="1"/>
  <c r="S8" i="38" s="1"/>
  <c r="T8" i="38"/>
  <c r="V8" i="38" s="1"/>
  <c r="W8" i="38" s="1"/>
  <c r="P14" i="36"/>
  <c r="Q14" i="36" s="1"/>
  <c r="R14" i="36" s="1"/>
  <c r="S14" i="36" s="1"/>
  <c r="T14" i="36"/>
  <c r="V14" i="36" s="1"/>
  <c r="W14" i="36" s="1"/>
  <c r="P17" i="36"/>
  <c r="Q17" i="36" s="1"/>
  <c r="R17" i="36" s="1"/>
  <c r="S17" i="36" s="1"/>
  <c r="P27" i="40"/>
  <c r="Q27" i="40" s="1"/>
  <c r="R27" i="40" s="1"/>
  <c r="S27" i="40" s="1"/>
  <c r="P33" i="40"/>
  <c r="Q33" i="40" s="1"/>
  <c r="R33" i="40" s="1"/>
  <c r="S33" i="40" s="1"/>
  <c r="P24" i="40"/>
  <c r="Q24" i="40" s="1"/>
  <c r="R24" i="40" s="1"/>
  <c r="S24" i="40" s="1"/>
  <c r="P34" i="37"/>
  <c r="Q34" i="37" s="1"/>
  <c r="R34" i="37" s="1"/>
  <c r="S34" i="37" s="1"/>
  <c r="P16" i="37"/>
  <c r="Q16" i="37" s="1"/>
  <c r="R16" i="37" s="1"/>
  <c r="S16" i="37" s="1"/>
  <c r="T16" i="37"/>
  <c r="V16" i="37" s="1"/>
  <c r="W16" i="37" s="1"/>
  <c r="P37" i="37"/>
  <c r="Q37" i="37" s="1"/>
  <c r="R37" i="37" s="1"/>
  <c r="S37" i="37" s="1"/>
  <c r="P16" i="34"/>
  <c r="Q16" i="34" s="1"/>
  <c r="R16" i="34" s="1"/>
  <c r="S16" i="34" s="1"/>
  <c r="T16" i="34"/>
  <c r="V16" i="34" s="1"/>
  <c r="W16" i="34" s="1"/>
  <c r="P15" i="34"/>
  <c r="Q15" i="34" s="1"/>
  <c r="R15" i="34" s="1"/>
  <c r="S15" i="34" s="1"/>
  <c r="P30" i="34"/>
  <c r="Q30" i="34" s="1"/>
  <c r="R30" i="34" s="1"/>
  <c r="S30" i="34" s="1"/>
  <c r="P38" i="35"/>
  <c r="Q38" i="35" s="1"/>
  <c r="R38" i="35" s="1"/>
  <c r="S38" i="35" s="1"/>
  <c r="P19" i="35"/>
  <c r="Q19" i="35" s="1"/>
  <c r="R19" i="35" s="1"/>
  <c r="S19" i="35" s="1"/>
  <c r="T19" i="35"/>
  <c r="P33" i="35"/>
  <c r="Q33" i="35" s="1"/>
  <c r="R33" i="35" s="1"/>
  <c r="S33" i="35" s="1"/>
  <c r="P25" i="33"/>
  <c r="Q25" i="33" s="1"/>
  <c r="R25" i="33" s="1"/>
  <c r="S25" i="33" s="1"/>
  <c r="T25" i="33"/>
  <c r="P18" i="33"/>
  <c r="Q18" i="33" s="1"/>
  <c r="R18" i="33" s="1"/>
  <c r="S18" i="33" s="1"/>
  <c r="P38" i="33"/>
  <c r="Q38" i="33" s="1"/>
  <c r="R38" i="33" s="1"/>
  <c r="S38" i="33" s="1"/>
  <c r="T38" i="33"/>
  <c r="P28" i="31"/>
  <c r="Q28" i="31" s="1"/>
  <c r="R28" i="31" s="1"/>
  <c r="S28" i="31" s="1"/>
  <c r="P24" i="32"/>
  <c r="Q24" i="32" s="1"/>
  <c r="R24" i="32" s="1"/>
  <c r="S24" i="32" s="1"/>
  <c r="P16" i="32"/>
  <c r="Q16" i="32" s="1"/>
  <c r="R16" i="32" s="1"/>
  <c r="S16" i="32" s="1"/>
  <c r="T16" i="32"/>
  <c r="V16" i="32" s="1"/>
  <c r="W16" i="32" s="1"/>
  <c r="P37" i="32"/>
  <c r="Q37" i="32" s="1"/>
  <c r="R37" i="32" s="1"/>
  <c r="S37" i="32" s="1"/>
  <c r="P32" i="31"/>
  <c r="Q32" i="31" s="1"/>
  <c r="R32" i="31" s="1"/>
  <c r="S32" i="31" s="1"/>
  <c r="T32" i="31"/>
  <c r="P16" i="31"/>
  <c r="Q16" i="31" s="1"/>
  <c r="R16" i="31" s="1"/>
  <c r="S16" i="31" s="1"/>
  <c r="P13" i="31"/>
  <c r="Q13" i="31" s="1"/>
  <c r="R13" i="31" s="1"/>
  <c r="S13" i="31" s="1"/>
  <c r="P18" i="31"/>
  <c r="Q18" i="31" s="1"/>
  <c r="R18" i="31" s="1"/>
  <c r="S18" i="31" s="1"/>
  <c r="T18" i="31"/>
  <c r="V18" i="31" s="1"/>
  <c r="W18" i="31" s="1"/>
  <c r="P14" i="23"/>
  <c r="Q14" i="23" s="1"/>
  <c r="R14" i="23" s="1"/>
  <c r="S14" i="23" s="1"/>
  <c r="P20" i="25"/>
  <c r="Q20" i="25" s="1"/>
  <c r="R20" i="25" s="1"/>
  <c r="S20" i="25" s="1"/>
  <c r="T20" i="25"/>
  <c r="P31" i="25"/>
  <c r="Q31" i="25" s="1"/>
  <c r="R31" i="25" s="1"/>
  <c r="S31" i="25" s="1"/>
  <c r="P19" i="25"/>
  <c r="Q19" i="25" s="1"/>
  <c r="R19" i="25" s="1"/>
  <c r="S19" i="25" s="1"/>
  <c r="P41" i="24"/>
  <c r="Q41" i="24" s="1"/>
  <c r="R41" i="24" s="1"/>
  <c r="S41" i="24" s="1"/>
  <c r="P20" i="24"/>
  <c r="Q20" i="24" s="1"/>
  <c r="R20" i="24" s="1"/>
  <c r="S20" i="24" s="1"/>
  <c r="T20" i="24"/>
  <c r="P22" i="24"/>
  <c r="Q22" i="24" s="1"/>
  <c r="R22" i="24" s="1"/>
  <c r="S22" i="24" s="1"/>
  <c r="P9" i="29"/>
  <c r="Q9" i="29" s="1"/>
  <c r="R9" i="29" s="1"/>
  <c r="S9" i="29" s="1"/>
  <c r="T9" i="29"/>
  <c r="V9" i="29" s="1"/>
  <c r="W9" i="29" s="1"/>
  <c r="P19" i="29"/>
  <c r="Q19" i="29" s="1"/>
  <c r="R19" i="29" s="1"/>
  <c r="S19" i="29" s="1"/>
  <c r="P25" i="29"/>
  <c r="Q25" i="29" s="1"/>
  <c r="R25" i="29" s="1"/>
  <c r="S25" i="29" s="1"/>
  <c r="P41" i="22"/>
  <c r="Q41" i="22" s="1"/>
  <c r="R41" i="22" s="1"/>
  <c r="S41" i="22" s="1"/>
  <c r="P10" i="22"/>
  <c r="Q10" i="22" s="1"/>
  <c r="R10" i="22" s="1"/>
  <c r="S10" i="22" s="1"/>
  <c r="P31" i="22"/>
  <c r="Q31" i="22" s="1"/>
  <c r="R31" i="22" s="1"/>
  <c r="S31" i="22" s="1"/>
  <c r="P22" i="22"/>
  <c r="Q22" i="22" s="1"/>
  <c r="R22" i="22" s="1"/>
  <c r="S22" i="22" s="1"/>
  <c r="P9" i="20"/>
  <c r="Q9" i="20" s="1"/>
  <c r="R9" i="20" s="1"/>
  <c r="S9" i="20" s="1"/>
  <c r="P29" i="20"/>
  <c r="Q29" i="20" s="1"/>
  <c r="R29" i="20" s="1"/>
  <c r="S29" i="20" s="1"/>
  <c r="P17" i="20"/>
  <c r="Q17" i="20" s="1"/>
  <c r="R17" i="20" s="1"/>
  <c r="S17" i="20" s="1"/>
  <c r="T17" i="20"/>
  <c r="P24" i="21"/>
  <c r="Q24" i="21" s="1"/>
  <c r="R24" i="21" s="1"/>
  <c r="S24" i="21" s="1"/>
  <c r="P16" i="21"/>
  <c r="Q16" i="21" s="1"/>
  <c r="R16" i="21" s="1"/>
  <c r="S16" i="21" s="1"/>
  <c r="P8" i="21"/>
  <c r="Q8" i="21" s="1"/>
  <c r="R8" i="21" s="1"/>
  <c r="S8" i="21" s="1"/>
  <c r="P39" i="21"/>
  <c r="Q39" i="21" s="1"/>
  <c r="R39" i="21" s="1"/>
  <c r="S39" i="21" s="1"/>
  <c r="T6" i="40"/>
  <c r="V6" i="40" s="1"/>
  <c r="W6" i="40" s="1"/>
  <c r="T3" i="40"/>
  <c r="V3" i="40" s="1"/>
  <c r="W3" i="40" s="1"/>
  <c r="P4" i="40"/>
  <c r="Q4" i="40" s="1"/>
  <c r="R4" i="40" s="1"/>
  <c r="S4" i="40" s="1"/>
  <c r="P7" i="40"/>
  <c r="Q7" i="40" s="1"/>
  <c r="R7" i="40" s="1"/>
  <c r="S7" i="40" s="1"/>
  <c r="P5" i="40"/>
  <c r="Q5" i="40" s="1"/>
  <c r="R5" i="40" s="1"/>
  <c r="S5" i="40" s="1"/>
  <c r="T2" i="40"/>
  <c r="V2" i="40" s="1"/>
  <c r="W2" i="40" s="1"/>
  <c r="J48" i="37"/>
  <c r="P6" i="39"/>
  <c r="Q6" i="39" s="1"/>
  <c r="R6" i="39" s="1"/>
  <c r="S6" i="39" s="1"/>
  <c r="T7" i="39"/>
  <c r="V7" i="39" s="1"/>
  <c r="W7" i="39" s="1"/>
  <c r="T4" i="39"/>
  <c r="V4" i="39" s="1"/>
  <c r="W4" i="39" s="1"/>
  <c r="T5" i="39"/>
  <c r="V5" i="39" s="1"/>
  <c r="W5" i="39" s="1"/>
  <c r="O2" i="39"/>
  <c r="P2" i="39" s="1"/>
  <c r="Q2" i="39" s="1"/>
  <c r="R2" i="39" s="1"/>
  <c r="S2" i="39" s="1"/>
  <c r="K48" i="39"/>
  <c r="L2" i="39"/>
  <c r="L48" i="39" s="1"/>
  <c r="I48" i="37"/>
  <c r="S4" i="37"/>
  <c r="T4" i="37" s="1"/>
  <c r="V4" i="37" s="1"/>
  <c r="W4" i="37" s="1"/>
  <c r="P7" i="37"/>
  <c r="Q7" i="37" s="1"/>
  <c r="R7" i="37" s="1"/>
  <c r="S7" i="37" s="1"/>
  <c r="S3" i="37"/>
  <c r="T3" i="37" s="1"/>
  <c r="V3" i="37" s="1"/>
  <c r="W3" i="37" s="1"/>
  <c r="O2" i="37"/>
  <c r="P2" i="37" s="1"/>
  <c r="Q2" i="37" s="1"/>
  <c r="R2" i="37" s="1"/>
  <c r="S2" i="37" s="1"/>
  <c r="O4" i="36"/>
  <c r="P4" i="36" s="1"/>
  <c r="Q4" i="36" s="1"/>
  <c r="R4" i="36" s="1"/>
  <c r="S4" i="36" s="1"/>
  <c r="O7" i="36"/>
  <c r="T7" i="36" s="1"/>
  <c r="V7" i="36" s="1"/>
  <c r="W7" i="36" s="1"/>
  <c r="O2" i="36"/>
  <c r="P2" i="36" s="1"/>
  <c r="Q2" i="36" s="1"/>
  <c r="R2" i="36" s="1"/>
  <c r="S2" i="36" s="1"/>
  <c r="J48" i="36"/>
  <c r="I48" i="36"/>
  <c r="J48" i="35"/>
  <c r="O3" i="35"/>
  <c r="P3" i="35" s="1"/>
  <c r="Q3" i="35" s="1"/>
  <c r="R3" i="35" s="1"/>
  <c r="S3" i="35" s="1"/>
  <c r="O2" i="35"/>
  <c r="P2" i="35" s="1"/>
  <c r="Q2" i="35" s="1"/>
  <c r="R2" i="35" s="1"/>
  <c r="S2" i="35" s="1"/>
  <c r="O7" i="35"/>
  <c r="P7" i="35" s="1"/>
  <c r="Q7" i="35" s="1"/>
  <c r="R7" i="35" s="1"/>
  <c r="S7" i="35" s="1"/>
  <c r="A11" i="26"/>
  <c r="D10" i="26"/>
  <c r="A29" i="26"/>
  <c r="A30" i="26" s="1"/>
  <c r="D28" i="26"/>
  <c r="O6" i="24"/>
  <c r="P6" i="24" s="1"/>
  <c r="Q6" i="24" s="1"/>
  <c r="R6" i="24" s="1"/>
  <c r="S6" i="24" s="1"/>
  <c r="O4" i="24"/>
  <c r="P4" i="24" s="1"/>
  <c r="Q4" i="24" s="1"/>
  <c r="R4" i="24" s="1"/>
  <c r="S4" i="24" s="1"/>
  <c r="O5" i="24"/>
  <c r="P5" i="24" s="1"/>
  <c r="Q5" i="24" s="1"/>
  <c r="R5" i="24" s="1"/>
  <c r="S5" i="24" s="1"/>
  <c r="T5" i="24" s="1"/>
  <c r="V5" i="24" s="1"/>
  <c r="W5" i="24" s="1"/>
  <c r="O3" i="24"/>
  <c r="P3" i="24" s="1"/>
  <c r="Q3" i="24" s="1"/>
  <c r="R3" i="24" s="1"/>
  <c r="S3" i="24" s="1"/>
  <c r="O2" i="24"/>
  <c r="P2" i="24" s="1"/>
  <c r="Q2" i="24" s="1"/>
  <c r="R2" i="24" s="1"/>
  <c r="S2" i="24" s="1"/>
  <c r="I48" i="24"/>
  <c r="O6" i="25"/>
  <c r="P6" i="25" s="1"/>
  <c r="Q6" i="25" s="1"/>
  <c r="R6" i="25" s="1"/>
  <c r="S6" i="25" s="1"/>
  <c r="O2" i="25"/>
  <c r="P2" i="25" s="1"/>
  <c r="Q2" i="25" s="1"/>
  <c r="R2" i="25" s="1"/>
  <c r="S2" i="25" s="1"/>
  <c r="O3" i="25"/>
  <c r="P3" i="25" s="1"/>
  <c r="Q3" i="25" s="1"/>
  <c r="R3" i="25" s="1"/>
  <c r="S3" i="25" s="1"/>
  <c r="P4" i="22"/>
  <c r="Q4" i="22" s="1"/>
  <c r="R4" i="22" s="1"/>
  <c r="S4" i="22" s="1"/>
  <c r="T4" i="22" s="1"/>
  <c r="V4" i="22" s="1"/>
  <c r="W4" i="22" s="1"/>
  <c r="I32" i="22"/>
  <c r="O3" i="22"/>
  <c r="P3" i="22" s="1"/>
  <c r="Q3" i="22" s="1"/>
  <c r="R3" i="22" s="1"/>
  <c r="S3" i="22" s="1"/>
  <c r="O2" i="22"/>
  <c r="P2" i="22" s="1"/>
  <c r="Q2" i="22" s="1"/>
  <c r="R2" i="22" s="1"/>
  <c r="S2" i="22" s="1"/>
  <c r="O2" i="21"/>
  <c r="P2" i="21" s="1"/>
  <c r="Q2" i="21" s="1"/>
  <c r="R2" i="21" s="1"/>
  <c r="S2" i="21" s="1"/>
  <c r="O4" i="20"/>
  <c r="P4" i="20" s="1"/>
  <c r="Q4" i="20" s="1"/>
  <c r="R4" i="20" s="1"/>
  <c r="S4" i="20" s="1"/>
  <c r="T4" i="20" s="1"/>
  <c r="V4" i="20" s="1"/>
  <c r="W4" i="20" s="1"/>
  <c r="O2" i="20"/>
  <c r="P2" i="20" s="1"/>
  <c r="Q2" i="20" s="1"/>
  <c r="R2" i="20" s="1"/>
  <c r="S2" i="20" s="1"/>
  <c r="P5" i="20"/>
  <c r="Q5" i="20" s="1"/>
  <c r="R5" i="20" s="1"/>
  <c r="S5" i="20" s="1"/>
  <c r="T5" i="20" s="1"/>
  <c r="V5" i="20" s="1"/>
  <c r="W5" i="20" s="1"/>
  <c r="O3" i="20"/>
  <c r="P3" i="20" s="1"/>
  <c r="Q3" i="20" s="1"/>
  <c r="R3" i="20" s="1"/>
  <c r="S3" i="20" s="1"/>
  <c r="K33" i="19"/>
  <c r="L33" i="19" s="1"/>
  <c r="K31" i="19"/>
  <c r="L31" i="19" s="1"/>
  <c r="K32" i="19"/>
  <c r="L32" i="19" s="1"/>
  <c r="K30" i="19"/>
  <c r="L30" i="19" s="1"/>
  <c r="G19" i="15"/>
  <c r="J19" i="15" s="1"/>
  <c r="K19" i="15" s="1"/>
  <c r="L19" i="15" s="1"/>
  <c r="I23" i="12"/>
  <c r="I9" i="12"/>
  <c r="I21" i="12"/>
  <c r="I2" i="12"/>
  <c r="G21" i="10"/>
  <c r="J21" i="10" s="1"/>
  <c r="G4" i="10"/>
  <c r="J4" i="10" s="1"/>
  <c r="K4" i="10" s="1"/>
  <c r="L4" i="10" s="1"/>
  <c r="I8" i="10"/>
  <c r="K31" i="10"/>
  <c r="L31" i="10" s="1"/>
  <c r="G16" i="10"/>
  <c r="J16" i="10" s="1"/>
  <c r="T6" i="20"/>
  <c r="T7" i="20"/>
  <c r="T6" i="36"/>
  <c r="V6" i="36" s="1"/>
  <c r="W6" i="36" s="1"/>
  <c r="O6" i="14"/>
  <c r="P6" i="14" s="1"/>
  <c r="Q6" i="14" s="1"/>
  <c r="R6" i="14" s="1"/>
  <c r="S6" i="14" s="1"/>
  <c r="N2" i="15"/>
  <c r="O2" i="15" s="1"/>
  <c r="P2" i="15" s="1"/>
  <c r="Q2" i="15" s="1"/>
  <c r="R2" i="15" s="1"/>
  <c r="S2" i="15" s="1"/>
  <c r="O6" i="15"/>
  <c r="P6" i="15" s="1"/>
  <c r="Q6" i="15" s="1"/>
  <c r="R6" i="15" s="1"/>
  <c r="S6" i="15" s="1"/>
  <c r="T6" i="37"/>
  <c r="V6" i="37" s="1"/>
  <c r="W6" i="37" s="1"/>
  <c r="T5" i="36"/>
  <c r="V5" i="36" s="1"/>
  <c r="W5" i="36" s="1"/>
  <c r="O24" i="15"/>
  <c r="P24" i="15" s="1"/>
  <c r="Q24" i="15" s="1"/>
  <c r="R24" i="15" s="1"/>
  <c r="S24" i="15" s="1"/>
  <c r="O25" i="15"/>
  <c r="P25" i="15" s="1"/>
  <c r="Q25" i="15" s="1"/>
  <c r="R25" i="15" s="1"/>
  <c r="S25" i="15" s="1"/>
  <c r="T5" i="22"/>
  <c r="V5" i="22" s="1"/>
  <c r="W5" i="22" s="1"/>
  <c r="T3" i="36"/>
  <c r="V3" i="36" s="1"/>
  <c r="W3" i="36" s="1"/>
  <c r="P4" i="35"/>
  <c r="Q4" i="35" s="1"/>
  <c r="R4" i="35" s="1"/>
  <c r="S4" i="35" s="1"/>
  <c r="T4" i="21"/>
  <c r="V4" i="21" s="1"/>
  <c r="W4" i="21" s="1"/>
  <c r="T5" i="21"/>
  <c r="V5" i="21" s="1"/>
  <c r="W5" i="21" s="1"/>
  <c r="Q6" i="35"/>
  <c r="R6" i="35" s="1"/>
  <c r="S6" i="35" s="1"/>
  <c r="T6" i="35" s="1"/>
  <c r="V6" i="35" s="1"/>
  <c r="W6" i="35" s="1"/>
  <c r="T5" i="37"/>
  <c r="V5" i="37" s="1"/>
  <c r="W5" i="37" s="1"/>
  <c r="T5" i="35"/>
  <c r="V5" i="35" s="1"/>
  <c r="W5" i="35" s="1"/>
  <c r="T3" i="21"/>
  <c r="V3" i="21" s="1"/>
  <c r="W3" i="21" s="1"/>
  <c r="P4" i="25"/>
  <c r="Q4" i="25" s="1"/>
  <c r="R4" i="25" s="1"/>
  <c r="S4" i="25" s="1"/>
  <c r="T7" i="25"/>
  <c r="V7" i="25" s="1"/>
  <c r="W7" i="25" s="1"/>
  <c r="O2" i="38"/>
  <c r="P3" i="38"/>
  <c r="Q3" i="38" s="1"/>
  <c r="R3" i="38" s="1"/>
  <c r="S3" i="38" s="1"/>
  <c r="P4" i="38"/>
  <c r="Q4" i="38" s="1"/>
  <c r="R4" i="38" s="1"/>
  <c r="S4" i="38" s="1"/>
  <c r="P5" i="38"/>
  <c r="Q5" i="38" s="1"/>
  <c r="R5" i="38" s="1"/>
  <c r="S5" i="38" s="1"/>
  <c r="P6" i="38"/>
  <c r="Q6" i="38" s="1"/>
  <c r="R6" i="38" s="1"/>
  <c r="S6" i="38" s="1"/>
  <c r="P7" i="38"/>
  <c r="Q7" i="38" s="1"/>
  <c r="R7" i="38" s="1"/>
  <c r="S7" i="38" s="1"/>
  <c r="K48" i="38"/>
  <c r="L2" i="38"/>
  <c r="L48" i="38" s="1"/>
  <c r="K48" i="37"/>
  <c r="L2" i="37"/>
  <c r="L48" i="37" s="1"/>
  <c r="K48" i="36"/>
  <c r="L2" i="36"/>
  <c r="L48" i="36" s="1"/>
  <c r="K48" i="35"/>
  <c r="L2" i="35"/>
  <c r="L48" i="35" s="1"/>
  <c r="K48" i="34"/>
  <c r="L48" i="34"/>
  <c r="K48" i="33"/>
  <c r="L48" i="33"/>
  <c r="K48" i="32"/>
  <c r="L48" i="32"/>
  <c r="T5" i="31"/>
  <c r="V5" i="31" s="1"/>
  <c r="W5" i="31" s="1"/>
  <c r="K33" i="10"/>
  <c r="L33" i="10" s="1"/>
  <c r="T7" i="31"/>
  <c r="V7" i="31" s="1"/>
  <c r="W7" i="31" s="1"/>
  <c r="T4" i="31"/>
  <c r="V4" i="31" s="1"/>
  <c r="W4" i="31" s="1"/>
  <c r="T3" i="31"/>
  <c r="V3" i="31" s="1"/>
  <c r="W3" i="31" s="1"/>
  <c r="T6" i="31"/>
  <c r="V6" i="31" s="1"/>
  <c r="W6" i="31" s="1"/>
  <c r="O2" i="31"/>
  <c r="P2" i="31" s="1"/>
  <c r="Q2" i="31" s="1"/>
  <c r="R2" i="31" s="1"/>
  <c r="S2" i="31" s="1"/>
  <c r="K21" i="12"/>
  <c r="L21" i="12" s="1"/>
  <c r="K17" i="10"/>
  <c r="L17" i="10" s="1"/>
  <c r="T6" i="29"/>
  <c r="V6" i="29" s="1"/>
  <c r="W6" i="29" s="1"/>
  <c r="T4" i="29"/>
  <c r="V4" i="29" s="1"/>
  <c r="W4" i="29" s="1"/>
  <c r="T5" i="29"/>
  <c r="V5" i="29" s="1"/>
  <c r="W5" i="29" s="1"/>
  <c r="T2" i="29"/>
  <c r="V2" i="29" s="1"/>
  <c r="W2" i="29" s="1"/>
  <c r="K14" i="10"/>
  <c r="L14" i="10" s="1"/>
  <c r="K8" i="10"/>
  <c r="L8" i="10" s="1"/>
  <c r="J35" i="20"/>
  <c r="J35" i="21"/>
  <c r="J48" i="24"/>
  <c r="K2" i="26"/>
  <c r="L2" i="26" s="1"/>
  <c r="K23" i="12"/>
  <c r="L23" i="12" s="1"/>
  <c r="K3" i="10"/>
  <c r="L3" i="10" s="1"/>
  <c r="J32" i="22"/>
  <c r="K48" i="24"/>
  <c r="L2" i="24"/>
  <c r="L48" i="24" s="1"/>
  <c r="O5" i="23"/>
  <c r="P5" i="23" s="1"/>
  <c r="Q5" i="23" s="1"/>
  <c r="R5" i="23" s="1"/>
  <c r="S5" i="23" s="1"/>
  <c r="Q7" i="23"/>
  <c r="R7" i="23" s="1"/>
  <c r="S7" i="23" s="1"/>
  <c r="T3" i="23"/>
  <c r="V3" i="23" s="1"/>
  <c r="W3" i="23" s="1"/>
  <c r="O4" i="23"/>
  <c r="I54" i="23"/>
  <c r="O8" i="23"/>
  <c r="P8" i="23" s="1"/>
  <c r="Q8" i="23" s="1"/>
  <c r="R8" i="23" s="1"/>
  <c r="S8" i="23" s="1"/>
  <c r="J54" i="23"/>
  <c r="P2" i="23"/>
  <c r="Q2" i="23" s="1"/>
  <c r="R2" i="23" s="1"/>
  <c r="S2" i="23" s="1"/>
  <c r="K54" i="23"/>
  <c r="L2" i="23"/>
  <c r="L54" i="23" s="1"/>
  <c r="K32" i="22"/>
  <c r="L2" i="22"/>
  <c r="L32" i="22" s="1"/>
  <c r="K35" i="21"/>
  <c r="L2" i="21"/>
  <c r="L35" i="21" s="1"/>
  <c r="K35" i="20"/>
  <c r="L2" i="20"/>
  <c r="L35" i="20" s="1"/>
  <c r="I35" i="19"/>
  <c r="G35" i="19"/>
  <c r="J35" i="19" s="1"/>
  <c r="K35" i="19" s="1"/>
  <c r="L35" i="19" s="1"/>
  <c r="I34" i="19"/>
  <c r="G34" i="19"/>
  <c r="J34" i="19" s="1"/>
  <c r="K34" i="19" s="1"/>
  <c r="L34" i="19" s="1"/>
  <c r="I29" i="19"/>
  <c r="G29" i="19"/>
  <c r="J29" i="19" s="1"/>
  <c r="K29" i="19" s="1"/>
  <c r="L29" i="19" s="1"/>
  <c r="I28" i="19"/>
  <c r="G28" i="19"/>
  <c r="J28" i="19" s="1"/>
  <c r="K28" i="19" s="1"/>
  <c r="L28" i="19" s="1"/>
  <c r="I27" i="19"/>
  <c r="G27" i="19"/>
  <c r="J27" i="19" s="1"/>
  <c r="K27" i="19" s="1"/>
  <c r="L27" i="19" s="1"/>
  <c r="I26" i="19"/>
  <c r="G26" i="19"/>
  <c r="J26" i="19" s="1"/>
  <c r="K26" i="19" s="1"/>
  <c r="L26" i="19" s="1"/>
  <c r="I25" i="19"/>
  <c r="G25" i="19"/>
  <c r="J25" i="19" s="1"/>
  <c r="K25" i="19" s="1"/>
  <c r="L25" i="19" s="1"/>
  <c r="I24" i="19"/>
  <c r="G24" i="19"/>
  <c r="J24" i="19" s="1"/>
  <c r="K24" i="19" s="1"/>
  <c r="L24" i="19" s="1"/>
  <c r="I23" i="19"/>
  <c r="G23" i="19"/>
  <c r="J23" i="19" s="1"/>
  <c r="K23" i="19" s="1"/>
  <c r="L23" i="19" s="1"/>
  <c r="I22" i="19"/>
  <c r="G22" i="19"/>
  <c r="J22" i="19" s="1"/>
  <c r="K22" i="19" s="1"/>
  <c r="L22" i="19" s="1"/>
  <c r="I21" i="19"/>
  <c r="G21" i="19"/>
  <c r="J21" i="19" s="1"/>
  <c r="K21" i="19" s="1"/>
  <c r="L21" i="19" s="1"/>
  <c r="K20" i="19"/>
  <c r="L20" i="19" s="1"/>
  <c r="I19" i="19"/>
  <c r="G19" i="19"/>
  <c r="J19" i="19" s="1"/>
  <c r="K19" i="19" s="1"/>
  <c r="L19" i="19" s="1"/>
  <c r="I18" i="19"/>
  <c r="G18" i="19"/>
  <c r="J18" i="19" s="1"/>
  <c r="K18" i="19" s="1"/>
  <c r="L18" i="19" s="1"/>
  <c r="I17" i="19"/>
  <c r="G17" i="19"/>
  <c r="J17" i="19" s="1"/>
  <c r="K17" i="19" s="1"/>
  <c r="L17" i="19" s="1"/>
  <c r="I16" i="19"/>
  <c r="G16" i="19"/>
  <c r="J16" i="19" s="1"/>
  <c r="K16" i="19" s="1"/>
  <c r="L16" i="19" s="1"/>
  <c r="I15" i="19"/>
  <c r="G15" i="19"/>
  <c r="J15" i="19" s="1"/>
  <c r="K15" i="19" s="1"/>
  <c r="L15" i="19" s="1"/>
  <c r="K14" i="19"/>
  <c r="L14" i="19" s="1"/>
  <c r="I13" i="19"/>
  <c r="G13" i="19"/>
  <c r="J13" i="19" s="1"/>
  <c r="K13" i="19" s="1"/>
  <c r="L13" i="19" s="1"/>
  <c r="I12" i="19"/>
  <c r="G12" i="19"/>
  <c r="J12" i="19" s="1"/>
  <c r="K12" i="19" s="1"/>
  <c r="L12" i="19" s="1"/>
  <c r="O5" i="19"/>
  <c r="I11" i="19"/>
  <c r="G11" i="19"/>
  <c r="J11" i="19" s="1"/>
  <c r="K11" i="19" s="1"/>
  <c r="L11" i="19" s="1"/>
  <c r="I10" i="19"/>
  <c r="G10" i="19"/>
  <c r="J10" i="19" s="1"/>
  <c r="K10" i="19" s="1"/>
  <c r="L10" i="19" s="1"/>
  <c r="I9" i="19"/>
  <c r="G9" i="19"/>
  <c r="J9" i="19" s="1"/>
  <c r="K9" i="19" s="1"/>
  <c r="L9" i="19" s="1"/>
  <c r="I8" i="19"/>
  <c r="G8" i="19"/>
  <c r="J8" i="19" s="1"/>
  <c r="K8" i="19" s="1"/>
  <c r="L8" i="19" s="1"/>
  <c r="I7" i="19"/>
  <c r="G7" i="19"/>
  <c r="J7" i="19" s="1"/>
  <c r="K7" i="19" s="1"/>
  <c r="L7" i="19" s="1"/>
  <c r="I6" i="19"/>
  <c r="O4" i="19" s="1"/>
  <c r="P4" i="19" s="1"/>
  <c r="Q4" i="19" s="1"/>
  <c r="R4" i="19" s="1"/>
  <c r="S4" i="19" s="1"/>
  <c r="G6" i="19"/>
  <c r="J6" i="19" s="1"/>
  <c r="K6" i="19" s="1"/>
  <c r="L6" i="19" s="1"/>
  <c r="I5" i="19"/>
  <c r="G5" i="19"/>
  <c r="J5" i="19" s="1"/>
  <c r="K5" i="19" s="1"/>
  <c r="L5" i="19" s="1"/>
  <c r="N2" i="19"/>
  <c r="I4" i="19"/>
  <c r="G4" i="19"/>
  <c r="J4" i="19" s="1"/>
  <c r="K4" i="19" s="1"/>
  <c r="L4" i="19" s="1"/>
  <c r="I3" i="19"/>
  <c r="G3" i="19"/>
  <c r="J3" i="19" s="1"/>
  <c r="K3" i="19" s="1"/>
  <c r="L3" i="19" s="1"/>
  <c r="I2" i="19"/>
  <c r="I36" i="19" s="1"/>
  <c r="G2" i="19"/>
  <c r="J2" i="19" s="1"/>
  <c r="H36" i="19"/>
  <c r="G30" i="17"/>
  <c r="J30" i="17" s="1"/>
  <c r="K30" i="17" s="1"/>
  <c r="L30" i="17" s="1"/>
  <c r="K5" i="12"/>
  <c r="L5" i="12" s="1"/>
  <c r="K17" i="12"/>
  <c r="L17" i="12" s="1"/>
  <c r="K6" i="15"/>
  <c r="L6" i="15" s="1"/>
  <c r="K20" i="10"/>
  <c r="L20" i="10" s="1"/>
  <c r="K18" i="10"/>
  <c r="L18" i="10" s="1"/>
  <c r="K19" i="12"/>
  <c r="L19" i="12" s="1"/>
  <c r="K18" i="12"/>
  <c r="L18" i="12" s="1"/>
  <c r="K2" i="12"/>
  <c r="L2" i="12" s="1"/>
  <c r="K32" i="10"/>
  <c r="L32" i="10" s="1"/>
  <c r="K16" i="12"/>
  <c r="L16" i="12" s="1"/>
  <c r="K27" i="10"/>
  <c r="L27" i="10" s="1"/>
  <c r="K24" i="10"/>
  <c r="L24" i="10" s="1"/>
  <c r="K13" i="10"/>
  <c r="L13" i="10" s="1"/>
  <c r="K25" i="12"/>
  <c r="L25" i="12" s="1"/>
  <c r="K15" i="12"/>
  <c r="L15" i="12" s="1"/>
  <c r="K24" i="12"/>
  <c r="L24" i="12" s="1"/>
  <c r="K4" i="12"/>
  <c r="L4" i="12" s="1"/>
  <c r="K31" i="17"/>
  <c r="L31" i="17" s="1"/>
  <c r="K22" i="12"/>
  <c r="L22" i="12" s="1"/>
  <c r="K13" i="12"/>
  <c r="L13" i="12" s="1"/>
  <c r="K16" i="15"/>
  <c r="L16" i="15" s="1"/>
  <c r="K26" i="10"/>
  <c r="L26" i="10" s="1"/>
  <c r="J32" i="16"/>
  <c r="P32" i="17"/>
  <c r="Q32" i="17" s="1"/>
  <c r="R32" i="17" s="1"/>
  <c r="S32" i="17" s="1"/>
  <c r="I32" i="17"/>
  <c r="G32" i="17"/>
  <c r="J32" i="17" s="1"/>
  <c r="K32" i="17" s="1"/>
  <c r="L32" i="17" s="1"/>
  <c r="P6" i="17"/>
  <c r="Q6" i="17" s="1"/>
  <c r="R6" i="17" s="1"/>
  <c r="S6" i="17" s="1"/>
  <c r="I29" i="17"/>
  <c r="G29" i="17"/>
  <c r="J29" i="17" s="1"/>
  <c r="K29" i="17" s="1"/>
  <c r="L29" i="17" s="1"/>
  <c r="I28" i="17"/>
  <c r="G28" i="17"/>
  <c r="J28" i="17" s="1"/>
  <c r="K28" i="17" s="1"/>
  <c r="L28" i="17" s="1"/>
  <c r="I27" i="17"/>
  <c r="G27" i="17"/>
  <c r="J27" i="17" s="1"/>
  <c r="K27" i="17" s="1"/>
  <c r="L27" i="17" s="1"/>
  <c r="I26" i="17"/>
  <c r="G26" i="17"/>
  <c r="J26" i="17" s="1"/>
  <c r="K26" i="17" s="1"/>
  <c r="L26" i="17" s="1"/>
  <c r="I25" i="17"/>
  <c r="G25" i="17"/>
  <c r="J25" i="17" s="1"/>
  <c r="K25" i="17" s="1"/>
  <c r="L25" i="17" s="1"/>
  <c r="I24" i="17"/>
  <c r="G24" i="17"/>
  <c r="J24" i="17" s="1"/>
  <c r="K24" i="17" s="1"/>
  <c r="L24" i="17" s="1"/>
  <c r="I23" i="17"/>
  <c r="G23" i="17"/>
  <c r="J23" i="17" s="1"/>
  <c r="K23" i="17" s="1"/>
  <c r="L23" i="17" s="1"/>
  <c r="I22" i="17"/>
  <c r="G22" i="17"/>
  <c r="J22" i="17" s="1"/>
  <c r="K22" i="17" s="1"/>
  <c r="L22" i="17" s="1"/>
  <c r="I21" i="17"/>
  <c r="G21" i="17"/>
  <c r="J21" i="17" s="1"/>
  <c r="K21" i="17" s="1"/>
  <c r="L21" i="17" s="1"/>
  <c r="I20" i="17"/>
  <c r="G20" i="17"/>
  <c r="J20" i="17" s="1"/>
  <c r="K20" i="17" s="1"/>
  <c r="L20" i="17" s="1"/>
  <c r="I19" i="17"/>
  <c r="G19" i="17"/>
  <c r="J19" i="17" s="1"/>
  <c r="K19" i="17" s="1"/>
  <c r="L19" i="17" s="1"/>
  <c r="I18" i="17"/>
  <c r="G18" i="17"/>
  <c r="J18" i="17" s="1"/>
  <c r="K18" i="17" s="1"/>
  <c r="L18" i="17" s="1"/>
  <c r="I17" i="17"/>
  <c r="G17" i="17"/>
  <c r="J17" i="17" s="1"/>
  <c r="K17" i="17" s="1"/>
  <c r="L17" i="17" s="1"/>
  <c r="I16" i="17"/>
  <c r="G16" i="17"/>
  <c r="J16" i="17" s="1"/>
  <c r="K16" i="17" s="1"/>
  <c r="L16" i="17" s="1"/>
  <c r="I15" i="17"/>
  <c r="G15" i="17"/>
  <c r="J15" i="17" s="1"/>
  <c r="K15" i="17" s="1"/>
  <c r="L15" i="17" s="1"/>
  <c r="I14" i="17"/>
  <c r="G14" i="17"/>
  <c r="J14" i="17" s="1"/>
  <c r="K14" i="17" s="1"/>
  <c r="L14" i="17" s="1"/>
  <c r="I13" i="17"/>
  <c r="G13" i="17"/>
  <c r="J13" i="17" s="1"/>
  <c r="K13" i="17" s="1"/>
  <c r="L13" i="17" s="1"/>
  <c r="I12" i="17"/>
  <c r="G12" i="17"/>
  <c r="J12" i="17" s="1"/>
  <c r="K12" i="17" s="1"/>
  <c r="L12" i="17" s="1"/>
  <c r="I11" i="17"/>
  <c r="G11" i="17"/>
  <c r="J11" i="17" s="1"/>
  <c r="K11" i="17" s="1"/>
  <c r="L11" i="17" s="1"/>
  <c r="I10" i="17"/>
  <c r="G10" i="17"/>
  <c r="J10" i="17" s="1"/>
  <c r="K10" i="17" s="1"/>
  <c r="L10" i="17" s="1"/>
  <c r="I9" i="17"/>
  <c r="G9" i="17"/>
  <c r="J9" i="17" s="1"/>
  <c r="K9" i="17" s="1"/>
  <c r="L9" i="17" s="1"/>
  <c r="I8" i="17"/>
  <c r="G8" i="17"/>
  <c r="J8" i="17" s="1"/>
  <c r="K8" i="17" s="1"/>
  <c r="L8" i="17" s="1"/>
  <c r="I7" i="17"/>
  <c r="G7" i="17"/>
  <c r="J7" i="17" s="1"/>
  <c r="K7" i="17" s="1"/>
  <c r="L7" i="17" s="1"/>
  <c r="I6" i="17"/>
  <c r="G6" i="17"/>
  <c r="J6" i="17" s="1"/>
  <c r="K6" i="17" s="1"/>
  <c r="L6" i="17" s="1"/>
  <c r="I5" i="17"/>
  <c r="G5" i="17"/>
  <c r="J5" i="17" s="1"/>
  <c r="K5" i="17" s="1"/>
  <c r="L5" i="17" s="1"/>
  <c r="I4" i="17"/>
  <c r="G4" i="17"/>
  <c r="J4" i="17" s="1"/>
  <c r="K4" i="17" s="1"/>
  <c r="L4" i="17" s="1"/>
  <c r="I3" i="17"/>
  <c r="G3" i="17"/>
  <c r="J3" i="17" s="1"/>
  <c r="K3" i="17" s="1"/>
  <c r="L3" i="17" s="1"/>
  <c r="I2" i="17"/>
  <c r="G2" i="17"/>
  <c r="J2" i="17" s="1"/>
  <c r="N2" i="17"/>
  <c r="H34" i="17"/>
  <c r="H32" i="16"/>
  <c r="K2" i="16"/>
  <c r="V2" i="16"/>
  <c r="O23" i="15"/>
  <c r="P23" i="15" s="1"/>
  <c r="Q23" i="15" s="1"/>
  <c r="R23" i="15" s="1"/>
  <c r="S23" i="15" s="1"/>
  <c r="O22" i="15"/>
  <c r="P22" i="15" s="1"/>
  <c r="Q22" i="15" s="1"/>
  <c r="R22" i="15" s="1"/>
  <c r="S22" i="15" s="1"/>
  <c r="G23" i="15"/>
  <c r="J23" i="15" s="1"/>
  <c r="G22" i="15"/>
  <c r="J22" i="15" s="1"/>
  <c r="G20" i="15"/>
  <c r="J20" i="15" s="1"/>
  <c r="K20" i="15" s="1"/>
  <c r="L20" i="15" s="1"/>
  <c r="K18" i="15"/>
  <c r="L18" i="15" s="1"/>
  <c r="G17" i="15"/>
  <c r="J17" i="15" s="1"/>
  <c r="K17" i="15" s="1"/>
  <c r="L17" i="15" s="1"/>
  <c r="G14" i="15"/>
  <c r="J14" i="15" s="1"/>
  <c r="K14" i="15" s="1"/>
  <c r="L14" i="15" s="1"/>
  <c r="G12" i="15"/>
  <c r="J12" i="15" s="1"/>
  <c r="K12" i="15" s="1"/>
  <c r="L12" i="15" s="1"/>
  <c r="K11" i="15"/>
  <c r="L11" i="15" s="1"/>
  <c r="G10" i="15"/>
  <c r="J10" i="15" s="1"/>
  <c r="K10" i="15" s="1"/>
  <c r="L10" i="15" s="1"/>
  <c r="G9" i="15"/>
  <c r="J9" i="15" s="1"/>
  <c r="K9" i="15" s="1"/>
  <c r="L9" i="15" s="1"/>
  <c r="K8" i="15"/>
  <c r="L8" i="15" s="1"/>
  <c r="G5" i="15"/>
  <c r="J5" i="15" s="1"/>
  <c r="O4" i="15"/>
  <c r="P4" i="15" s="1"/>
  <c r="Q4" i="15" s="1"/>
  <c r="R4" i="15" s="1"/>
  <c r="S4" i="15" s="1"/>
  <c r="O5" i="15"/>
  <c r="P5" i="15" s="1"/>
  <c r="Q5" i="15" s="1"/>
  <c r="R5" i="15" s="1"/>
  <c r="S5" i="15" s="1"/>
  <c r="G3" i="15"/>
  <c r="J3" i="15" s="1"/>
  <c r="K3" i="15" s="1"/>
  <c r="L3" i="15" s="1"/>
  <c r="H31" i="15"/>
  <c r="K2" i="15"/>
  <c r="L2" i="15" s="1"/>
  <c r="O3" i="15"/>
  <c r="P3" i="15" s="1"/>
  <c r="Q3" i="15" s="1"/>
  <c r="R3" i="15" s="1"/>
  <c r="S3" i="15" s="1"/>
  <c r="K28" i="10"/>
  <c r="L28" i="10" s="1"/>
  <c r="K22" i="10"/>
  <c r="L22" i="10" s="1"/>
  <c r="K19" i="10"/>
  <c r="L19" i="10" s="1"/>
  <c r="K9" i="10"/>
  <c r="L9" i="10" s="1"/>
  <c r="K23" i="10"/>
  <c r="L23" i="10" s="1"/>
  <c r="K15" i="10"/>
  <c r="L15" i="10" s="1"/>
  <c r="K12" i="10"/>
  <c r="L12" i="10" s="1"/>
  <c r="I29" i="14"/>
  <c r="G29" i="14"/>
  <c r="J29" i="14" s="1"/>
  <c r="K29" i="14" s="1"/>
  <c r="L29" i="14" s="1"/>
  <c r="I28" i="14"/>
  <c r="G28" i="14"/>
  <c r="J28" i="14" s="1"/>
  <c r="K28" i="14" s="1"/>
  <c r="L28" i="14" s="1"/>
  <c r="I27" i="14"/>
  <c r="G27" i="14"/>
  <c r="J27" i="14" s="1"/>
  <c r="K27" i="14" s="1"/>
  <c r="L27" i="14" s="1"/>
  <c r="I26" i="14"/>
  <c r="G26" i="14"/>
  <c r="J26" i="14" s="1"/>
  <c r="K26" i="14" s="1"/>
  <c r="L26" i="14" s="1"/>
  <c r="I25" i="14"/>
  <c r="G25" i="14"/>
  <c r="J25" i="14" s="1"/>
  <c r="K25" i="14" s="1"/>
  <c r="L25" i="14" s="1"/>
  <c r="I24" i="14"/>
  <c r="G24" i="14"/>
  <c r="J24" i="14" s="1"/>
  <c r="K24" i="14" s="1"/>
  <c r="L24" i="14" s="1"/>
  <c r="I23" i="14"/>
  <c r="G23" i="14"/>
  <c r="J23" i="14" s="1"/>
  <c r="K23" i="14"/>
  <c r="L23" i="14" s="1"/>
  <c r="I22" i="14"/>
  <c r="G22" i="14"/>
  <c r="J22" i="14" s="1"/>
  <c r="K22" i="14" s="1"/>
  <c r="L22" i="14" s="1"/>
  <c r="I21" i="14"/>
  <c r="G21" i="14"/>
  <c r="J21" i="14" s="1"/>
  <c r="K21" i="14" s="1"/>
  <c r="L21" i="14" s="1"/>
  <c r="I20" i="14"/>
  <c r="G20" i="14"/>
  <c r="J20" i="14" s="1"/>
  <c r="K20" i="14" s="1"/>
  <c r="L20" i="14" s="1"/>
  <c r="I19" i="14"/>
  <c r="G19" i="14"/>
  <c r="J19" i="14" s="1"/>
  <c r="K19" i="14" s="1"/>
  <c r="L19" i="14" s="1"/>
  <c r="I18" i="14"/>
  <c r="G18" i="14"/>
  <c r="J18" i="14" s="1"/>
  <c r="K18" i="14" s="1"/>
  <c r="L18" i="14" s="1"/>
  <c r="I17" i="14"/>
  <c r="G17" i="14"/>
  <c r="J17" i="14" s="1"/>
  <c r="K17" i="14" s="1"/>
  <c r="L17" i="14" s="1"/>
  <c r="I16" i="14"/>
  <c r="G16" i="14"/>
  <c r="J16" i="14" s="1"/>
  <c r="K16" i="14" s="1"/>
  <c r="L16" i="14" s="1"/>
  <c r="I15" i="14"/>
  <c r="G15" i="14"/>
  <c r="J15" i="14" s="1"/>
  <c r="K15" i="14" s="1"/>
  <c r="L15" i="14" s="1"/>
  <c r="I14" i="14"/>
  <c r="G14" i="14"/>
  <c r="J14" i="14" s="1"/>
  <c r="K14" i="14" s="1"/>
  <c r="L14" i="14" s="1"/>
  <c r="I13" i="14"/>
  <c r="G13" i="14"/>
  <c r="J13" i="14" s="1"/>
  <c r="K13" i="14" s="1"/>
  <c r="L13" i="14" s="1"/>
  <c r="I12" i="14"/>
  <c r="G12" i="14"/>
  <c r="J12" i="14" s="1"/>
  <c r="K12" i="14" s="1"/>
  <c r="L12" i="14" s="1"/>
  <c r="I11" i="14"/>
  <c r="G11" i="14"/>
  <c r="J11" i="14" s="1"/>
  <c r="K11" i="14" s="1"/>
  <c r="L11" i="14" s="1"/>
  <c r="I10" i="14"/>
  <c r="G10" i="14"/>
  <c r="J10" i="14" s="1"/>
  <c r="K10" i="14" s="1"/>
  <c r="L10" i="14" s="1"/>
  <c r="I9" i="14"/>
  <c r="G9" i="14"/>
  <c r="J9" i="14" s="1"/>
  <c r="K9" i="14" s="1"/>
  <c r="L9" i="14" s="1"/>
  <c r="I8" i="14"/>
  <c r="G8" i="14"/>
  <c r="J8" i="14" s="1"/>
  <c r="K8" i="14" s="1"/>
  <c r="L8" i="14" s="1"/>
  <c r="I7" i="14"/>
  <c r="O5" i="14" s="1"/>
  <c r="P5" i="14" s="1"/>
  <c r="Q5" i="14" s="1"/>
  <c r="R5" i="14" s="1"/>
  <c r="S5" i="14" s="1"/>
  <c r="G7" i="14"/>
  <c r="J7" i="14" s="1"/>
  <c r="K7" i="14" s="1"/>
  <c r="L7" i="14" s="1"/>
  <c r="I6" i="14"/>
  <c r="G6" i="14"/>
  <c r="J6" i="14" s="1"/>
  <c r="K6" i="14" s="1"/>
  <c r="L6" i="14" s="1"/>
  <c r="I5" i="14"/>
  <c r="G5" i="14"/>
  <c r="K5" i="14" s="1"/>
  <c r="L5" i="14" s="1"/>
  <c r="O4" i="14"/>
  <c r="P4" i="14" s="1"/>
  <c r="Q4" i="14" s="1"/>
  <c r="R4" i="14" s="1"/>
  <c r="S4" i="14" s="1"/>
  <c r="I4" i="14"/>
  <c r="G4" i="14"/>
  <c r="J4" i="14" s="1"/>
  <c r="K4" i="14" s="1"/>
  <c r="L4" i="14" s="1"/>
  <c r="I3" i="14"/>
  <c r="O3" i="14" s="1"/>
  <c r="G3" i="14"/>
  <c r="J3" i="14" s="1"/>
  <c r="K3" i="14" s="1"/>
  <c r="L3" i="14" s="1"/>
  <c r="I2" i="14"/>
  <c r="G2" i="14"/>
  <c r="J2" i="14" s="1"/>
  <c r="K2" i="14" s="1"/>
  <c r="N2" i="14"/>
  <c r="K2" i="10"/>
  <c r="L2" i="10" s="1"/>
  <c r="H32" i="14"/>
  <c r="I34" i="12"/>
  <c r="G14" i="12"/>
  <c r="J14" i="12" s="1"/>
  <c r="K14" i="12" s="1"/>
  <c r="G7" i="12"/>
  <c r="J7" i="12" s="1"/>
  <c r="K7" i="12" s="1"/>
  <c r="L7" i="12" s="1"/>
  <c r="H34" i="12"/>
  <c r="O3" i="12"/>
  <c r="P3" i="12" s="1"/>
  <c r="Q3" i="12" s="1"/>
  <c r="R3" i="12" s="1"/>
  <c r="S3" i="12" s="1"/>
  <c r="O2" i="12"/>
  <c r="P2" i="12" s="1"/>
  <c r="Q2" i="12" s="1"/>
  <c r="R2" i="12" s="1"/>
  <c r="S2" i="12" s="1"/>
  <c r="K21" i="10"/>
  <c r="L21" i="10" s="1"/>
  <c r="K16" i="10"/>
  <c r="L16" i="10" s="1"/>
  <c r="K11" i="10"/>
  <c r="L11" i="10" s="1"/>
  <c r="K30" i="10"/>
  <c r="L30" i="10" s="1"/>
  <c r="I29" i="10"/>
  <c r="I26" i="10"/>
  <c r="I27" i="10"/>
  <c r="E10" i="13"/>
  <c r="B25" i="13"/>
  <c r="B3" i="13"/>
  <c r="B21" i="13"/>
  <c r="C3" i="13"/>
  <c r="B23" i="13"/>
  <c r="C7" i="13"/>
  <c r="E8" i="13"/>
  <c r="E3" i="13"/>
  <c r="B24" i="13"/>
  <c r="D3" i="13"/>
  <c r="E7" i="13"/>
  <c r="B26" i="13"/>
  <c r="B22" i="13"/>
  <c r="B6" i="13"/>
  <c r="E11" i="13"/>
  <c r="B8" i="13"/>
  <c r="B7" i="13"/>
  <c r="E6" i="13"/>
  <c r="E9" i="13"/>
  <c r="T5" i="25" l="1"/>
  <c r="V5" i="25" s="1"/>
  <c r="W5" i="25" s="1"/>
  <c r="T21" i="15"/>
  <c r="T4" i="36"/>
  <c r="V4" i="36" s="1"/>
  <c r="W4" i="36" s="1"/>
  <c r="T25" i="29"/>
  <c r="T15" i="21"/>
  <c r="T23" i="22"/>
  <c r="T39" i="20"/>
  <c r="T9" i="22"/>
  <c r="T37" i="21"/>
  <c r="T21" i="25"/>
  <c r="T38" i="32"/>
  <c r="T29" i="35"/>
  <c r="T17" i="32"/>
  <c r="V17" i="32" s="1"/>
  <c r="W17" i="32" s="1"/>
  <c r="T14" i="21"/>
  <c r="T11" i="22"/>
  <c r="T29" i="32"/>
  <c r="T29" i="37"/>
  <c r="T35" i="21"/>
  <c r="T36" i="20"/>
  <c r="T15" i="29"/>
  <c r="V15" i="29" s="1"/>
  <c r="W15" i="29" s="1"/>
  <c r="T24" i="25"/>
  <c r="T35" i="33"/>
  <c r="T34" i="24"/>
  <c r="T22" i="37"/>
  <c r="T28" i="36"/>
  <c r="T14" i="29"/>
  <c r="V14" i="29" s="1"/>
  <c r="W14" i="29" s="1"/>
  <c r="T20" i="37"/>
  <c r="T27" i="38"/>
  <c r="T17" i="40"/>
  <c r="V17" i="40" s="1"/>
  <c r="W17" i="40" s="1"/>
  <c r="T44" i="21"/>
  <c r="T34" i="25"/>
  <c r="T27" i="33"/>
  <c r="T29" i="40"/>
  <c r="T22" i="22"/>
  <c r="T27" i="40"/>
  <c r="T14" i="20"/>
  <c r="T33" i="34"/>
  <c r="T39" i="38"/>
  <c r="T29" i="25"/>
  <c r="T14" i="32"/>
  <c r="V14" i="32" s="1"/>
  <c r="W14" i="32" s="1"/>
  <c r="T9" i="24"/>
  <c r="V9" i="24" s="1"/>
  <c r="W9" i="24" s="1"/>
  <c r="T12" i="23"/>
  <c r="T8" i="37"/>
  <c r="V8" i="37" s="1"/>
  <c r="W8" i="37" s="1"/>
  <c r="T28" i="21"/>
  <c r="T28" i="29"/>
  <c r="T30" i="40"/>
  <c r="T36" i="40"/>
  <c r="T18" i="38"/>
  <c r="V18" i="38" s="1"/>
  <c r="W18" i="38" s="1"/>
  <c r="T25" i="20"/>
  <c r="T23" i="31"/>
  <c r="T15" i="40"/>
  <c r="V15" i="40" s="1"/>
  <c r="W15" i="40" s="1"/>
  <c r="T38" i="38"/>
  <c r="T33" i="25"/>
  <c r="T21" i="32"/>
  <c r="T21" i="37"/>
  <c r="T10" i="40"/>
  <c r="V10" i="40" s="1"/>
  <c r="W10" i="40" s="1"/>
  <c r="T19" i="32"/>
  <c r="T13" i="38"/>
  <c r="V13" i="38" s="1"/>
  <c r="W13" i="38" s="1"/>
  <c r="T6" i="14"/>
  <c r="T39" i="40"/>
  <c r="T19" i="38"/>
  <c r="T38" i="20"/>
  <c r="T41" i="29"/>
  <c r="T36" i="29"/>
  <c r="T39" i="34"/>
  <c r="T29" i="22"/>
  <c r="T23" i="25"/>
  <c r="T23" i="36"/>
  <c r="T31" i="31"/>
  <c r="T32" i="40"/>
  <c r="T16" i="29"/>
  <c r="V16" i="29" s="1"/>
  <c r="W16" i="29" s="1"/>
  <c r="T20" i="31"/>
  <c r="T16" i="40"/>
  <c r="V16" i="40" s="1"/>
  <c r="W16" i="40" s="1"/>
  <c r="T28" i="32"/>
  <c r="T38" i="37"/>
  <c r="T9" i="23"/>
  <c r="T26" i="32"/>
  <c r="T35" i="40"/>
  <c r="T25" i="38"/>
  <c r="T16" i="21"/>
  <c r="T10" i="22"/>
  <c r="T35" i="36"/>
  <c r="T23" i="29"/>
  <c r="T31" i="24"/>
  <c r="T15" i="31"/>
  <c r="V15" i="31" s="1"/>
  <c r="W15" i="31" s="1"/>
  <c r="T24" i="35"/>
  <c r="T14" i="40"/>
  <c r="V14" i="40" s="1"/>
  <c r="W14" i="40" s="1"/>
  <c r="T35" i="29"/>
  <c r="T13" i="25"/>
  <c r="V13" i="25" s="1"/>
  <c r="W13" i="25" s="1"/>
  <c r="T17" i="24"/>
  <c r="V17" i="24" s="1"/>
  <c r="W17" i="24" s="1"/>
  <c r="T31" i="37"/>
  <c r="T13" i="37"/>
  <c r="V13" i="37" s="1"/>
  <c r="W13" i="37" s="1"/>
  <c r="T15" i="24"/>
  <c r="V15" i="24" s="1"/>
  <c r="W15" i="24" s="1"/>
  <c r="T34" i="32"/>
  <c r="T17" i="37"/>
  <c r="V17" i="37" s="1"/>
  <c r="W17" i="37" s="1"/>
  <c r="T33" i="20"/>
  <c r="T18" i="25"/>
  <c r="V18" i="25" s="1"/>
  <c r="W18" i="25" s="1"/>
  <c r="T25" i="34"/>
  <c r="T20" i="21"/>
  <c r="T22" i="25"/>
  <c r="T22" i="35"/>
  <c r="T23" i="34"/>
  <c r="T40" i="38"/>
  <c r="T23" i="20"/>
  <c r="T18" i="24"/>
  <c r="V18" i="24" s="1"/>
  <c r="W18" i="24" s="1"/>
  <c r="T39" i="24"/>
  <c r="T20" i="20"/>
  <c r="T12" i="22"/>
  <c r="T36" i="25"/>
  <c r="T16" i="35"/>
  <c r="V16" i="35" s="1"/>
  <c r="W16" i="35" s="1"/>
  <c r="T20" i="38"/>
  <c r="T38" i="29"/>
  <c r="T35" i="24"/>
  <c r="T34" i="34"/>
  <c r="T32" i="20"/>
  <c r="T25" i="32"/>
  <c r="T28" i="35"/>
  <c r="T35" i="20"/>
  <c r="T14" i="35"/>
  <c r="V14" i="35" s="1"/>
  <c r="W14" i="35" s="1"/>
  <c r="T24" i="36"/>
  <c r="T33" i="22"/>
  <c r="T27" i="29"/>
  <c r="T6" i="15"/>
  <c r="T6" i="17"/>
  <c r="T8" i="21"/>
  <c r="T9" i="20"/>
  <c r="T22" i="24"/>
  <c r="T31" i="25"/>
  <c r="T16" i="31"/>
  <c r="V16" i="31" s="1"/>
  <c r="W16" i="31" s="1"/>
  <c r="T28" i="31"/>
  <c r="T33" i="35"/>
  <c r="T15" i="34"/>
  <c r="V15" i="34" s="1"/>
  <c r="W15" i="34" s="1"/>
  <c r="T24" i="40"/>
  <c r="T34" i="38"/>
  <c r="T35" i="37"/>
  <c r="T28" i="40"/>
  <c r="T41" i="38"/>
  <c r="T45" i="21"/>
  <c r="T34" i="22"/>
  <c r="T21" i="29"/>
  <c r="T32" i="24"/>
  <c r="T30" i="25"/>
  <c r="T40" i="32"/>
  <c r="T41" i="33"/>
  <c r="T12" i="35"/>
  <c r="V12" i="35" s="1"/>
  <c r="W12" i="35" s="1"/>
  <c r="T33" i="37"/>
  <c r="T40" i="40"/>
  <c r="T19" i="33"/>
  <c r="T41" i="34"/>
  <c r="P24" i="16"/>
  <c r="Q24" i="16" s="1"/>
  <c r="R24" i="16" s="1"/>
  <c r="S24" i="16" s="1"/>
  <c r="T24" i="16"/>
  <c r="T8" i="20"/>
  <c r="T35" i="22"/>
  <c r="T9" i="25"/>
  <c r="V9" i="25" s="1"/>
  <c r="W9" i="25" s="1"/>
  <c r="T42" i="31"/>
  <c r="T18" i="32"/>
  <c r="V18" i="32" s="1"/>
  <c r="W18" i="32" s="1"/>
  <c r="T20" i="35"/>
  <c r="T29" i="34"/>
  <c r="T29" i="36"/>
  <c r="T32" i="29"/>
  <c r="T7" i="24"/>
  <c r="V7" i="24" s="1"/>
  <c r="W7" i="24" s="1"/>
  <c r="T14" i="25"/>
  <c r="V14" i="25" s="1"/>
  <c r="W14" i="25" s="1"/>
  <c r="T41" i="31"/>
  <c r="T28" i="33"/>
  <c r="T23" i="35"/>
  <c r="T27" i="37"/>
  <c r="T21" i="40"/>
  <c r="T17" i="38"/>
  <c r="V17" i="38" s="1"/>
  <c r="W17" i="38" s="1"/>
  <c r="T9" i="21"/>
  <c r="T14" i="22"/>
  <c r="T13" i="29"/>
  <c r="V13" i="29" s="1"/>
  <c r="W13" i="29" s="1"/>
  <c r="T36" i="24"/>
  <c r="T23" i="32"/>
  <c r="T17" i="34"/>
  <c r="V17" i="34" s="1"/>
  <c r="W17" i="34" s="1"/>
  <c r="T40" i="37"/>
  <c r="T18" i="40"/>
  <c r="V18" i="40" s="1"/>
  <c r="W18" i="40" s="1"/>
  <c r="T29" i="38"/>
  <c r="T17" i="21"/>
  <c r="T15" i="20"/>
  <c r="T28" i="24"/>
  <c r="T37" i="25"/>
  <c r="P21" i="16"/>
  <c r="Q21" i="16" s="1"/>
  <c r="R21" i="16" s="1"/>
  <c r="S21" i="16" s="1"/>
  <c r="T21" i="16"/>
  <c r="P26" i="19"/>
  <c r="Q26" i="19" s="1"/>
  <c r="R26" i="19" s="1"/>
  <c r="S26" i="19" s="1"/>
  <c r="P6" i="19"/>
  <c r="Q6" i="19" s="1"/>
  <c r="R6" i="19" s="1"/>
  <c r="S6" i="19" s="1"/>
  <c r="P40" i="19"/>
  <c r="Q40" i="19" s="1"/>
  <c r="R40" i="19" s="1"/>
  <c r="S40" i="19" s="1"/>
  <c r="T40" i="19"/>
  <c r="P29" i="17"/>
  <c r="Q29" i="17" s="1"/>
  <c r="R29" i="17" s="1"/>
  <c r="S29" i="17" s="1"/>
  <c r="T29" i="17"/>
  <c r="P17" i="17"/>
  <c r="Q17" i="17" s="1"/>
  <c r="R17" i="17" s="1"/>
  <c r="S17" i="17" s="1"/>
  <c r="P27" i="17"/>
  <c r="Q27" i="17" s="1"/>
  <c r="R27" i="17" s="1"/>
  <c r="S27" i="17" s="1"/>
  <c r="P34" i="17"/>
  <c r="Q34" i="17" s="1"/>
  <c r="R34" i="17" s="1"/>
  <c r="S34" i="17" s="1"/>
  <c r="P20" i="14"/>
  <c r="Q20" i="14" s="1"/>
  <c r="R20" i="14" s="1"/>
  <c r="S20" i="14" s="1"/>
  <c r="T25" i="12"/>
  <c r="P43" i="12"/>
  <c r="Q43" i="12" s="1"/>
  <c r="R43" i="12" s="1"/>
  <c r="S43" i="12" s="1"/>
  <c r="P24" i="12"/>
  <c r="Q24" i="12" s="1"/>
  <c r="R24" i="12" s="1"/>
  <c r="S24" i="12" s="1"/>
  <c r="P29" i="14"/>
  <c r="Q29" i="14" s="1"/>
  <c r="R29" i="14" s="1"/>
  <c r="S29" i="14" s="1"/>
  <c r="P24" i="14"/>
  <c r="Q24" i="14" s="1"/>
  <c r="R24" i="14" s="1"/>
  <c r="S24" i="14" s="1"/>
  <c r="P28" i="14"/>
  <c r="Q28" i="14" s="1"/>
  <c r="R28" i="14" s="1"/>
  <c r="S28" i="14" s="1"/>
  <c r="P38" i="15"/>
  <c r="Q38" i="15" s="1"/>
  <c r="R38" i="15" s="1"/>
  <c r="S38" i="15" s="1"/>
  <c r="T38" i="15"/>
  <c r="P17" i="15"/>
  <c r="Q17" i="15" s="1"/>
  <c r="R17" i="15" s="1"/>
  <c r="S17" i="15" s="1"/>
  <c r="P36" i="15"/>
  <c r="Q36" i="15" s="1"/>
  <c r="R36" i="15" s="1"/>
  <c r="S36" i="15" s="1"/>
  <c r="P22" i="16"/>
  <c r="Q22" i="16" s="1"/>
  <c r="R22" i="16" s="1"/>
  <c r="S22" i="16" s="1"/>
  <c r="T22" i="16"/>
  <c r="T29" i="21"/>
  <c r="T26" i="22"/>
  <c r="P42" i="16"/>
  <c r="Q42" i="16" s="1"/>
  <c r="R42" i="16" s="1"/>
  <c r="S42" i="16" s="1"/>
  <c r="T42" i="16"/>
  <c r="T17" i="31"/>
  <c r="V17" i="31" s="1"/>
  <c r="W17" i="31" s="1"/>
  <c r="T8" i="31"/>
  <c r="V8" i="31" s="1"/>
  <c r="W8" i="31" s="1"/>
  <c r="T18" i="35"/>
  <c r="V18" i="35" s="1"/>
  <c r="W18" i="35" s="1"/>
  <c r="T18" i="34"/>
  <c r="V18" i="34" s="1"/>
  <c r="W18" i="34" s="1"/>
  <c r="T9" i="37"/>
  <c r="V9" i="37" s="1"/>
  <c r="W9" i="37" s="1"/>
  <c r="P19" i="16"/>
  <c r="Q19" i="16" s="1"/>
  <c r="R19" i="16" s="1"/>
  <c r="S19" i="16" s="1"/>
  <c r="T19" i="16"/>
  <c r="T11" i="21"/>
  <c r="T42" i="24"/>
  <c r="T27" i="25"/>
  <c r="T21" i="31"/>
  <c r="T40" i="33"/>
  <c r="T30" i="35"/>
  <c r="T18" i="36"/>
  <c r="V18" i="36" s="1"/>
  <c r="W18" i="36" s="1"/>
  <c r="T16" i="38"/>
  <c r="V16" i="38" s="1"/>
  <c r="W16" i="38" s="1"/>
  <c r="P10" i="19"/>
  <c r="Q10" i="19" s="1"/>
  <c r="R10" i="19" s="1"/>
  <c r="S10" i="19" s="1"/>
  <c r="P29" i="19"/>
  <c r="Q29" i="19" s="1"/>
  <c r="R29" i="19" s="1"/>
  <c r="S29" i="19" s="1"/>
  <c r="P19" i="19"/>
  <c r="Q19" i="19" s="1"/>
  <c r="R19" i="19" s="1"/>
  <c r="S19" i="19" s="1"/>
  <c r="P17" i="19"/>
  <c r="Q17" i="19" s="1"/>
  <c r="R17" i="19" s="1"/>
  <c r="S17" i="19" s="1"/>
  <c r="P35" i="17"/>
  <c r="Q35" i="17" s="1"/>
  <c r="R35" i="17" s="1"/>
  <c r="S35" i="17" s="1"/>
  <c r="P36" i="17"/>
  <c r="Q36" i="17" s="1"/>
  <c r="R36" i="17" s="1"/>
  <c r="S36" i="17" s="1"/>
  <c r="T36" i="17"/>
  <c r="P11" i="17"/>
  <c r="Q11" i="17" s="1"/>
  <c r="R11" i="17" s="1"/>
  <c r="S11" i="17" s="1"/>
  <c r="P39" i="17"/>
  <c r="Q39" i="17" s="1"/>
  <c r="R39" i="17" s="1"/>
  <c r="S39" i="17" s="1"/>
  <c r="P8" i="12"/>
  <c r="Q8" i="12" s="1"/>
  <c r="R8" i="12" s="1"/>
  <c r="S8" i="12" s="1"/>
  <c r="T8" i="14"/>
  <c r="P38" i="12"/>
  <c r="Q38" i="12" s="1"/>
  <c r="R38" i="12" s="1"/>
  <c r="S38" i="12" s="1"/>
  <c r="P18" i="12"/>
  <c r="Q18" i="12" s="1"/>
  <c r="R18" i="12" s="1"/>
  <c r="S18" i="12" s="1"/>
  <c r="P31" i="14"/>
  <c r="Q31" i="14" s="1"/>
  <c r="R31" i="14" s="1"/>
  <c r="S31" i="14" s="1"/>
  <c r="P32" i="14"/>
  <c r="Q32" i="14" s="1"/>
  <c r="R32" i="14" s="1"/>
  <c r="S32" i="14" s="1"/>
  <c r="P34" i="14"/>
  <c r="Q34" i="14" s="1"/>
  <c r="R34" i="14" s="1"/>
  <c r="S34" i="14" s="1"/>
  <c r="P33" i="15"/>
  <c r="Q33" i="15" s="1"/>
  <c r="R33" i="15" s="1"/>
  <c r="S33" i="15" s="1"/>
  <c r="P28" i="15"/>
  <c r="Q28" i="15" s="1"/>
  <c r="R28" i="15" s="1"/>
  <c r="S28" i="15" s="1"/>
  <c r="P41" i="15"/>
  <c r="Q41" i="15" s="1"/>
  <c r="R41" i="15" s="1"/>
  <c r="S41" i="15" s="1"/>
  <c r="P20" i="16"/>
  <c r="Q20" i="16" s="1"/>
  <c r="R20" i="16" s="1"/>
  <c r="S20" i="16" s="1"/>
  <c r="T20" i="16"/>
  <c r="P37" i="16"/>
  <c r="Q37" i="16" s="1"/>
  <c r="R37" i="16" s="1"/>
  <c r="S37" i="16" s="1"/>
  <c r="T37" i="16"/>
  <c r="P17" i="16"/>
  <c r="Q17" i="16" s="1"/>
  <c r="R17" i="16" s="1"/>
  <c r="S17" i="16" s="1"/>
  <c r="T17" i="16"/>
  <c r="P15" i="19"/>
  <c r="Q15" i="19" s="1"/>
  <c r="R15" i="19" s="1"/>
  <c r="S15" i="19" s="1"/>
  <c r="P8" i="19"/>
  <c r="Q8" i="19" s="1"/>
  <c r="R8" i="19" s="1"/>
  <c r="S8" i="19" s="1"/>
  <c r="P30" i="19"/>
  <c r="Q30" i="19" s="1"/>
  <c r="R30" i="19" s="1"/>
  <c r="S30" i="19" s="1"/>
  <c r="P25" i="19"/>
  <c r="Q25" i="19" s="1"/>
  <c r="R25" i="19" s="1"/>
  <c r="S25" i="19" s="1"/>
  <c r="P40" i="17"/>
  <c r="Q40" i="17" s="1"/>
  <c r="R40" i="17" s="1"/>
  <c r="S40" i="17" s="1"/>
  <c r="P41" i="17"/>
  <c r="Q41" i="17" s="1"/>
  <c r="R41" i="17" s="1"/>
  <c r="S41" i="17" s="1"/>
  <c r="P33" i="17"/>
  <c r="Q33" i="17" s="1"/>
  <c r="R33" i="17" s="1"/>
  <c r="S33" i="17" s="1"/>
  <c r="T33" i="17"/>
  <c r="P44" i="17"/>
  <c r="Q44" i="17" s="1"/>
  <c r="R44" i="17" s="1"/>
  <c r="S44" i="17" s="1"/>
  <c r="P19" i="12"/>
  <c r="Q19" i="12" s="1"/>
  <c r="R19" i="12" s="1"/>
  <c r="S19" i="12" s="1"/>
  <c r="P38" i="14"/>
  <c r="Q38" i="14" s="1"/>
  <c r="R38" i="14" s="1"/>
  <c r="S38" i="14" s="1"/>
  <c r="P32" i="12"/>
  <c r="Q32" i="12" s="1"/>
  <c r="R32" i="12" s="1"/>
  <c r="S32" i="12" s="1"/>
  <c r="P13" i="12"/>
  <c r="Q13" i="12" s="1"/>
  <c r="R13" i="12" s="1"/>
  <c r="S13" i="12" s="1"/>
  <c r="P23" i="14"/>
  <c r="Q23" i="14" s="1"/>
  <c r="R23" i="14" s="1"/>
  <c r="S23" i="14" s="1"/>
  <c r="P36" i="14"/>
  <c r="Q36" i="14" s="1"/>
  <c r="R36" i="14" s="1"/>
  <c r="S36" i="14" s="1"/>
  <c r="T36" i="14"/>
  <c r="P37" i="14"/>
  <c r="Q37" i="14" s="1"/>
  <c r="R37" i="14" s="1"/>
  <c r="S37" i="14" s="1"/>
  <c r="P39" i="14"/>
  <c r="Q39" i="14" s="1"/>
  <c r="R39" i="14" s="1"/>
  <c r="S39" i="14" s="1"/>
  <c r="P35" i="16"/>
  <c r="Q35" i="16" s="1"/>
  <c r="R35" i="16" s="1"/>
  <c r="S35" i="16" s="1"/>
  <c r="T35" i="16"/>
  <c r="P7" i="15"/>
  <c r="Q7" i="15" s="1"/>
  <c r="R7" i="15" s="1"/>
  <c r="S7" i="15" s="1"/>
  <c r="P13" i="15"/>
  <c r="Q13" i="15" s="1"/>
  <c r="R13" i="15" s="1"/>
  <c r="S13" i="15" s="1"/>
  <c r="T36" i="21"/>
  <c r="T26" i="20"/>
  <c r="T32" i="22"/>
  <c r="T17" i="25"/>
  <c r="V17" i="25" s="1"/>
  <c r="W17" i="25" s="1"/>
  <c r="T38" i="31"/>
  <c r="T22" i="32"/>
  <c r="T23" i="33"/>
  <c r="T34" i="20"/>
  <c r="T15" i="22"/>
  <c r="T31" i="29"/>
  <c r="T19" i="31"/>
  <c r="Q16" i="33"/>
  <c r="R16" i="33" s="1"/>
  <c r="S16" i="33" s="1"/>
  <c r="T16" i="33"/>
  <c r="V16" i="33" s="1"/>
  <c r="W16" i="33" s="1"/>
  <c r="T10" i="37"/>
  <c r="V10" i="37" s="1"/>
  <c r="W10" i="37" s="1"/>
  <c r="T23" i="40"/>
  <c r="T14" i="38"/>
  <c r="V14" i="38" s="1"/>
  <c r="W14" i="38" s="1"/>
  <c r="P18" i="16"/>
  <c r="Q18" i="16" s="1"/>
  <c r="R18" i="16" s="1"/>
  <c r="S18" i="16" s="1"/>
  <c r="T18" i="16"/>
  <c r="T18" i="21"/>
  <c r="T30" i="22"/>
  <c r="T23" i="21"/>
  <c r="T22" i="20"/>
  <c r="T30" i="29"/>
  <c r="T30" i="24"/>
  <c r="T10" i="25"/>
  <c r="V10" i="25" s="1"/>
  <c r="W10" i="25" s="1"/>
  <c r="T39" i="31"/>
  <c r="T26" i="33"/>
  <c r="T17" i="35"/>
  <c r="V17" i="35" s="1"/>
  <c r="W17" i="35" s="1"/>
  <c r="T25" i="37"/>
  <c r="T19" i="40"/>
  <c r="T31" i="38"/>
  <c r="P32" i="16"/>
  <c r="Q32" i="16" s="1"/>
  <c r="R32" i="16" s="1"/>
  <c r="S32" i="16" s="1"/>
  <c r="T32" i="16"/>
  <c r="T21" i="36"/>
  <c r="T11" i="31"/>
  <c r="V11" i="31" s="1"/>
  <c r="W11" i="31" s="1"/>
  <c r="T42" i="33"/>
  <c r="T39" i="35"/>
  <c r="T21" i="34"/>
  <c r="T31" i="40"/>
  <c r="T12" i="38"/>
  <c r="V12" i="38" s="1"/>
  <c r="W12" i="38" s="1"/>
  <c r="P41" i="16"/>
  <c r="Q41" i="16" s="1"/>
  <c r="R41" i="16" s="1"/>
  <c r="S41" i="16" s="1"/>
  <c r="T41" i="16"/>
  <c r="P15" i="16"/>
  <c r="Q15" i="16" s="1"/>
  <c r="R15" i="16" s="1"/>
  <c r="S15" i="16" s="1"/>
  <c r="T15" i="16"/>
  <c r="T38" i="21"/>
  <c r="T25" i="22"/>
  <c r="T34" i="29"/>
  <c r="T29" i="24"/>
  <c r="T39" i="32"/>
  <c r="T20" i="33"/>
  <c r="T25" i="35"/>
  <c r="T39" i="37"/>
  <c r="T13" i="40"/>
  <c r="V13" i="40" s="1"/>
  <c r="W13" i="40" s="1"/>
  <c r="T11" i="37"/>
  <c r="V11" i="37" s="1"/>
  <c r="W11" i="37" s="1"/>
  <c r="T25" i="36"/>
  <c r="P20" i="19"/>
  <c r="Q20" i="19" s="1"/>
  <c r="R20" i="19" s="1"/>
  <c r="S20" i="19" s="1"/>
  <c r="P11" i="19"/>
  <c r="Q11" i="19" s="1"/>
  <c r="R11" i="19" s="1"/>
  <c r="S11" i="19" s="1"/>
  <c r="P34" i="19"/>
  <c r="Q34" i="19" s="1"/>
  <c r="R34" i="19" s="1"/>
  <c r="S34" i="19" s="1"/>
  <c r="T34" i="19"/>
  <c r="P28" i="19"/>
  <c r="Q28" i="19" s="1"/>
  <c r="R28" i="19" s="1"/>
  <c r="S28" i="19" s="1"/>
  <c r="P14" i="17"/>
  <c r="Q14" i="17" s="1"/>
  <c r="R14" i="17" s="1"/>
  <c r="S14" i="17" s="1"/>
  <c r="P10" i="17"/>
  <c r="Q10" i="17" s="1"/>
  <c r="R10" i="17" s="1"/>
  <c r="S10" i="17" s="1"/>
  <c r="T10" i="17"/>
  <c r="P38" i="17"/>
  <c r="Q38" i="17" s="1"/>
  <c r="R38" i="17" s="1"/>
  <c r="S38" i="17" s="1"/>
  <c r="T38" i="17"/>
  <c r="P15" i="17"/>
  <c r="Q15" i="17" s="1"/>
  <c r="R15" i="17" s="1"/>
  <c r="S15" i="17" s="1"/>
  <c r="P30" i="12"/>
  <c r="Q30" i="12" s="1"/>
  <c r="R30" i="12" s="1"/>
  <c r="S30" i="12" s="1"/>
  <c r="T30" i="12"/>
  <c r="P42" i="12"/>
  <c r="Q42" i="12" s="1"/>
  <c r="R42" i="12" s="1"/>
  <c r="S42" i="12" s="1"/>
  <c r="P27" i="12"/>
  <c r="Q27" i="12" s="1"/>
  <c r="R27" i="12" s="1"/>
  <c r="S27" i="12" s="1"/>
  <c r="T27" i="12"/>
  <c r="P7" i="12"/>
  <c r="Q7" i="12" s="1"/>
  <c r="R7" i="12" s="1"/>
  <c r="S7" i="12" s="1"/>
  <c r="T7" i="12"/>
  <c r="P41" i="14"/>
  <c r="Q41" i="14" s="1"/>
  <c r="R41" i="14" s="1"/>
  <c r="S41" i="14" s="1"/>
  <c r="T41" i="14"/>
  <c r="P42" i="14"/>
  <c r="Q42" i="14" s="1"/>
  <c r="R42" i="14" s="1"/>
  <c r="S42" i="14" s="1"/>
  <c r="P40" i="16"/>
  <c r="Q40" i="16" s="1"/>
  <c r="R40" i="16" s="1"/>
  <c r="S40" i="16" s="1"/>
  <c r="T40" i="16"/>
  <c r="P11" i="15"/>
  <c r="Q11" i="15" s="1"/>
  <c r="R11" i="15" s="1"/>
  <c r="S11" i="15" s="1"/>
  <c r="T11" i="15"/>
  <c r="P12" i="15"/>
  <c r="Q12" i="15" s="1"/>
  <c r="R12" i="15" s="1"/>
  <c r="S12" i="15" s="1"/>
  <c r="P18" i="15"/>
  <c r="Q18" i="15" s="1"/>
  <c r="R18" i="15" s="1"/>
  <c r="S18" i="15" s="1"/>
  <c r="T18" i="15"/>
  <c r="T24" i="21"/>
  <c r="T31" i="22"/>
  <c r="T19" i="29"/>
  <c r="T41" i="24"/>
  <c r="T14" i="23"/>
  <c r="T37" i="32"/>
  <c r="T18" i="33"/>
  <c r="V18" i="33" s="1"/>
  <c r="W18" i="33" s="1"/>
  <c r="T38" i="35"/>
  <c r="T37" i="37"/>
  <c r="T33" i="40"/>
  <c r="T32" i="37"/>
  <c r="T32" i="38"/>
  <c r="T41" i="20"/>
  <c r="T13" i="22"/>
  <c r="T37" i="29"/>
  <c r="T27" i="31"/>
  <c r="T40" i="31"/>
  <c r="T40" i="35"/>
  <c r="T26" i="34"/>
  <c r="T30" i="37"/>
  <c r="T26" i="35"/>
  <c r="T31" i="34"/>
  <c r="P16" i="16"/>
  <c r="Q16" i="16" s="1"/>
  <c r="R16" i="16" s="1"/>
  <c r="S16" i="16" s="1"/>
  <c r="T16" i="16"/>
  <c r="T40" i="21"/>
  <c r="T42" i="20"/>
  <c r="T42" i="29"/>
  <c r="T23" i="24"/>
  <c r="T35" i="25"/>
  <c r="T30" i="33"/>
  <c r="T34" i="35"/>
  <c r="P36" i="16"/>
  <c r="Q36" i="16" s="1"/>
  <c r="R36" i="16" s="1"/>
  <c r="S36" i="16" s="1"/>
  <c r="T36" i="16"/>
  <c r="P13" i="16"/>
  <c r="Q13" i="16" s="1"/>
  <c r="R13" i="16" s="1"/>
  <c r="S13" i="16" s="1"/>
  <c r="T13" i="16"/>
  <c r="P13" i="19"/>
  <c r="Q13" i="19" s="1"/>
  <c r="R13" i="19" s="1"/>
  <c r="S13" i="19" s="1"/>
  <c r="P21" i="19"/>
  <c r="Q21" i="19" s="1"/>
  <c r="R21" i="19" s="1"/>
  <c r="S21" i="19" s="1"/>
  <c r="T21" i="19" s="1"/>
  <c r="P39" i="19"/>
  <c r="Q39" i="19" s="1"/>
  <c r="R39" i="19" s="1"/>
  <c r="S39" i="19" s="1"/>
  <c r="P7" i="19"/>
  <c r="Q7" i="19" s="1"/>
  <c r="R7" i="19" s="1"/>
  <c r="S7" i="19" s="1"/>
  <c r="P9" i="17"/>
  <c r="Q9" i="17" s="1"/>
  <c r="R9" i="17" s="1"/>
  <c r="S9" i="17" s="1"/>
  <c r="P7" i="17"/>
  <c r="Q7" i="17" s="1"/>
  <c r="R7" i="17" s="1"/>
  <c r="S7" i="17" s="1"/>
  <c r="T7" i="17"/>
  <c r="P43" i="17"/>
  <c r="Q43" i="17" s="1"/>
  <c r="R43" i="17" s="1"/>
  <c r="S43" i="17" s="1"/>
  <c r="P41" i="12"/>
  <c r="Q41" i="12" s="1"/>
  <c r="R41" i="12" s="1"/>
  <c r="S41" i="12" s="1"/>
  <c r="P12" i="12"/>
  <c r="Q12" i="12" s="1"/>
  <c r="R12" i="12" s="1"/>
  <c r="S12" i="12" s="1"/>
  <c r="P37" i="12"/>
  <c r="Q37" i="12" s="1"/>
  <c r="R37" i="12" s="1"/>
  <c r="S37" i="12" s="1"/>
  <c r="P22" i="12"/>
  <c r="Q22" i="12" s="1"/>
  <c r="R22" i="12" s="1"/>
  <c r="S22" i="12" s="1"/>
  <c r="P7" i="14"/>
  <c r="Q7" i="14" s="1"/>
  <c r="R7" i="14" s="1"/>
  <c r="S7" i="14" s="1"/>
  <c r="P27" i="14"/>
  <c r="Q27" i="14" s="1"/>
  <c r="R27" i="14" s="1"/>
  <c r="S27" i="14" s="1"/>
  <c r="P14" i="15"/>
  <c r="Q14" i="15" s="1"/>
  <c r="R14" i="15" s="1"/>
  <c r="S14" i="15" s="1"/>
  <c r="T14" i="15" s="1"/>
  <c r="P20" i="15"/>
  <c r="Q20" i="15" s="1"/>
  <c r="R20" i="15" s="1"/>
  <c r="S20" i="15" s="1"/>
  <c r="P27" i="15"/>
  <c r="Q27" i="15" s="1"/>
  <c r="R27" i="15" s="1"/>
  <c r="S27" i="15" s="1"/>
  <c r="T41" i="21"/>
  <c r="T30" i="20"/>
  <c r="T40" i="24"/>
  <c r="T25" i="25"/>
  <c r="T34" i="31"/>
  <c r="T25" i="31"/>
  <c r="T10" i="35"/>
  <c r="V10" i="35" s="1"/>
  <c r="W10" i="35" s="1"/>
  <c r="T28" i="34"/>
  <c r="T27" i="20"/>
  <c r="T42" i="22"/>
  <c r="T11" i="25"/>
  <c r="V11" i="25" s="1"/>
  <c r="W11" i="25" s="1"/>
  <c r="T28" i="37"/>
  <c r="T31" i="36"/>
  <c r="T28" i="38"/>
  <c r="P14" i="16"/>
  <c r="Q14" i="16" s="1"/>
  <c r="R14" i="16" s="1"/>
  <c r="S14" i="16" s="1"/>
  <c r="T14" i="16"/>
  <c r="P38" i="16"/>
  <c r="Q38" i="16" s="1"/>
  <c r="R38" i="16" s="1"/>
  <c r="S38" i="16" s="1"/>
  <c r="T38" i="16"/>
  <c r="T11" i="20"/>
  <c r="T24" i="22"/>
  <c r="T25" i="21"/>
  <c r="T18" i="20"/>
  <c r="T8" i="29"/>
  <c r="V8" i="29" s="1"/>
  <c r="W8" i="29" s="1"/>
  <c r="T8" i="24"/>
  <c r="V8" i="24" s="1"/>
  <c r="W8" i="24" s="1"/>
  <c r="T14" i="24"/>
  <c r="V14" i="24" s="1"/>
  <c r="W14" i="24" s="1"/>
  <c r="T33" i="33"/>
  <c r="T35" i="34"/>
  <c r="T42" i="37"/>
  <c r="T25" i="40"/>
  <c r="T42" i="38"/>
  <c r="T39" i="36"/>
  <c r="T41" i="32"/>
  <c r="T22" i="33"/>
  <c r="T36" i="35"/>
  <c r="T41" i="37"/>
  <c r="P31" i="16"/>
  <c r="Q31" i="16" s="1"/>
  <c r="R31" i="16" s="1"/>
  <c r="S31" i="16" s="1"/>
  <c r="T31" i="16"/>
  <c r="P11" i="16"/>
  <c r="Q11" i="16" s="1"/>
  <c r="R11" i="16" s="1"/>
  <c r="S11" i="16" s="1"/>
  <c r="T11" i="16"/>
  <c r="T27" i="21"/>
  <c r="P18" i="19"/>
  <c r="Q18" i="19" s="1"/>
  <c r="R18" i="19" s="1"/>
  <c r="S18" i="19" s="1"/>
  <c r="T18" i="19"/>
  <c r="P33" i="19"/>
  <c r="Q33" i="19" s="1"/>
  <c r="R33" i="19" s="1"/>
  <c r="S33" i="19" s="1"/>
  <c r="P14" i="19"/>
  <c r="Q14" i="19" s="1"/>
  <c r="R14" i="19" s="1"/>
  <c r="S14" i="19" s="1"/>
  <c r="T14" i="19"/>
  <c r="P31" i="19"/>
  <c r="Q31" i="19" s="1"/>
  <c r="R31" i="19" s="1"/>
  <c r="S31" i="19" s="1"/>
  <c r="P13" i="17"/>
  <c r="Q13" i="17" s="1"/>
  <c r="R13" i="17" s="1"/>
  <c r="S13" i="17" s="1"/>
  <c r="P18" i="17"/>
  <c r="Q18" i="17" s="1"/>
  <c r="R18" i="17" s="1"/>
  <c r="S18" i="17" s="1"/>
  <c r="P8" i="17"/>
  <c r="Q8" i="17" s="1"/>
  <c r="R8" i="17" s="1"/>
  <c r="S8" i="17" s="1"/>
  <c r="P35" i="14"/>
  <c r="Q35" i="14" s="1"/>
  <c r="R35" i="14" s="1"/>
  <c r="S35" i="14" s="1"/>
  <c r="P23" i="12"/>
  <c r="Q23" i="12" s="1"/>
  <c r="R23" i="12" s="1"/>
  <c r="S23" i="12" s="1"/>
  <c r="P31" i="12"/>
  <c r="Q31" i="12" s="1"/>
  <c r="R31" i="12" s="1"/>
  <c r="S31" i="12" s="1"/>
  <c r="T31" i="12"/>
  <c r="P16" i="12"/>
  <c r="Q16" i="12" s="1"/>
  <c r="R16" i="12" s="1"/>
  <c r="S16" i="12" s="1"/>
  <c r="P10" i="14"/>
  <c r="Q10" i="14" s="1"/>
  <c r="R10" i="14" s="1"/>
  <c r="S10" i="14" s="1"/>
  <c r="P11" i="14"/>
  <c r="Q11" i="14" s="1"/>
  <c r="R11" i="14" s="1"/>
  <c r="S11" i="14" s="1"/>
  <c r="P19" i="15"/>
  <c r="Q19" i="15" s="1"/>
  <c r="R19" i="15" s="1"/>
  <c r="S19" i="15" s="1"/>
  <c r="T19" i="15"/>
  <c r="P30" i="15"/>
  <c r="Q30" i="15" s="1"/>
  <c r="R30" i="15" s="1"/>
  <c r="S30" i="15" s="1"/>
  <c r="P32" i="15"/>
  <c r="Q32" i="15" s="1"/>
  <c r="R32" i="15" s="1"/>
  <c r="S32" i="15" s="1"/>
  <c r="P34" i="16"/>
  <c r="Q34" i="16" s="1"/>
  <c r="R34" i="16" s="1"/>
  <c r="S34" i="16" s="1"/>
  <c r="T34" i="16"/>
  <c r="P12" i="16"/>
  <c r="Q12" i="16" s="1"/>
  <c r="R12" i="16" s="1"/>
  <c r="S12" i="16" s="1"/>
  <c r="T12" i="16"/>
  <c r="P33" i="16"/>
  <c r="Q33" i="16" s="1"/>
  <c r="R33" i="16" s="1"/>
  <c r="S33" i="16" s="1"/>
  <c r="T33" i="16"/>
  <c r="P29" i="16"/>
  <c r="Q29" i="16" s="1"/>
  <c r="R29" i="16" s="1"/>
  <c r="S29" i="16" s="1"/>
  <c r="T29" i="16"/>
  <c r="P9" i="16"/>
  <c r="Q9" i="16" s="1"/>
  <c r="R9" i="16" s="1"/>
  <c r="S9" i="16" s="1"/>
  <c r="T9" i="16"/>
  <c r="P23" i="19"/>
  <c r="Q23" i="19" s="1"/>
  <c r="R23" i="19" s="1"/>
  <c r="S23" i="19" s="1"/>
  <c r="T23" i="19"/>
  <c r="P38" i="19"/>
  <c r="Q38" i="19" s="1"/>
  <c r="R38" i="19" s="1"/>
  <c r="S38" i="19" s="1"/>
  <c r="P9" i="19"/>
  <c r="Q9" i="19" s="1"/>
  <c r="R9" i="19" s="1"/>
  <c r="S9" i="19" s="1"/>
  <c r="P36" i="19"/>
  <c r="Q36" i="19" s="1"/>
  <c r="R36" i="19" s="1"/>
  <c r="S36" i="19" s="1"/>
  <c r="P20" i="17"/>
  <c r="Q20" i="17" s="1"/>
  <c r="R20" i="17" s="1"/>
  <c r="S20" i="17" s="1"/>
  <c r="P21" i="17"/>
  <c r="Q21" i="17" s="1"/>
  <c r="R21" i="17" s="1"/>
  <c r="S21" i="17" s="1"/>
  <c r="T21" i="17"/>
  <c r="P22" i="17"/>
  <c r="Q22" i="17" s="1"/>
  <c r="R22" i="17" s="1"/>
  <c r="S22" i="17" s="1"/>
  <c r="T22" i="17"/>
  <c r="P33" i="12"/>
  <c r="Q33" i="12" s="1"/>
  <c r="R33" i="12" s="1"/>
  <c r="S33" i="12" s="1"/>
  <c r="P26" i="12"/>
  <c r="Q26" i="12" s="1"/>
  <c r="R26" i="12" s="1"/>
  <c r="S26" i="12" s="1"/>
  <c r="P10" i="12"/>
  <c r="Q10" i="12" s="1"/>
  <c r="R10" i="12" s="1"/>
  <c r="S10" i="12" s="1"/>
  <c r="T14" i="12"/>
  <c r="P18" i="14"/>
  <c r="Q18" i="14" s="1"/>
  <c r="R18" i="14" s="1"/>
  <c r="S18" i="14" s="1"/>
  <c r="P19" i="14"/>
  <c r="Q19" i="14" s="1"/>
  <c r="R19" i="14" s="1"/>
  <c r="S19" i="14" s="1"/>
  <c r="T19" i="14"/>
  <c r="P8" i="15"/>
  <c r="Q8" i="15" s="1"/>
  <c r="R8" i="15" s="1"/>
  <c r="S8" i="15" s="1"/>
  <c r="P26" i="15"/>
  <c r="Q26" i="15" s="1"/>
  <c r="R26" i="15" s="1"/>
  <c r="S26" i="15" s="1"/>
  <c r="P35" i="15"/>
  <c r="Q35" i="15" s="1"/>
  <c r="R35" i="15" s="1"/>
  <c r="S35" i="15" s="1"/>
  <c r="P37" i="15"/>
  <c r="Q37" i="15" s="1"/>
  <c r="R37" i="15" s="1"/>
  <c r="S37" i="15" s="1"/>
  <c r="P30" i="16"/>
  <c r="Q30" i="16" s="1"/>
  <c r="R30" i="16" s="1"/>
  <c r="S30" i="16" s="1"/>
  <c r="T30" i="16"/>
  <c r="P10" i="16"/>
  <c r="Q10" i="16" s="1"/>
  <c r="R10" i="16" s="1"/>
  <c r="S10" i="16" s="1"/>
  <c r="T10" i="16"/>
  <c r="P27" i="16"/>
  <c r="Q27" i="16" s="1"/>
  <c r="R27" i="16" s="1"/>
  <c r="S27" i="16" s="1"/>
  <c r="T27" i="16"/>
  <c r="P7" i="16"/>
  <c r="Q7" i="16" s="1"/>
  <c r="R7" i="16" s="1"/>
  <c r="S7" i="16" s="1"/>
  <c r="T7" i="16"/>
  <c r="P32" i="19"/>
  <c r="Q32" i="19" s="1"/>
  <c r="R32" i="19" s="1"/>
  <c r="S32" i="19" s="1"/>
  <c r="P16" i="19"/>
  <c r="Q16" i="19" s="1"/>
  <c r="R16" i="19" s="1"/>
  <c r="S16" i="19" s="1"/>
  <c r="P12" i="19"/>
  <c r="Q12" i="19" s="1"/>
  <c r="R12" i="19" s="1"/>
  <c r="S12" i="19" s="1"/>
  <c r="T12" i="19"/>
  <c r="P41" i="19"/>
  <c r="Q41" i="19" s="1"/>
  <c r="R41" i="19" s="1"/>
  <c r="S41" i="19" s="1"/>
  <c r="P23" i="17"/>
  <c r="Q23" i="17" s="1"/>
  <c r="R23" i="17" s="1"/>
  <c r="S23" i="17" s="1"/>
  <c r="P24" i="17"/>
  <c r="Q24" i="17" s="1"/>
  <c r="R24" i="17" s="1"/>
  <c r="S24" i="17" s="1"/>
  <c r="P25" i="17"/>
  <c r="Q25" i="17" s="1"/>
  <c r="R25" i="17" s="1"/>
  <c r="S25" i="17" s="1"/>
  <c r="P44" i="12"/>
  <c r="Q44" i="12" s="1"/>
  <c r="R44" i="12" s="1"/>
  <c r="S44" i="12" s="1"/>
  <c r="T44" i="12"/>
  <c r="P21" i="12"/>
  <c r="Q21" i="12" s="1"/>
  <c r="R21" i="12" s="1"/>
  <c r="S21" i="12" s="1"/>
  <c r="T21" i="12" s="1"/>
  <c r="P40" i="12"/>
  <c r="Q40" i="12" s="1"/>
  <c r="R40" i="12" s="1"/>
  <c r="S40" i="12" s="1"/>
  <c r="T40" i="12"/>
  <c r="P12" i="14"/>
  <c r="Q12" i="14" s="1"/>
  <c r="R12" i="14" s="1"/>
  <c r="S12" i="14" s="1"/>
  <c r="P25" i="14"/>
  <c r="Q25" i="14" s="1"/>
  <c r="R25" i="14" s="1"/>
  <c r="S25" i="14" s="1"/>
  <c r="P29" i="15"/>
  <c r="Q29" i="15" s="1"/>
  <c r="R29" i="15" s="1"/>
  <c r="S29" i="15" s="1"/>
  <c r="P34" i="15"/>
  <c r="Q34" i="15" s="1"/>
  <c r="R34" i="15" s="1"/>
  <c r="S34" i="15" s="1"/>
  <c r="P40" i="15"/>
  <c r="Q40" i="15" s="1"/>
  <c r="R40" i="15" s="1"/>
  <c r="S40" i="15" s="1"/>
  <c r="T40" i="15"/>
  <c r="T39" i="21"/>
  <c r="T29" i="20"/>
  <c r="T41" i="22"/>
  <c r="T19" i="25"/>
  <c r="T13" i="31"/>
  <c r="V13" i="31" s="1"/>
  <c r="W13" i="31" s="1"/>
  <c r="T24" i="32"/>
  <c r="T30" i="34"/>
  <c r="T34" i="37"/>
  <c r="T17" i="36"/>
  <c r="V17" i="36" s="1"/>
  <c r="W17" i="36" s="1"/>
  <c r="T23" i="38"/>
  <c r="T42" i="40"/>
  <c r="T34" i="21"/>
  <c r="T21" i="20"/>
  <c r="T11" i="24"/>
  <c r="V11" i="24" s="1"/>
  <c r="W11" i="24" s="1"/>
  <c r="T12" i="25"/>
  <c r="V12" i="25" s="1"/>
  <c r="W12" i="25" s="1"/>
  <c r="T33" i="32"/>
  <c r="T34" i="33"/>
  <c r="T32" i="35"/>
  <c r="T8" i="40"/>
  <c r="V8" i="40" s="1"/>
  <c r="W8" i="40" s="1"/>
  <c r="T18" i="37"/>
  <c r="V18" i="37" s="1"/>
  <c r="W18" i="37" s="1"/>
  <c r="T39" i="33"/>
  <c r="T9" i="35"/>
  <c r="V9" i="35" s="1"/>
  <c r="W9" i="35" s="1"/>
  <c r="P28" i="16"/>
  <c r="Q28" i="16" s="1"/>
  <c r="R28" i="16" s="1"/>
  <c r="S28" i="16" s="1"/>
  <c r="T28" i="16"/>
  <c r="P8" i="16"/>
  <c r="Q8" i="16" s="1"/>
  <c r="R8" i="16" s="1"/>
  <c r="S8" i="16" s="1"/>
  <c r="T8" i="16"/>
  <c r="T28" i="20"/>
  <c r="T37" i="22"/>
  <c r="T18" i="29"/>
  <c r="V18" i="29" s="1"/>
  <c r="W18" i="29" s="1"/>
  <c r="T36" i="32"/>
  <c r="T17" i="33"/>
  <c r="V17" i="33" s="1"/>
  <c r="W17" i="33" s="1"/>
  <c r="T22" i="34"/>
  <c r="T26" i="37"/>
  <c r="T36" i="36"/>
  <c r="T26" i="38"/>
  <c r="T15" i="25"/>
  <c r="V15" i="25" s="1"/>
  <c r="W15" i="25" s="1"/>
  <c r="T33" i="31"/>
  <c r="T37" i="35"/>
  <c r="T12" i="40"/>
  <c r="V12" i="40" s="1"/>
  <c r="W12" i="40" s="1"/>
  <c r="T33" i="38"/>
  <c r="T22" i="21"/>
  <c r="T38" i="22"/>
  <c r="T39" i="29"/>
  <c r="T38" i="24"/>
  <c r="T27" i="24"/>
  <c r="T15" i="32"/>
  <c r="V15" i="32" s="1"/>
  <c r="W15" i="32" s="1"/>
  <c r="T31" i="33"/>
  <c r="T23" i="37"/>
  <c r="T11" i="40"/>
  <c r="V11" i="40" s="1"/>
  <c r="W11" i="40" s="1"/>
  <c r="T15" i="38"/>
  <c r="V15" i="38" s="1"/>
  <c r="W15" i="38" s="1"/>
  <c r="T10" i="21"/>
  <c r="T10" i="20"/>
  <c r="T16" i="22"/>
  <c r="T12" i="29"/>
  <c r="V12" i="29" s="1"/>
  <c r="W12" i="29" s="1"/>
  <c r="T32" i="25"/>
  <c r="P25" i="16"/>
  <c r="Q25" i="16" s="1"/>
  <c r="R25" i="16" s="1"/>
  <c r="S25" i="16" s="1"/>
  <c r="T25" i="16"/>
  <c r="P37" i="19"/>
  <c r="Q37" i="19" s="1"/>
  <c r="R37" i="19" s="1"/>
  <c r="S37" i="19" s="1"/>
  <c r="T37" i="19"/>
  <c r="P24" i="19"/>
  <c r="Q24" i="19" s="1"/>
  <c r="R24" i="19" s="1"/>
  <c r="S24" i="19" s="1"/>
  <c r="P22" i="19"/>
  <c r="Q22" i="19" s="1"/>
  <c r="R22" i="19" s="1"/>
  <c r="S22" i="19" s="1"/>
  <c r="P12" i="17"/>
  <c r="Q12" i="17" s="1"/>
  <c r="R12" i="17" s="1"/>
  <c r="S12" i="17" s="1"/>
  <c r="P26" i="17"/>
  <c r="Q26" i="17" s="1"/>
  <c r="R26" i="17" s="1"/>
  <c r="S26" i="17" s="1"/>
  <c r="P37" i="17"/>
  <c r="Q37" i="17" s="1"/>
  <c r="R37" i="17" s="1"/>
  <c r="S37" i="17" s="1"/>
  <c r="P28" i="17"/>
  <c r="Q28" i="17" s="1"/>
  <c r="R28" i="17" s="1"/>
  <c r="S28" i="17" s="1"/>
  <c r="T33" i="14"/>
  <c r="P15" i="12"/>
  <c r="Q15" i="12" s="1"/>
  <c r="R15" i="12" s="1"/>
  <c r="S15" i="12" s="1"/>
  <c r="P34" i="12"/>
  <c r="Q34" i="12" s="1"/>
  <c r="R34" i="12" s="1"/>
  <c r="S34" i="12" s="1"/>
  <c r="T34" i="12" s="1"/>
  <c r="P15" i="14"/>
  <c r="Q15" i="14" s="1"/>
  <c r="R15" i="14" s="1"/>
  <c r="S15" i="14" s="1"/>
  <c r="P26" i="14"/>
  <c r="Q26" i="14" s="1"/>
  <c r="R26" i="14" s="1"/>
  <c r="S26" i="14" s="1"/>
  <c r="P30" i="14"/>
  <c r="Q30" i="14" s="1"/>
  <c r="R30" i="14" s="1"/>
  <c r="S30" i="14" s="1"/>
  <c r="T30" i="14"/>
  <c r="T22" i="14"/>
  <c r="P10" i="15"/>
  <c r="Q10" i="15" s="1"/>
  <c r="R10" i="15" s="1"/>
  <c r="S10" i="15" s="1"/>
  <c r="P39" i="15"/>
  <c r="Q39" i="15" s="1"/>
  <c r="R39" i="15" s="1"/>
  <c r="S39" i="15" s="1"/>
  <c r="P15" i="15"/>
  <c r="Q15" i="15" s="1"/>
  <c r="R15" i="15" s="1"/>
  <c r="S15" i="15" s="1"/>
  <c r="T15" i="15"/>
  <c r="T16" i="14"/>
  <c r="P26" i="16"/>
  <c r="Q26" i="16" s="1"/>
  <c r="R26" i="16" s="1"/>
  <c r="S26" i="16" s="1"/>
  <c r="T26" i="16"/>
  <c r="P6" i="16"/>
  <c r="Q6" i="16" s="1"/>
  <c r="R6" i="16" s="1"/>
  <c r="S6" i="16" s="1"/>
  <c r="T6" i="16"/>
  <c r="P23" i="16"/>
  <c r="Q23" i="16" s="1"/>
  <c r="R23" i="16" s="1"/>
  <c r="S23" i="16" s="1"/>
  <c r="T23" i="16"/>
  <c r="P42" i="19"/>
  <c r="Q42" i="19" s="1"/>
  <c r="R42" i="19" s="1"/>
  <c r="S42" i="19" s="1"/>
  <c r="P27" i="19"/>
  <c r="Q27" i="19" s="1"/>
  <c r="R27" i="19" s="1"/>
  <c r="S27" i="19" s="1"/>
  <c r="P35" i="19"/>
  <c r="Q35" i="19" s="1"/>
  <c r="R35" i="19" s="1"/>
  <c r="S35" i="19" s="1"/>
  <c r="P16" i="17"/>
  <c r="Q16" i="17" s="1"/>
  <c r="R16" i="17" s="1"/>
  <c r="S16" i="17" s="1"/>
  <c r="P42" i="17"/>
  <c r="Q42" i="17" s="1"/>
  <c r="R42" i="17" s="1"/>
  <c r="S42" i="17" s="1"/>
  <c r="T42" i="17" s="1"/>
  <c r="P19" i="17"/>
  <c r="Q19" i="17" s="1"/>
  <c r="R19" i="17" s="1"/>
  <c r="S19" i="17" s="1"/>
  <c r="T19" i="17"/>
  <c r="P40" i="14"/>
  <c r="Q40" i="14" s="1"/>
  <c r="R40" i="14" s="1"/>
  <c r="S40" i="14" s="1"/>
  <c r="P9" i="12"/>
  <c r="Q9" i="12" s="1"/>
  <c r="R9" i="12" s="1"/>
  <c r="S9" i="12" s="1"/>
  <c r="P29" i="12"/>
  <c r="Q29" i="12" s="1"/>
  <c r="R29" i="12" s="1"/>
  <c r="S29" i="12" s="1"/>
  <c r="P21" i="14"/>
  <c r="Q21" i="14" s="1"/>
  <c r="R21" i="14" s="1"/>
  <c r="S21" i="14" s="1"/>
  <c r="P13" i="14"/>
  <c r="Q13" i="14" s="1"/>
  <c r="R13" i="14" s="1"/>
  <c r="S13" i="14" s="1"/>
  <c r="P14" i="14"/>
  <c r="Q14" i="14" s="1"/>
  <c r="R14" i="14" s="1"/>
  <c r="S14" i="14" s="1"/>
  <c r="P16" i="15"/>
  <c r="Q16" i="15" s="1"/>
  <c r="R16" i="15" s="1"/>
  <c r="S16" i="15" s="1"/>
  <c r="T16" i="15"/>
  <c r="P9" i="15"/>
  <c r="Q9" i="15" s="1"/>
  <c r="R9" i="15" s="1"/>
  <c r="S9" i="15" s="1"/>
  <c r="P31" i="15"/>
  <c r="Q31" i="15" s="1"/>
  <c r="R31" i="15" s="1"/>
  <c r="S31" i="15" s="1"/>
  <c r="T5" i="40"/>
  <c r="V5" i="40" s="1"/>
  <c r="W5" i="40" s="1"/>
  <c r="T7" i="40"/>
  <c r="V7" i="40" s="1"/>
  <c r="W7" i="40" s="1"/>
  <c r="T4" i="40"/>
  <c r="V4" i="40" s="1"/>
  <c r="W4" i="40" s="1"/>
  <c r="J34" i="12"/>
  <c r="T2" i="39"/>
  <c r="V2" i="39" s="1"/>
  <c r="W2" i="39" s="1"/>
  <c r="T6" i="39"/>
  <c r="V6" i="39" s="1"/>
  <c r="W6" i="39" s="1"/>
  <c r="T7" i="37"/>
  <c r="V7" i="37" s="1"/>
  <c r="W7" i="37" s="1"/>
  <c r="T7" i="35"/>
  <c r="V7" i="35" s="1"/>
  <c r="W7" i="35" s="1"/>
  <c r="T3" i="35"/>
  <c r="V3" i="35" s="1"/>
  <c r="W3" i="35" s="1"/>
  <c r="G28" i="26"/>
  <c r="J28" i="26" s="1"/>
  <c r="K28" i="26" s="1"/>
  <c r="L28" i="26" s="1"/>
  <c r="I28" i="26"/>
  <c r="A31" i="26"/>
  <c r="D30" i="26"/>
  <c r="I10" i="26"/>
  <c r="G10" i="26"/>
  <c r="J10" i="26" s="1"/>
  <c r="A12" i="26"/>
  <c r="D11" i="26"/>
  <c r="T6" i="24"/>
  <c r="V6" i="24" s="1"/>
  <c r="W6" i="24" s="1"/>
  <c r="T4" i="24"/>
  <c r="V4" i="24" s="1"/>
  <c r="W4" i="24" s="1"/>
  <c r="T3" i="24"/>
  <c r="V3" i="24" s="1"/>
  <c r="W3" i="24" s="1"/>
  <c r="T6" i="25"/>
  <c r="V6" i="25" s="1"/>
  <c r="W6" i="25" s="1"/>
  <c r="T3" i="25"/>
  <c r="V3" i="25" s="1"/>
  <c r="W3" i="25" s="1"/>
  <c r="T3" i="22"/>
  <c r="V3" i="22" s="1"/>
  <c r="W3" i="22" s="1"/>
  <c r="P5" i="19"/>
  <c r="Q5" i="19" s="1"/>
  <c r="R5" i="19" s="1"/>
  <c r="S5" i="19" s="1"/>
  <c r="O3" i="19"/>
  <c r="P3" i="19" s="1"/>
  <c r="Q3" i="19" s="1"/>
  <c r="R3" i="19" s="1"/>
  <c r="S3" i="19" s="1"/>
  <c r="O2" i="19"/>
  <c r="P2" i="19" s="1"/>
  <c r="Q2" i="19" s="1"/>
  <c r="R2" i="19" s="1"/>
  <c r="S2" i="19" s="1"/>
  <c r="O3" i="17"/>
  <c r="P3" i="17" s="1"/>
  <c r="Q3" i="17" s="1"/>
  <c r="R3" i="17" s="1"/>
  <c r="S3" i="17" s="1"/>
  <c r="O2" i="17"/>
  <c r="P2" i="17" s="1"/>
  <c r="Q2" i="17" s="1"/>
  <c r="R2" i="17" s="1"/>
  <c r="S2" i="17" s="1"/>
  <c r="O4" i="17"/>
  <c r="P4" i="17" s="1"/>
  <c r="Q4" i="17" s="1"/>
  <c r="R4" i="17" s="1"/>
  <c r="S4" i="17" s="1"/>
  <c r="O2" i="14"/>
  <c r="P2" i="14" s="1"/>
  <c r="Q2" i="14" s="1"/>
  <c r="R2" i="14" s="1"/>
  <c r="S2" i="14" s="1"/>
  <c r="I32" i="14"/>
  <c r="T24" i="15"/>
  <c r="T25" i="15"/>
  <c r="T4" i="19"/>
  <c r="V4" i="19" s="1"/>
  <c r="W4" i="19" s="1"/>
  <c r="T5" i="14"/>
  <c r="V5" i="14" s="1"/>
  <c r="W5" i="14" s="1"/>
  <c r="T2" i="36"/>
  <c r="V2" i="36" s="1"/>
  <c r="W2" i="36" s="1"/>
  <c r="T4" i="35"/>
  <c r="V4" i="35" s="1"/>
  <c r="W4" i="35" s="1"/>
  <c r="T2" i="24"/>
  <c r="V2" i="24" s="1"/>
  <c r="W2" i="24" s="1"/>
  <c r="T2" i="37"/>
  <c r="V2" i="37" s="1"/>
  <c r="W2" i="37" s="1"/>
  <c r="T2" i="35"/>
  <c r="V2" i="35" s="1"/>
  <c r="W2" i="35" s="1"/>
  <c r="P3" i="14"/>
  <c r="Q3" i="14" s="1"/>
  <c r="R3" i="14" s="1"/>
  <c r="S3" i="14" s="1"/>
  <c r="T2" i="20"/>
  <c r="V2" i="20" s="1"/>
  <c r="W2" i="20" s="1"/>
  <c r="T4" i="14"/>
  <c r="V4" i="14" s="1"/>
  <c r="W4" i="14" s="1"/>
  <c r="T2" i="21"/>
  <c r="V2" i="21" s="1"/>
  <c r="V7" i="21" s="1"/>
  <c r="T2" i="22"/>
  <c r="V2" i="22" s="1"/>
  <c r="T3" i="20"/>
  <c r="V3" i="20" s="1"/>
  <c r="W3" i="20" s="1"/>
  <c r="T4" i="25"/>
  <c r="V4" i="25" s="1"/>
  <c r="W4" i="25" s="1"/>
  <c r="T2" i="25"/>
  <c r="V2" i="25" s="1"/>
  <c r="W2" i="25" s="1"/>
  <c r="T6" i="38"/>
  <c r="V6" i="38" s="1"/>
  <c r="W6" i="38" s="1"/>
  <c r="T5" i="38"/>
  <c r="V5" i="38" s="1"/>
  <c r="W5" i="38" s="1"/>
  <c r="T3" i="38"/>
  <c r="V3" i="38" s="1"/>
  <c r="W3" i="38" s="1"/>
  <c r="T4" i="38"/>
  <c r="V4" i="38" s="1"/>
  <c r="W4" i="38" s="1"/>
  <c r="T7" i="38"/>
  <c r="V7" i="38" s="1"/>
  <c r="W7" i="38" s="1"/>
  <c r="P2" i="38"/>
  <c r="Q2" i="38" s="1"/>
  <c r="R2" i="38" s="1"/>
  <c r="S2" i="38" s="1"/>
  <c r="T2" i="31"/>
  <c r="V2" i="31" s="1"/>
  <c r="W2" i="31" s="1"/>
  <c r="J36" i="19"/>
  <c r="J31" i="15"/>
  <c r="K2" i="19"/>
  <c r="L2" i="19" s="1"/>
  <c r="L36" i="19" s="1"/>
  <c r="T7" i="23"/>
  <c r="T8" i="23"/>
  <c r="P4" i="23"/>
  <c r="Q4" i="23" s="1"/>
  <c r="S4" i="23" s="1"/>
  <c r="T2" i="23"/>
  <c r="V2" i="23" s="1"/>
  <c r="W2" i="23" s="1"/>
  <c r="T5" i="23"/>
  <c r="V5" i="23" s="1"/>
  <c r="W5" i="23" s="1"/>
  <c r="T6" i="23"/>
  <c r="I34" i="17"/>
  <c r="T32" i="17"/>
  <c r="O5" i="17"/>
  <c r="L34" i="12"/>
  <c r="K34" i="12"/>
  <c r="J34" i="17"/>
  <c r="K5" i="15"/>
  <c r="L5" i="15" s="1"/>
  <c r="L31" i="15" s="1"/>
  <c r="K2" i="17"/>
  <c r="L2" i="17" s="1"/>
  <c r="L34" i="17" s="1"/>
  <c r="V7" i="16"/>
  <c r="W2" i="16"/>
  <c r="W7" i="16" s="1"/>
  <c r="K32" i="16"/>
  <c r="L2" i="16"/>
  <c r="L32" i="16" s="1"/>
  <c r="T22" i="15"/>
  <c r="T23" i="15"/>
  <c r="T4" i="15"/>
  <c r="V4" i="15" s="1"/>
  <c r="W4" i="15" s="1"/>
  <c r="T5" i="15"/>
  <c r="V5" i="15" s="1"/>
  <c r="W5" i="15" s="1"/>
  <c r="T3" i="15"/>
  <c r="V3" i="15" s="1"/>
  <c r="W3" i="15" s="1"/>
  <c r="T2" i="15"/>
  <c r="V2" i="15" s="1"/>
  <c r="J32" i="14"/>
  <c r="K32" i="14"/>
  <c r="L2" i="14"/>
  <c r="L32" i="14" s="1"/>
  <c r="T3" i="12"/>
  <c r="V3" i="12" s="1"/>
  <c r="W3" i="12" s="1"/>
  <c r="T2" i="12"/>
  <c r="V2" i="12" s="1"/>
  <c r="O4" i="12"/>
  <c r="O5" i="12"/>
  <c r="K18" i="4"/>
  <c r="L18" i="4" s="1"/>
  <c r="K7" i="5"/>
  <c r="L7" i="5" s="1"/>
  <c r="G9" i="11"/>
  <c r="J9" i="11" s="1"/>
  <c r="K9" i="11" s="1"/>
  <c r="L9" i="11" s="1"/>
  <c r="G10" i="11"/>
  <c r="J10" i="11" s="1"/>
  <c r="K10" i="11" s="1"/>
  <c r="L10" i="11" s="1"/>
  <c r="G11" i="11"/>
  <c r="J11" i="11" s="1"/>
  <c r="K11" i="11" s="1"/>
  <c r="L11" i="11" s="1"/>
  <c r="G12" i="11"/>
  <c r="J12" i="11" s="1"/>
  <c r="K12" i="11" s="1"/>
  <c r="L12" i="11" s="1"/>
  <c r="G13" i="11"/>
  <c r="J13" i="11" s="1"/>
  <c r="K13" i="11" s="1"/>
  <c r="L13" i="11" s="1"/>
  <c r="G14" i="11"/>
  <c r="J14" i="11" s="1"/>
  <c r="K14" i="11" s="1"/>
  <c r="L14" i="11" s="1"/>
  <c r="G15" i="11"/>
  <c r="J15" i="11" s="1"/>
  <c r="K15" i="11" s="1"/>
  <c r="L15" i="11" s="1"/>
  <c r="G16" i="11"/>
  <c r="J16" i="11" s="1"/>
  <c r="K16" i="11" s="1"/>
  <c r="L16" i="11" s="1"/>
  <c r="G17" i="11"/>
  <c r="J17" i="11" s="1"/>
  <c r="G6" i="11"/>
  <c r="J6" i="11" s="1"/>
  <c r="K6" i="11" s="1"/>
  <c r="L6" i="11" s="1"/>
  <c r="G3" i="11"/>
  <c r="J3" i="11" s="1"/>
  <c r="K3" i="11" s="1"/>
  <c r="L3" i="11" s="1"/>
  <c r="N2" i="11" a="1"/>
  <c r="O1" i="11" a="1"/>
  <c r="O1" i="11" s="1"/>
  <c r="N2" i="10" a="1"/>
  <c r="N2" i="10" s="1"/>
  <c r="I7" i="5"/>
  <c r="G7" i="5"/>
  <c r="F18" i="4"/>
  <c r="I18" i="4" s="1"/>
  <c r="I10" i="4"/>
  <c r="G10" i="4"/>
  <c r="J10" i="4" s="1"/>
  <c r="K10" i="4" s="1"/>
  <c r="L10" i="4" s="1"/>
  <c r="C13" i="13"/>
  <c r="C6" i="13"/>
  <c r="E17" i="13"/>
  <c r="D7" i="13"/>
  <c r="C17" i="13"/>
  <c r="E13" i="13"/>
  <c r="E12" i="13"/>
  <c r="V7" i="22" l="1"/>
  <c r="T39" i="19"/>
  <c r="T42" i="14"/>
  <c r="T25" i="19"/>
  <c r="T8" i="12"/>
  <c r="T28" i="14"/>
  <c r="T20" i="14"/>
  <c r="T6" i="19"/>
  <c r="T37" i="17"/>
  <c r="T29" i="15"/>
  <c r="T11" i="19"/>
  <c r="T10" i="19"/>
  <c r="T23" i="17"/>
  <c r="T9" i="19"/>
  <c r="T34" i="17"/>
  <c r="T13" i="14"/>
  <c r="T20" i="19"/>
  <c r="T19" i="12"/>
  <c r="T8" i="19"/>
  <c r="T31" i="14"/>
  <c r="T29" i="14"/>
  <c r="T35" i="19"/>
  <c r="T12" i="17"/>
  <c r="T41" i="19"/>
  <c r="T33" i="12"/>
  <c r="T38" i="19"/>
  <c r="T18" i="17"/>
  <c r="T43" i="17"/>
  <c r="T13" i="19"/>
  <c r="T12" i="15"/>
  <c r="T15" i="14"/>
  <c r="T26" i="15"/>
  <c r="T41" i="15"/>
  <c r="T18" i="12"/>
  <c r="T36" i="15"/>
  <c r="T24" i="12"/>
  <c r="T31" i="15"/>
  <c r="T9" i="12"/>
  <c r="T42" i="19"/>
  <c r="T27" i="15"/>
  <c r="T22" i="12"/>
  <c r="T28" i="19"/>
  <c r="T28" i="15"/>
  <c r="T38" i="12"/>
  <c r="T17" i="19"/>
  <c r="T43" i="12"/>
  <c r="T10" i="15"/>
  <c r="T32" i="15"/>
  <c r="T20" i="15"/>
  <c r="T37" i="12"/>
  <c r="T13" i="12"/>
  <c r="T33" i="15"/>
  <c r="O40" i="11"/>
  <c r="O30" i="11"/>
  <c r="O25" i="11"/>
  <c r="O20" i="11"/>
  <c r="O42" i="11"/>
  <c r="O37" i="11"/>
  <c r="O32" i="11"/>
  <c r="O27" i="11"/>
  <c r="O22" i="11"/>
  <c r="O17" i="11"/>
  <c r="O12" i="11"/>
  <c r="P12" i="11" s="1"/>
  <c r="Q12" i="11" s="1"/>
  <c r="R12" i="11" s="1"/>
  <c r="S12" i="11" s="1"/>
  <c r="O41" i="11"/>
  <c r="O36" i="11"/>
  <c r="O31" i="11"/>
  <c r="O26" i="11"/>
  <c r="O21" i="11"/>
  <c r="O16" i="11"/>
  <c r="O15" i="11"/>
  <c r="O39" i="11"/>
  <c r="O34" i="11"/>
  <c r="O29" i="11"/>
  <c r="O24" i="11"/>
  <c r="O19" i="11"/>
  <c r="O13" i="11"/>
  <c r="O14" i="11"/>
  <c r="O38" i="11"/>
  <c r="O33" i="11"/>
  <c r="O28" i="11"/>
  <c r="O23" i="11"/>
  <c r="O18" i="11"/>
  <c r="O35" i="11"/>
  <c r="T21" i="14"/>
  <c r="T37" i="15"/>
  <c r="T18" i="14"/>
  <c r="T11" i="14"/>
  <c r="T23" i="12"/>
  <c r="T13" i="17"/>
  <c r="T27" i="14"/>
  <c r="T12" i="12"/>
  <c r="T9" i="17"/>
  <c r="T34" i="14"/>
  <c r="G18" i="4"/>
  <c r="T9" i="15"/>
  <c r="T29" i="12"/>
  <c r="T16" i="17"/>
  <c r="T15" i="12"/>
  <c r="T35" i="15"/>
  <c r="T10" i="14"/>
  <c r="T35" i="14"/>
  <c r="T31" i="19"/>
  <c r="T7" i="14"/>
  <c r="T41" i="12"/>
  <c r="T7" i="19"/>
  <c r="T42" i="12"/>
  <c r="T14" i="17"/>
  <c r="T32" i="14"/>
  <c r="T27" i="17"/>
  <c r="T26" i="19"/>
  <c r="T22" i="19"/>
  <c r="T25" i="14"/>
  <c r="T25" i="17"/>
  <c r="T16" i="19"/>
  <c r="T10" i="12"/>
  <c r="T20" i="17"/>
  <c r="T39" i="14"/>
  <c r="T32" i="12"/>
  <c r="T41" i="17"/>
  <c r="T15" i="19"/>
  <c r="T39" i="17"/>
  <c r="T19" i="19"/>
  <c r="T17" i="15"/>
  <c r="T17" i="17"/>
  <c r="T28" i="17"/>
  <c r="T24" i="19"/>
  <c r="T12" i="14"/>
  <c r="T24" i="17"/>
  <c r="T32" i="19"/>
  <c r="T26" i="12"/>
  <c r="T36" i="19"/>
  <c r="T13" i="15"/>
  <c r="T37" i="14"/>
  <c r="T38" i="14"/>
  <c r="T40" i="17"/>
  <c r="T11" i="17"/>
  <c r="T29" i="19"/>
  <c r="T14" i="14"/>
  <c r="T40" i="14"/>
  <c r="T27" i="19"/>
  <c r="T26" i="14"/>
  <c r="T8" i="15"/>
  <c r="T30" i="15"/>
  <c r="T16" i="12"/>
  <c r="T8" i="17"/>
  <c r="T33" i="19"/>
  <c r="T15" i="17"/>
  <c r="T39" i="15"/>
  <c r="T26" i="17"/>
  <c r="T34" i="15"/>
  <c r="T7" i="15"/>
  <c r="T23" i="14"/>
  <c r="T44" i="17"/>
  <c r="T30" i="19"/>
  <c r="T35" i="17"/>
  <c r="T24" i="14"/>
  <c r="I11" i="26"/>
  <c r="G11" i="26"/>
  <c r="J11" i="26" s="1"/>
  <c r="K11" i="26" s="1"/>
  <c r="L11" i="26" s="1"/>
  <c r="D12" i="26"/>
  <c r="A13" i="26"/>
  <c r="A14" i="26" s="1"/>
  <c r="A15" i="26" s="1"/>
  <c r="A16" i="26" s="1"/>
  <c r="K10" i="26"/>
  <c r="I30" i="26"/>
  <c r="G30" i="26"/>
  <c r="J30" i="26" s="1"/>
  <c r="K30" i="26" s="1"/>
  <c r="L30" i="26" s="1"/>
  <c r="A32" i="26"/>
  <c r="D31" i="26"/>
  <c r="T5" i="19"/>
  <c r="V5" i="19" s="1"/>
  <c r="W5" i="19" s="1"/>
  <c r="T3" i="19"/>
  <c r="V3" i="19" s="1"/>
  <c r="W3" i="19" s="1"/>
  <c r="T3" i="17"/>
  <c r="V3" i="17" s="1"/>
  <c r="W3" i="17" s="1"/>
  <c r="V7" i="20"/>
  <c r="T2" i="14"/>
  <c r="V2" i="14" s="1"/>
  <c r="W2" i="14" s="1"/>
  <c r="W7" i="20"/>
  <c r="T2" i="19"/>
  <c r="V2" i="19" s="1"/>
  <c r="W2" i="21"/>
  <c r="W7" i="21" s="1"/>
  <c r="W2" i="22"/>
  <c r="W7" i="22" s="1"/>
  <c r="T3" i="14"/>
  <c r="V3" i="14" s="1"/>
  <c r="W3" i="14" s="1"/>
  <c r="T2" i="38"/>
  <c r="V2" i="38" s="1"/>
  <c r="W2" i="38" s="1"/>
  <c r="O11" i="11"/>
  <c r="P11" i="11" s="1"/>
  <c r="Q11" i="11" s="1"/>
  <c r="R11" i="11" s="1"/>
  <c r="S11" i="11" s="1"/>
  <c r="K36" i="19"/>
  <c r="T12" i="11"/>
  <c r="V12" i="11" s="1"/>
  <c r="W12" i="11" s="1"/>
  <c r="O9" i="11"/>
  <c r="P9" i="11" s="1"/>
  <c r="Q9" i="11" s="1"/>
  <c r="R9" i="11" s="1"/>
  <c r="S9" i="11" s="1"/>
  <c r="O10" i="11"/>
  <c r="P10" i="11" s="1"/>
  <c r="Q10" i="11" s="1"/>
  <c r="R10" i="11" s="1"/>
  <c r="S10" i="11" s="1"/>
  <c r="O6" i="11"/>
  <c r="O4" i="11"/>
  <c r="O5" i="11"/>
  <c r="O7" i="11"/>
  <c r="P7" i="11" s="1"/>
  <c r="Q7" i="11" s="1"/>
  <c r="T4" i="23"/>
  <c r="V4" i="23" s="1"/>
  <c r="T2" i="17"/>
  <c r="V2" i="17" s="1"/>
  <c r="W2" i="17" s="1"/>
  <c r="P5" i="17"/>
  <c r="Q5" i="17" s="1"/>
  <c r="R5" i="17" s="1"/>
  <c r="S5" i="17" s="1"/>
  <c r="T4" i="17"/>
  <c r="V4" i="17" s="1"/>
  <c r="W4" i="17" s="1"/>
  <c r="K34" i="17"/>
  <c r="K31" i="15"/>
  <c r="V7" i="15"/>
  <c r="W2" i="15"/>
  <c r="W7" i="15" s="1"/>
  <c r="P5" i="12"/>
  <c r="Q5" i="12" s="1"/>
  <c r="R5" i="12" s="1"/>
  <c r="S5" i="12" s="1"/>
  <c r="P4" i="12"/>
  <c r="Q4" i="12" s="1"/>
  <c r="R4" i="12" s="1"/>
  <c r="S4" i="12" s="1"/>
  <c r="W2" i="12"/>
  <c r="I2" i="11"/>
  <c r="O3" i="11" s="1"/>
  <c r="G2" i="11"/>
  <c r="J2" i="11" s="1"/>
  <c r="K2" i="11" s="1"/>
  <c r="H48" i="11"/>
  <c r="N2" i="11"/>
  <c r="G4" i="11"/>
  <c r="J4" i="11" s="1"/>
  <c r="K4" i="11" s="1"/>
  <c r="L4" i="11" s="1"/>
  <c r="G5" i="11"/>
  <c r="J5" i="11" s="1"/>
  <c r="K5" i="11" s="1"/>
  <c r="L5" i="11" s="1"/>
  <c r="G7" i="11"/>
  <c r="J7" i="11" s="1"/>
  <c r="G8" i="11"/>
  <c r="J8" i="11" s="1"/>
  <c r="O1" i="10" a="1"/>
  <c r="O1" i="10" s="1"/>
  <c r="B4" i="13"/>
  <c r="D17" i="13"/>
  <c r="D6" i="13"/>
  <c r="B5" i="13"/>
  <c r="T11" i="11" l="1"/>
  <c r="V11" i="11" s="1"/>
  <c r="W11" i="11" s="1"/>
  <c r="O5" i="10"/>
  <c r="P5" i="10" s="1"/>
  <c r="Q5" i="10" s="1"/>
  <c r="R5" i="10" s="1"/>
  <c r="S5" i="10" s="1"/>
  <c r="O34" i="10"/>
  <c r="O32" i="10"/>
  <c r="O37" i="10"/>
  <c r="O42" i="10"/>
  <c r="O39" i="10"/>
  <c r="O33" i="10"/>
  <c r="O38" i="10"/>
  <c r="O14" i="10"/>
  <c r="O19" i="10"/>
  <c r="O24" i="10"/>
  <c r="O29" i="10"/>
  <c r="O10" i="10"/>
  <c r="O15" i="10"/>
  <c r="O20" i="10"/>
  <c r="O25" i="10"/>
  <c r="O13" i="10"/>
  <c r="O18" i="10"/>
  <c r="O23" i="10"/>
  <c r="O28" i="10"/>
  <c r="O30" i="10"/>
  <c r="O35" i="10"/>
  <c r="O40" i="10"/>
  <c r="O12" i="10"/>
  <c r="O11" i="10"/>
  <c r="O16" i="10"/>
  <c r="O21" i="10"/>
  <c r="O26" i="10"/>
  <c r="O17" i="10"/>
  <c r="O22" i="10"/>
  <c r="O27" i="10"/>
  <c r="O31" i="10"/>
  <c r="O36" i="10"/>
  <c r="O41" i="10"/>
  <c r="O9" i="10"/>
  <c r="P14" i="11"/>
  <c r="Q14" i="11" s="1"/>
  <c r="R14" i="11" s="1"/>
  <c r="S14" i="11" s="1"/>
  <c r="T14" i="11"/>
  <c r="V14" i="11" s="1"/>
  <c r="W14" i="11" s="1"/>
  <c r="P13" i="11"/>
  <c r="Q13" i="11" s="1"/>
  <c r="R13" i="11" s="1"/>
  <c r="S13" i="11" s="1"/>
  <c r="P31" i="11"/>
  <c r="Q31" i="11" s="1"/>
  <c r="R31" i="11" s="1"/>
  <c r="S31" i="11" s="1"/>
  <c r="P20" i="11"/>
  <c r="Q20" i="11" s="1"/>
  <c r="R20" i="11" s="1"/>
  <c r="S20" i="11" s="1"/>
  <c r="P19" i="11"/>
  <c r="Q19" i="11" s="1"/>
  <c r="R19" i="11" s="1"/>
  <c r="S19" i="11" s="1"/>
  <c r="P36" i="11"/>
  <c r="Q36" i="11" s="1"/>
  <c r="R36" i="11" s="1"/>
  <c r="S36" i="11" s="1"/>
  <c r="P25" i="11"/>
  <c r="Q25" i="11" s="1"/>
  <c r="R25" i="11" s="1"/>
  <c r="S25" i="11" s="1"/>
  <c r="P24" i="11"/>
  <c r="Q24" i="11" s="1"/>
  <c r="R24" i="11" s="1"/>
  <c r="S24" i="11" s="1"/>
  <c r="P41" i="11"/>
  <c r="Q41" i="11" s="1"/>
  <c r="R41" i="11" s="1"/>
  <c r="S41" i="11" s="1"/>
  <c r="P30" i="11"/>
  <c r="Q30" i="11" s="1"/>
  <c r="R30" i="11" s="1"/>
  <c r="S30" i="11" s="1"/>
  <c r="P35" i="11"/>
  <c r="Q35" i="11" s="1"/>
  <c r="R35" i="11" s="1"/>
  <c r="S35" i="11" s="1"/>
  <c r="P29" i="11"/>
  <c r="Q29" i="11" s="1"/>
  <c r="R29" i="11" s="1"/>
  <c r="S29" i="11" s="1"/>
  <c r="P40" i="11"/>
  <c r="Q40" i="11" s="1"/>
  <c r="R40" i="11" s="1"/>
  <c r="S40" i="11" s="1"/>
  <c r="P34" i="11"/>
  <c r="Q34" i="11" s="1"/>
  <c r="R34" i="11" s="1"/>
  <c r="S34" i="11" s="1"/>
  <c r="P17" i="11"/>
  <c r="Q17" i="11" s="1"/>
  <c r="R17" i="11" s="1"/>
  <c r="S17" i="11" s="1"/>
  <c r="T17" i="11" s="1"/>
  <c r="V17" i="11" s="1"/>
  <c r="W17" i="11" s="1"/>
  <c r="P39" i="11"/>
  <c r="Q39" i="11" s="1"/>
  <c r="R39" i="11" s="1"/>
  <c r="S39" i="11" s="1"/>
  <c r="P23" i="11"/>
  <c r="Q23" i="11" s="1"/>
  <c r="R23" i="11" s="1"/>
  <c r="S23" i="11" s="1"/>
  <c r="P15" i="11"/>
  <c r="Q15" i="11" s="1"/>
  <c r="R15" i="11" s="1"/>
  <c r="S15" i="11" s="1"/>
  <c r="P27" i="11"/>
  <c r="Q27" i="11" s="1"/>
  <c r="R27" i="11" s="1"/>
  <c r="S27" i="11" s="1"/>
  <c r="P18" i="11"/>
  <c r="Q18" i="11" s="1"/>
  <c r="R18" i="11" s="1"/>
  <c r="S18" i="11" s="1"/>
  <c r="P22" i="11"/>
  <c r="Q22" i="11" s="1"/>
  <c r="R22" i="11" s="1"/>
  <c r="S22" i="11" s="1"/>
  <c r="P28" i="11"/>
  <c r="Q28" i="11" s="1"/>
  <c r="R28" i="11" s="1"/>
  <c r="S28" i="11" s="1"/>
  <c r="T28" i="11"/>
  <c r="P33" i="11"/>
  <c r="Q33" i="11" s="1"/>
  <c r="R33" i="11" s="1"/>
  <c r="S33" i="11" s="1"/>
  <c r="P16" i="11"/>
  <c r="Q16" i="11" s="1"/>
  <c r="R16" i="11" s="1"/>
  <c r="S16" i="11" s="1"/>
  <c r="P32" i="11"/>
  <c r="Q32" i="11" s="1"/>
  <c r="R32" i="11" s="1"/>
  <c r="S32" i="11" s="1"/>
  <c r="P38" i="11"/>
  <c r="Q38" i="11" s="1"/>
  <c r="R38" i="11" s="1"/>
  <c r="S38" i="11" s="1"/>
  <c r="P21" i="11"/>
  <c r="Q21" i="11" s="1"/>
  <c r="R21" i="11" s="1"/>
  <c r="S21" i="11" s="1"/>
  <c r="P37" i="11"/>
  <c r="Q37" i="11" s="1"/>
  <c r="R37" i="11" s="1"/>
  <c r="S37" i="11" s="1"/>
  <c r="P26" i="11"/>
  <c r="Q26" i="11" s="1"/>
  <c r="R26" i="11" s="1"/>
  <c r="S26" i="11" s="1"/>
  <c r="P42" i="11"/>
  <c r="Q42" i="11" s="1"/>
  <c r="R42" i="11" s="1"/>
  <c r="S42" i="11" s="1"/>
  <c r="T42" i="11"/>
  <c r="V7" i="19"/>
  <c r="V9" i="19" s="1"/>
  <c r="D16" i="26"/>
  <c r="A17" i="26"/>
  <c r="A18" i="26" s="1"/>
  <c r="I31" i="26"/>
  <c r="G31" i="26"/>
  <c r="J31" i="26" s="1"/>
  <c r="K31" i="26" s="1"/>
  <c r="L31" i="26" s="1"/>
  <c r="L10" i="26"/>
  <c r="I12" i="26"/>
  <c r="G12" i="26"/>
  <c r="J12" i="26" s="1"/>
  <c r="D32" i="26"/>
  <c r="A33" i="26"/>
  <c r="O8" i="10"/>
  <c r="O7" i="10"/>
  <c r="P7" i="10" s="1"/>
  <c r="Q7" i="10" s="1"/>
  <c r="W2" i="19"/>
  <c r="W7" i="19" s="1"/>
  <c r="W7" i="14"/>
  <c r="V7" i="14"/>
  <c r="T9" i="11"/>
  <c r="V9" i="11" s="1"/>
  <c r="W9" i="11" s="1"/>
  <c r="T10" i="11"/>
  <c r="V10" i="11" s="1"/>
  <c r="W10" i="11" s="1"/>
  <c r="R7" i="11"/>
  <c r="S7" i="11" s="1"/>
  <c r="O8" i="11"/>
  <c r="W4" i="23"/>
  <c r="W7" i="23" s="1"/>
  <c r="V7" i="23"/>
  <c r="T5" i="17"/>
  <c r="V5" i="17" s="1"/>
  <c r="T4" i="12"/>
  <c r="V4" i="12" s="1"/>
  <c r="T5" i="12"/>
  <c r="V5" i="12" s="1"/>
  <c r="W5" i="12" s="1"/>
  <c r="O2" i="11"/>
  <c r="K48" i="11"/>
  <c r="L2" i="11"/>
  <c r="J48" i="11"/>
  <c r="I48" i="11"/>
  <c r="H35" i="10"/>
  <c r="O6" i="10"/>
  <c r="P6" i="10" s="1"/>
  <c r="Q6" i="10" s="1"/>
  <c r="R6" i="10" s="1"/>
  <c r="S6" i="10" s="1"/>
  <c r="F4" i="9"/>
  <c r="F5" i="9"/>
  <c r="I5" i="9" s="1"/>
  <c r="I6" i="9"/>
  <c r="I7" i="9"/>
  <c r="F8" i="9"/>
  <c r="I8" i="9" s="1"/>
  <c r="I9" i="9"/>
  <c r="I10" i="9"/>
  <c r="I11" i="9"/>
  <c r="F12" i="9"/>
  <c r="G12" i="9" s="1"/>
  <c r="J12" i="9" s="1"/>
  <c r="G14" i="9"/>
  <c r="J14" i="9" s="1"/>
  <c r="F15" i="9"/>
  <c r="I15" i="9" s="1"/>
  <c r="F16" i="9"/>
  <c r="F17" i="9"/>
  <c r="G17" i="9" s="1"/>
  <c r="J17" i="9" s="1"/>
  <c r="F19" i="9"/>
  <c r="I19" i="9" s="1"/>
  <c r="F20" i="9"/>
  <c r="G20" i="9" s="1"/>
  <c r="J20" i="9" s="1"/>
  <c r="G21" i="9"/>
  <c r="J21" i="9" s="1"/>
  <c r="F22" i="9"/>
  <c r="I22" i="9" s="1"/>
  <c r="F23" i="9"/>
  <c r="I23" i="9" s="1"/>
  <c r="F30" i="9"/>
  <c r="I30" i="9" s="1"/>
  <c r="H30" i="9"/>
  <c r="K30" i="9" s="1"/>
  <c r="L30" i="9" s="1"/>
  <c r="H21" i="9"/>
  <c r="H20" i="9"/>
  <c r="G19" i="9"/>
  <c r="J19" i="9" s="1"/>
  <c r="K19" i="9" s="1"/>
  <c r="L19" i="9" s="1"/>
  <c r="I18" i="9"/>
  <c r="H18" i="9"/>
  <c r="G18" i="9"/>
  <c r="J18" i="9" s="1"/>
  <c r="H17" i="9"/>
  <c r="I16" i="9"/>
  <c r="H16" i="9"/>
  <c r="G16" i="9"/>
  <c r="J16" i="9" s="1"/>
  <c r="H15" i="9"/>
  <c r="G15" i="9"/>
  <c r="J15" i="9" s="1"/>
  <c r="H14" i="9"/>
  <c r="G13" i="9"/>
  <c r="J13" i="9" s="1"/>
  <c r="K13" i="9" s="1"/>
  <c r="L13" i="9" s="1"/>
  <c r="I13" i="9"/>
  <c r="I12" i="9"/>
  <c r="H12" i="9"/>
  <c r="H11" i="9"/>
  <c r="H10" i="9"/>
  <c r="G7" i="9"/>
  <c r="J7" i="9" s="1"/>
  <c r="H6" i="9"/>
  <c r="H5" i="9"/>
  <c r="G5" i="9"/>
  <c r="J5" i="9" s="1"/>
  <c r="H4" i="9"/>
  <c r="I4" i="9"/>
  <c r="H3" i="9"/>
  <c r="I3" i="9"/>
  <c r="N2" i="9" a="1"/>
  <c r="H2" i="9"/>
  <c r="F2" i="9"/>
  <c r="I2" i="9" s="1"/>
  <c r="O1" i="9" a="1"/>
  <c r="O1" i="9" s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K29" i="8" s="1"/>
  <c r="L29" i="8" s="1"/>
  <c r="H30" i="8"/>
  <c r="K30" i="8" s="1"/>
  <c r="L30" i="8" s="1"/>
  <c r="H2" i="8"/>
  <c r="F3" i="8"/>
  <c r="I3" i="8" s="1"/>
  <c r="F4" i="8"/>
  <c r="I4" i="8" s="1"/>
  <c r="I5" i="8"/>
  <c r="F6" i="8"/>
  <c r="F7" i="8"/>
  <c r="I7" i="8" s="1"/>
  <c r="F8" i="8"/>
  <c r="I8" i="8" s="1"/>
  <c r="I9" i="8"/>
  <c r="F10" i="8"/>
  <c r="I10" i="8" s="1"/>
  <c r="F11" i="8"/>
  <c r="I11" i="8" s="1"/>
  <c r="F12" i="8"/>
  <c r="I12" i="8" s="1"/>
  <c r="F13" i="8"/>
  <c r="I13" i="8" s="1"/>
  <c r="F14" i="8"/>
  <c r="I14" i="8" s="1"/>
  <c r="F15" i="8"/>
  <c r="I15" i="8" s="1"/>
  <c r="F16" i="8"/>
  <c r="G16" i="8" s="1"/>
  <c r="J16" i="8" s="1"/>
  <c r="F17" i="8"/>
  <c r="I17" i="8" s="1"/>
  <c r="F18" i="8"/>
  <c r="I18" i="8" s="1"/>
  <c r="F19" i="8"/>
  <c r="F20" i="8"/>
  <c r="I20" i="8" s="1"/>
  <c r="F21" i="8"/>
  <c r="I21" i="8" s="1"/>
  <c r="F22" i="8"/>
  <c r="I22" i="8" s="1"/>
  <c r="F23" i="8"/>
  <c r="I23" i="8" s="1"/>
  <c r="F24" i="8"/>
  <c r="I24" i="8" s="1"/>
  <c r="F25" i="8"/>
  <c r="I25" i="8" s="1"/>
  <c r="F26" i="8"/>
  <c r="I26" i="8" s="1"/>
  <c r="F27" i="8"/>
  <c r="I27" i="8" s="1"/>
  <c r="F28" i="8"/>
  <c r="I28" i="8" s="1"/>
  <c r="F29" i="8"/>
  <c r="I29" i="8" s="1"/>
  <c r="F30" i="8"/>
  <c r="I30" i="8" s="1"/>
  <c r="F2" i="8"/>
  <c r="I2" i="8" s="1"/>
  <c r="G21" i="8"/>
  <c r="J21" i="8" s="1"/>
  <c r="I19" i="8"/>
  <c r="I16" i="8"/>
  <c r="G15" i="8"/>
  <c r="J15" i="8" s="1"/>
  <c r="G13" i="8"/>
  <c r="J13" i="8" s="1"/>
  <c r="G6" i="8"/>
  <c r="J6" i="8" s="1"/>
  <c r="I6" i="8"/>
  <c r="G5" i="8"/>
  <c r="J5" i="8" s="1"/>
  <c r="N2" i="8" a="1"/>
  <c r="O1" i="8" a="1"/>
  <c r="O1" i="8" s="1"/>
  <c r="T10" i="5"/>
  <c r="V10" i="5" s="1"/>
  <c r="W10" i="5" s="1"/>
  <c r="AC2" i="5"/>
  <c r="P25" i="6"/>
  <c r="H4" i="6"/>
  <c r="H5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2" i="6"/>
  <c r="H3" i="6"/>
  <c r="F4" i="6"/>
  <c r="I4" i="6" s="1"/>
  <c r="F5" i="6"/>
  <c r="I5" i="6" s="1"/>
  <c r="I6" i="6"/>
  <c r="F7" i="6"/>
  <c r="I7" i="6" s="1"/>
  <c r="F8" i="6"/>
  <c r="I8" i="6" s="1"/>
  <c r="F9" i="6"/>
  <c r="I9" i="6" s="1"/>
  <c r="F10" i="6"/>
  <c r="I10" i="6" s="1"/>
  <c r="F11" i="6"/>
  <c r="I11" i="6" s="1"/>
  <c r="F12" i="6"/>
  <c r="I12" i="6" s="1"/>
  <c r="F13" i="6"/>
  <c r="G13" i="6" s="1"/>
  <c r="F14" i="6"/>
  <c r="I14" i="6" s="1"/>
  <c r="F15" i="6"/>
  <c r="I15" i="6" s="1"/>
  <c r="F16" i="6"/>
  <c r="I16" i="6" s="1"/>
  <c r="F17" i="6"/>
  <c r="I17" i="6" s="1"/>
  <c r="F18" i="6"/>
  <c r="I18" i="6" s="1"/>
  <c r="F19" i="6"/>
  <c r="I19" i="6" s="1"/>
  <c r="F20" i="6"/>
  <c r="I20" i="6" s="1"/>
  <c r="F21" i="6"/>
  <c r="G21" i="6" s="1"/>
  <c r="J21" i="6" s="1"/>
  <c r="F22" i="6"/>
  <c r="F23" i="6"/>
  <c r="I23" i="6" s="1"/>
  <c r="F24" i="6"/>
  <c r="I24" i="6" s="1"/>
  <c r="F25" i="6"/>
  <c r="I25" i="6" s="1"/>
  <c r="F26" i="6"/>
  <c r="I26" i="6" s="1"/>
  <c r="F27" i="6"/>
  <c r="I27" i="6" s="1"/>
  <c r="F28" i="6"/>
  <c r="I28" i="6" s="1"/>
  <c r="F29" i="6"/>
  <c r="I29" i="6" s="1"/>
  <c r="F30" i="6"/>
  <c r="I30" i="6" s="1"/>
  <c r="F2" i="6"/>
  <c r="I2" i="6" s="1"/>
  <c r="G3" i="6"/>
  <c r="J3" i="6" s="1"/>
  <c r="I3" i="6"/>
  <c r="G10" i="6"/>
  <c r="G12" i="6"/>
  <c r="J12" i="6" s="1"/>
  <c r="G14" i="6"/>
  <c r="G16" i="6"/>
  <c r="J16" i="6" s="1"/>
  <c r="G20" i="6"/>
  <c r="G22" i="6"/>
  <c r="I22" i="6"/>
  <c r="G24" i="6"/>
  <c r="J24" i="6" s="1"/>
  <c r="G26" i="6"/>
  <c r="J26" i="6" s="1"/>
  <c r="K26" i="6" s="1"/>
  <c r="L26" i="6" s="1"/>
  <c r="G27" i="6"/>
  <c r="J27" i="6" s="1"/>
  <c r="G29" i="6"/>
  <c r="J29" i="6" s="1"/>
  <c r="N2" i="6" a="1"/>
  <c r="O1" i="6" a="1"/>
  <c r="O1" i="6" s="1"/>
  <c r="C5" i="13"/>
  <c r="C4" i="13"/>
  <c r="B27" i="13"/>
  <c r="D5" i="13"/>
  <c r="B9" i="13"/>
  <c r="D4" i="13"/>
  <c r="I21" i="6" l="1"/>
  <c r="I13" i="6"/>
  <c r="T30" i="11"/>
  <c r="T38" i="11"/>
  <c r="T15" i="11"/>
  <c r="V15" i="11" s="1"/>
  <c r="W15" i="11" s="1"/>
  <c r="T19" i="11"/>
  <c r="O10" i="6"/>
  <c r="O13" i="6"/>
  <c r="O14" i="6"/>
  <c r="O8" i="6"/>
  <c r="O9" i="6"/>
  <c r="O12" i="6"/>
  <c r="O11" i="6"/>
  <c r="O17" i="6"/>
  <c r="O6" i="6"/>
  <c r="O7" i="6"/>
  <c r="O10" i="9"/>
  <c r="O12" i="9"/>
  <c r="O17" i="9"/>
  <c r="O14" i="9"/>
  <c r="O11" i="9"/>
  <c r="O13" i="9"/>
  <c r="O4" i="8"/>
  <c r="P4" i="8" s="1"/>
  <c r="Q4" i="8" s="1"/>
  <c r="R4" i="8" s="1"/>
  <c r="S4" i="8" s="1"/>
  <c r="O11" i="8"/>
  <c r="O13" i="8"/>
  <c r="O8" i="8"/>
  <c r="O17" i="8"/>
  <c r="O6" i="8"/>
  <c r="O14" i="8"/>
  <c r="O10" i="8"/>
  <c r="O5" i="8"/>
  <c r="O12" i="8"/>
  <c r="G8" i="6"/>
  <c r="G17" i="8"/>
  <c r="J17" i="8" s="1"/>
  <c r="G30" i="8"/>
  <c r="J30" i="8" s="1"/>
  <c r="G30" i="9"/>
  <c r="J30" i="9" s="1"/>
  <c r="P22" i="10"/>
  <c r="Q22" i="10" s="1"/>
  <c r="R22" i="10" s="1"/>
  <c r="S22" i="10" s="1"/>
  <c r="P28" i="10"/>
  <c r="Q28" i="10" s="1"/>
  <c r="R28" i="10" s="1"/>
  <c r="S28" i="10" s="1"/>
  <c r="P19" i="10"/>
  <c r="Q19" i="10" s="1"/>
  <c r="R19" i="10" s="1"/>
  <c r="S19" i="10" s="1"/>
  <c r="T19" i="10"/>
  <c r="G19" i="6"/>
  <c r="G11" i="6"/>
  <c r="J11" i="6" s="1"/>
  <c r="G15" i="6"/>
  <c r="J15" i="6" s="1"/>
  <c r="G30" i="6"/>
  <c r="J30" i="6" s="1"/>
  <c r="T37" i="11"/>
  <c r="T16" i="11"/>
  <c r="V16" i="11" s="1"/>
  <c r="W16" i="11" s="1"/>
  <c r="T39" i="11"/>
  <c r="T29" i="11"/>
  <c r="T25" i="11"/>
  <c r="T13" i="11"/>
  <c r="V13" i="11" s="1"/>
  <c r="W13" i="11" s="1"/>
  <c r="P17" i="10"/>
  <c r="Q17" i="10" s="1"/>
  <c r="R17" i="10" s="1"/>
  <c r="S17" i="10" s="1"/>
  <c r="T17" i="10"/>
  <c r="P23" i="10"/>
  <c r="Q23" i="10" s="1"/>
  <c r="R23" i="10" s="1"/>
  <c r="S23" i="10" s="1"/>
  <c r="P14" i="10"/>
  <c r="Q14" i="10" s="1"/>
  <c r="R14" i="10" s="1"/>
  <c r="S14" i="10" s="1"/>
  <c r="T14" i="10"/>
  <c r="P26" i="10"/>
  <c r="Q26" i="10" s="1"/>
  <c r="R26" i="10" s="1"/>
  <c r="S26" i="10" s="1"/>
  <c r="P18" i="10"/>
  <c r="Q18" i="10" s="1"/>
  <c r="R18" i="10" s="1"/>
  <c r="S18" i="10" s="1"/>
  <c r="T18" i="10"/>
  <c r="P38" i="10"/>
  <c r="Q38" i="10" s="1"/>
  <c r="R38" i="10" s="1"/>
  <c r="S38" i="10" s="1"/>
  <c r="G28" i="6"/>
  <c r="J28" i="6" s="1"/>
  <c r="G18" i="8"/>
  <c r="J18" i="8" s="1"/>
  <c r="T21" i="11"/>
  <c r="T33" i="11"/>
  <c r="T27" i="11"/>
  <c r="T35" i="11"/>
  <c r="T36" i="11"/>
  <c r="P21" i="10"/>
  <c r="Q21" i="10" s="1"/>
  <c r="R21" i="10" s="1"/>
  <c r="S21" i="10" s="1"/>
  <c r="P13" i="10"/>
  <c r="Q13" i="10" s="1"/>
  <c r="R13" i="10" s="1"/>
  <c r="S13" i="10" s="1"/>
  <c r="P33" i="10"/>
  <c r="Q33" i="10" s="1"/>
  <c r="R33" i="10" s="1"/>
  <c r="S33" i="10" s="1"/>
  <c r="T33" i="10"/>
  <c r="P16" i="10"/>
  <c r="Q16" i="10" s="1"/>
  <c r="R16" i="10" s="1"/>
  <c r="S16" i="10" s="1"/>
  <c r="T16" i="10"/>
  <c r="P25" i="10"/>
  <c r="Q25" i="10" s="1"/>
  <c r="R25" i="10" s="1"/>
  <c r="S25" i="10" s="1"/>
  <c r="P39" i="10"/>
  <c r="Q39" i="10" s="1"/>
  <c r="R39" i="10" s="1"/>
  <c r="S39" i="10" s="1"/>
  <c r="P9" i="10"/>
  <c r="Q9" i="10" s="1"/>
  <c r="R9" i="10" s="1"/>
  <c r="S9" i="10" s="1"/>
  <c r="P11" i="10"/>
  <c r="Q11" i="10" s="1"/>
  <c r="R11" i="10" s="1"/>
  <c r="S11" i="10" s="1"/>
  <c r="T11" i="10"/>
  <c r="P20" i="10"/>
  <c r="Q20" i="10" s="1"/>
  <c r="R20" i="10" s="1"/>
  <c r="S20" i="10" s="1"/>
  <c r="P42" i="10"/>
  <c r="Q42" i="10" s="1"/>
  <c r="R42" i="10" s="1"/>
  <c r="S42" i="10" s="1"/>
  <c r="G18" i="6"/>
  <c r="J18" i="6" s="1"/>
  <c r="G24" i="8"/>
  <c r="J24" i="8" s="1"/>
  <c r="P41" i="10"/>
  <c r="Q41" i="10" s="1"/>
  <c r="R41" i="10" s="1"/>
  <c r="S41" i="10" s="1"/>
  <c r="P12" i="10"/>
  <c r="Q12" i="10" s="1"/>
  <c r="R12" i="10" s="1"/>
  <c r="S12" i="10" s="1"/>
  <c r="P15" i="10"/>
  <c r="Q15" i="10" s="1"/>
  <c r="R15" i="10" s="1"/>
  <c r="S15" i="10" s="1"/>
  <c r="T15" i="10"/>
  <c r="P37" i="10"/>
  <c r="Q37" i="10" s="1"/>
  <c r="R37" i="10" s="1"/>
  <c r="S37" i="10" s="1"/>
  <c r="G25" i="6"/>
  <c r="J25" i="6" s="1"/>
  <c r="K25" i="6" s="1"/>
  <c r="L25" i="6" s="1"/>
  <c r="G17" i="6"/>
  <c r="J17" i="6" s="1"/>
  <c r="G9" i="6"/>
  <c r="J9" i="6" s="1"/>
  <c r="T26" i="11"/>
  <c r="T22" i="11"/>
  <c r="T23" i="11"/>
  <c r="T34" i="11"/>
  <c r="T41" i="11"/>
  <c r="T20" i="11"/>
  <c r="P36" i="10"/>
  <c r="Q36" i="10" s="1"/>
  <c r="R36" i="10" s="1"/>
  <c r="S36" i="10" s="1"/>
  <c r="P40" i="10"/>
  <c r="Q40" i="10" s="1"/>
  <c r="R40" i="10" s="1"/>
  <c r="S40" i="10" s="1"/>
  <c r="P10" i="10"/>
  <c r="Q10" i="10" s="1"/>
  <c r="R10" i="10" s="1"/>
  <c r="S10" i="10" s="1"/>
  <c r="P32" i="10"/>
  <c r="Q32" i="10" s="1"/>
  <c r="R32" i="10" s="1"/>
  <c r="S32" i="10" s="1"/>
  <c r="P31" i="10"/>
  <c r="Q31" i="10" s="1"/>
  <c r="R31" i="10" s="1"/>
  <c r="S31" i="10" s="1"/>
  <c r="P35" i="10"/>
  <c r="Q35" i="10" s="1"/>
  <c r="R35" i="10" s="1"/>
  <c r="S35" i="10" s="1"/>
  <c r="P29" i="10"/>
  <c r="Q29" i="10" s="1"/>
  <c r="R29" i="10" s="1"/>
  <c r="S29" i="10" s="1"/>
  <c r="P34" i="10"/>
  <c r="Q34" i="10" s="1"/>
  <c r="R34" i="10" s="1"/>
  <c r="S34" i="10" s="1"/>
  <c r="G28" i="8"/>
  <c r="J28" i="8" s="1"/>
  <c r="G23" i="6"/>
  <c r="J23" i="6" s="1"/>
  <c r="K23" i="6" s="1"/>
  <c r="L23" i="6" s="1"/>
  <c r="G7" i="6"/>
  <c r="J7" i="6" s="1"/>
  <c r="G12" i="8"/>
  <c r="J12" i="8" s="1"/>
  <c r="G29" i="8"/>
  <c r="J29" i="8" s="1"/>
  <c r="T32" i="11"/>
  <c r="T18" i="11"/>
  <c r="V18" i="11" s="1"/>
  <c r="W18" i="11" s="1"/>
  <c r="T40" i="11"/>
  <c r="T24" i="11"/>
  <c r="T31" i="11"/>
  <c r="P27" i="10"/>
  <c r="Q27" i="10" s="1"/>
  <c r="R27" i="10" s="1"/>
  <c r="S27" i="10" s="1"/>
  <c r="T27" i="10"/>
  <c r="P30" i="10"/>
  <c r="Q30" i="10" s="1"/>
  <c r="R30" i="10" s="1"/>
  <c r="S30" i="10" s="1"/>
  <c r="T30" i="10"/>
  <c r="P24" i="10"/>
  <c r="Q24" i="10" s="1"/>
  <c r="R24" i="10" s="1"/>
  <c r="S24" i="10" s="1"/>
  <c r="D33" i="26"/>
  <c r="A34" i="26"/>
  <c r="G32" i="26"/>
  <c r="J32" i="26" s="1"/>
  <c r="I32" i="26"/>
  <c r="K12" i="26"/>
  <c r="A19" i="26"/>
  <c r="D18" i="26"/>
  <c r="I16" i="26"/>
  <c r="G16" i="26"/>
  <c r="J16" i="26" s="1"/>
  <c r="K16" i="26" s="1"/>
  <c r="L16" i="26" s="1"/>
  <c r="P8" i="10"/>
  <c r="Q8" i="10" s="1"/>
  <c r="R8" i="10" s="1"/>
  <c r="S8" i="10" s="1"/>
  <c r="I20" i="9"/>
  <c r="G4" i="8"/>
  <c r="J4" i="8" s="1"/>
  <c r="K4" i="8" s="1"/>
  <c r="L4" i="8" s="1"/>
  <c r="P8" i="11"/>
  <c r="Q8" i="11" s="1"/>
  <c r="R8" i="11" s="1"/>
  <c r="S8" i="11" s="1"/>
  <c r="L48" i="11"/>
  <c r="T7" i="11"/>
  <c r="V7" i="11" s="1"/>
  <c r="W7" i="11" s="1"/>
  <c r="W5" i="17"/>
  <c r="W7" i="17" s="1"/>
  <c r="V7" i="17"/>
  <c r="K18" i="8"/>
  <c r="L18" i="8" s="1"/>
  <c r="K17" i="6"/>
  <c r="L17" i="6" s="1"/>
  <c r="K21" i="8"/>
  <c r="L21" i="8" s="1"/>
  <c r="K12" i="6"/>
  <c r="L12" i="6" s="1"/>
  <c r="W4" i="12"/>
  <c r="W7" i="12" s="1"/>
  <c r="V7" i="12"/>
  <c r="T5" i="10"/>
  <c r="V5" i="10" s="1"/>
  <c r="W5" i="10" s="1"/>
  <c r="K16" i="6"/>
  <c r="P2" i="11"/>
  <c r="Q2" i="11" s="1"/>
  <c r="R2" i="11" s="1"/>
  <c r="S2" i="11" s="1"/>
  <c r="P3" i="11"/>
  <c r="Q3" i="11" s="1"/>
  <c r="R3" i="11" s="1"/>
  <c r="S3" i="11" s="1"/>
  <c r="P4" i="11"/>
  <c r="Q4" i="11" s="1"/>
  <c r="R4" i="11" s="1"/>
  <c r="S4" i="11" s="1"/>
  <c r="P5" i="11"/>
  <c r="Q5" i="11" s="1"/>
  <c r="R5" i="11" s="1"/>
  <c r="S5" i="11" s="1"/>
  <c r="P6" i="11"/>
  <c r="Q6" i="11" s="1"/>
  <c r="R6" i="11" s="1"/>
  <c r="S6" i="11" s="1"/>
  <c r="R7" i="10"/>
  <c r="O4" i="10"/>
  <c r="P4" i="10" s="1"/>
  <c r="Q4" i="10" s="1"/>
  <c r="R4" i="10" s="1"/>
  <c r="S4" i="10" s="1"/>
  <c r="O3" i="10"/>
  <c r="P3" i="10" s="1"/>
  <c r="Q3" i="10" s="1"/>
  <c r="R3" i="10" s="1"/>
  <c r="S3" i="10" s="1"/>
  <c r="I35" i="10"/>
  <c r="T6" i="10"/>
  <c r="O2" i="10"/>
  <c r="P2" i="10" s="1"/>
  <c r="Q2" i="10" s="1"/>
  <c r="R2" i="10" s="1"/>
  <c r="S2" i="10" s="1"/>
  <c r="J35" i="10"/>
  <c r="G23" i="9"/>
  <c r="J23" i="9" s="1"/>
  <c r="K23" i="9" s="1"/>
  <c r="L23" i="9" s="1"/>
  <c r="O8" i="9"/>
  <c r="P8" i="9" s="1"/>
  <c r="Q8" i="9" s="1"/>
  <c r="R8" i="9" s="1"/>
  <c r="S8" i="9" s="1"/>
  <c r="O9" i="9"/>
  <c r="P9" i="9" s="1"/>
  <c r="Q9" i="9" s="1"/>
  <c r="R9" i="9" s="1"/>
  <c r="S9" i="9" s="1"/>
  <c r="O7" i="9"/>
  <c r="P7" i="9" s="1"/>
  <c r="Q7" i="9" s="1"/>
  <c r="R7" i="9" s="1"/>
  <c r="S7" i="9" s="1"/>
  <c r="O6" i="9"/>
  <c r="P6" i="9" s="1"/>
  <c r="Q6" i="9" s="1"/>
  <c r="R6" i="9" s="1"/>
  <c r="S6" i="9" s="1"/>
  <c r="T6" i="9" s="1"/>
  <c r="G22" i="9"/>
  <c r="J22" i="9" s="1"/>
  <c r="K22" i="9" s="1"/>
  <c r="L22" i="9" s="1"/>
  <c r="I21" i="9"/>
  <c r="K21" i="9"/>
  <c r="L21" i="9" s="1"/>
  <c r="K20" i="9"/>
  <c r="L20" i="9" s="1"/>
  <c r="K18" i="9"/>
  <c r="L18" i="9" s="1"/>
  <c r="I17" i="9"/>
  <c r="K17" i="9"/>
  <c r="L17" i="9" s="1"/>
  <c r="K16" i="9"/>
  <c r="K15" i="9"/>
  <c r="L15" i="9" s="1"/>
  <c r="K14" i="9"/>
  <c r="L14" i="9" s="1"/>
  <c r="I14" i="9"/>
  <c r="K12" i="9"/>
  <c r="L12" i="9" s="1"/>
  <c r="G10" i="9"/>
  <c r="J10" i="9" s="1"/>
  <c r="K10" i="9" s="1"/>
  <c r="L10" i="9" s="1"/>
  <c r="G9" i="9"/>
  <c r="J9" i="9" s="1"/>
  <c r="K9" i="9" s="1"/>
  <c r="L9" i="9" s="1"/>
  <c r="P5" i="9"/>
  <c r="Q5" i="9" s="1"/>
  <c r="R5" i="9" s="1"/>
  <c r="S5" i="9" s="1"/>
  <c r="K7" i="9"/>
  <c r="L7" i="9" s="1"/>
  <c r="G6" i="9"/>
  <c r="J6" i="9" s="1"/>
  <c r="K6" i="9" s="1"/>
  <c r="L6" i="9" s="1"/>
  <c r="P4" i="9"/>
  <c r="Q4" i="9" s="1"/>
  <c r="R4" i="9" s="1"/>
  <c r="S4" i="9" s="1"/>
  <c r="G2" i="9"/>
  <c r="J2" i="9" s="1"/>
  <c r="K2" i="9" s="1"/>
  <c r="H31" i="9"/>
  <c r="K5" i="9"/>
  <c r="L5" i="9" s="1"/>
  <c r="G4" i="9"/>
  <c r="J4" i="9" s="1"/>
  <c r="K4" i="9" s="1"/>
  <c r="L4" i="9" s="1"/>
  <c r="O3" i="9"/>
  <c r="P3" i="9" s="1"/>
  <c r="Q3" i="9" s="1"/>
  <c r="R3" i="9" s="1"/>
  <c r="S3" i="9" s="1"/>
  <c r="G8" i="9"/>
  <c r="J8" i="9" s="1"/>
  <c r="K8" i="9" s="1"/>
  <c r="L8" i="9" s="1"/>
  <c r="G3" i="9"/>
  <c r="J3" i="9" s="1"/>
  <c r="K3" i="9" s="1"/>
  <c r="L3" i="9" s="1"/>
  <c r="N2" i="9"/>
  <c r="G11" i="9"/>
  <c r="J11" i="9" s="1"/>
  <c r="K11" i="9" s="1"/>
  <c r="L11" i="9" s="1"/>
  <c r="G11" i="8"/>
  <c r="J11" i="8" s="1"/>
  <c r="K11" i="8" s="1"/>
  <c r="L11" i="8" s="1"/>
  <c r="G9" i="8"/>
  <c r="J9" i="8" s="1"/>
  <c r="K9" i="8" s="1"/>
  <c r="L9" i="8" s="1"/>
  <c r="G7" i="8"/>
  <c r="J7" i="8" s="1"/>
  <c r="K7" i="8" s="1"/>
  <c r="L7" i="8" s="1"/>
  <c r="K5" i="8"/>
  <c r="L5" i="8" s="1"/>
  <c r="G2" i="8"/>
  <c r="J2" i="8" s="1"/>
  <c r="K2" i="8" s="1"/>
  <c r="L2" i="8" s="1"/>
  <c r="K11" i="6"/>
  <c r="L11" i="6" s="1"/>
  <c r="K28" i="6"/>
  <c r="L28" i="6" s="1"/>
  <c r="K15" i="6"/>
  <c r="L15" i="6" s="1"/>
  <c r="K17" i="8"/>
  <c r="L17" i="8" s="1"/>
  <c r="K16" i="8"/>
  <c r="K12" i="8"/>
  <c r="L12" i="8" s="1"/>
  <c r="K13" i="8"/>
  <c r="L13" i="8" s="1"/>
  <c r="K24" i="8"/>
  <c r="L24" i="8" s="1"/>
  <c r="K6" i="8"/>
  <c r="L6" i="8" s="1"/>
  <c r="K28" i="8"/>
  <c r="L28" i="8" s="1"/>
  <c r="K15" i="8"/>
  <c r="L15" i="8" s="1"/>
  <c r="T4" i="8"/>
  <c r="I31" i="8"/>
  <c r="N2" i="8"/>
  <c r="O3" i="8"/>
  <c r="P3" i="8" s="1"/>
  <c r="Q3" i="8" s="1"/>
  <c r="R3" i="8" s="1"/>
  <c r="S3" i="8" s="1"/>
  <c r="G27" i="8"/>
  <c r="J27" i="8" s="1"/>
  <c r="K27" i="8" s="1"/>
  <c r="L27" i="8" s="1"/>
  <c r="G3" i="8"/>
  <c r="J3" i="8" s="1"/>
  <c r="G14" i="8"/>
  <c r="J14" i="8" s="1"/>
  <c r="K14" i="8" s="1"/>
  <c r="L14" i="8" s="1"/>
  <c r="G20" i="8"/>
  <c r="J20" i="8" s="1"/>
  <c r="K20" i="8" s="1"/>
  <c r="L20" i="8" s="1"/>
  <c r="G23" i="8"/>
  <c r="J23" i="8" s="1"/>
  <c r="K23" i="8" s="1"/>
  <c r="L23" i="8" s="1"/>
  <c r="G26" i="8"/>
  <c r="J26" i="8" s="1"/>
  <c r="K26" i="8" s="1"/>
  <c r="L26" i="8" s="1"/>
  <c r="G8" i="8"/>
  <c r="J8" i="8" s="1"/>
  <c r="K8" i="8" s="1"/>
  <c r="L8" i="8" s="1"/>
  <c r="H31" i="8"/>
  <c r="G10" i="8"/>
  <c r="J10" i="8" s="1"/>
  <c r="K10" i="8" s="1"/>
  <c r="L10" i="8" s="1"/>
  <c r="G19" i="8"/>
  <c r="J19" i="8" s="1"/>
  <c r="G22" i="8"/>
  <c r="J22" i="8" s="1"/>
  <c r="K22" i="8" s="1"/>
  <c r="L22" i="8" s="1"/>
  <c r="G25" i="8"/>
  <c r="J25" i="8" s="1"/>
  <c r="K25" i="8" s="1"/>
  <c r="L25" i="8" s="1"/>
  <c r="AB2" i="5"/>
  <c r="AA2" i="5" s="1"/>
  <c r="AD2" i="5" s="1"/>
  <c r="G6" i="6"/>
  <c r="J6" i="6" s="1"/>
  <c r="K6" i="6" s="1"/>
  <c r="L6" i="6" s="1"/>
  <c r="O5" i="6"/>
  <c r="P5" i="6" s="1"/>
  <c r="Q5" i="6" s="1"/>
  <c r="R5" i="6" s="1"/>
  <c r="S5" i="6" s="1"/>
  <c r="G5" i="6"/>
  <c r="J5" i="6" s="1"/>
  <c r="K5" i="6" s="1"/>
  <c r="L5" i="6" s="1"/>
  <c r="G4" i="6"/>
  <c r="J4" i="6" s="1"/>
  <c r="K4" i="6" s="1"/>
  <c r="L4" i="6" s="1"/>
  <c r="K30" i="6"/>
  <c r="L30" i="6" s="1"/>
  <c r="K29" i="6"/>
  <c r="L29" i="6" s="1"/>
  <c r="K7" i="6"/>
  <c r="L7" i="6" s="1"/>
  <c r="G2" i="6"/>
  <c r="J2" i="6" s="1"/>
  <c r="K2" i="6" s="1"/>
  <c r="K24" i="6"/>
  <c r="L24" i="6" s="1"/>
  <c r="K9" i="6"/>
  <c r="L9" i="6" s="1"/>
  <c r="K18" i="6"/>
  <c r="L18" i="6" s="1"/>
  <c r="K21" i="6"/>
  <c r="L21" i="6" s="1"/>
  <c r="K3" i="6"/>
  <c r="L3" i="6" s="1"/>
  <c r="K27" i="6"/>
  <c r="L27" i="6" s="1"/>
  <c r="O3" i="6"/>
  <c r="P3" i="6" s="1"/>
  <c r="Q3" i="6" s="1"/>
  <c r="R3" i="6" s="1"/>
  <c r="S3" i="6" s="1"/>
  <c r="J8" i="6"/>
  <c r="K8" i="6" s="1"/>
  <c r="L8" i="6" s="1"/>
  <c r="J13" i="6"/>
  <c r="K13" i="6" s="1"/>
  <c r="L13" i="6" s="1"/>
  <c r="H31" i="6"/>
  <c r="I31" i="6"/>
  <c r="J10" i="6"/>
  <c r="K10" i="6" s="1"/>
  <c r="L10" i="6" s="1"/>
  <c r="J19" i="6"/>
  <c r="J22" i="6"/>
  <c r="K22" i="6" s="1"/>
  <c r="L22" i="6" s="1"/>
  <c r="O4" i="6"/>
  <c r="P4" i="6" s="1"/>
  <c r="Q4" i="6" s="1"/>
  <c r="R4" i="6" s="1"/>
  <c r="S4" i="6" s="1"/>
  <c r="J14" i="6"/>
  <c r="K14" i="6" s="1"/>
  <c r="L14" i="6" s="1"/>
  <c r="J20" i="6"/>
  <c r="K20" i="6" s="1"/>
  <c r="L20" i="6" s="1"/>
  <c r="N2" i="6"/>
  <c r="B28" i="13"/>
  <c r="B11" i="13"/>
  <c r="E4" i="13"/>
  <c r="E5" i="13"/>
  <c r="C8" i="13"/>
  <c r="B30" i="13"/>
  <c r="B10" i="13"/>
  <c r="C27" i="13"/>
  <c r="B29" i="13"/>
  <c r="C18" i="13"/>
  <c r="B12" i="13"/>
  <c r="I31" i="9" l="1"/>
  <c r="T28" i="10"/>
  <c r="T12" i="10"/>
  <c r="T26" i="10"/>
  <c r="T24" i="10"/>
  <c r="T22" i="10"/>
  <c r="T32" i="10"/>
  <c r="T20" i="10"/>
  <c r="T38" i="10"/>
  <c r="P6" i="8"/>
  <c r="Q6" i="8" s="1"/>
  <c r="R6" i="8" s="1"/>
  <c r="S6" i="8" s="1"/>
  <c r="P8" i="6"/>
  <c r="Q8" i="6" s="1"/>
  <c r="R8" i="6" s="1"/>
  <c r="S8" i="6" s="1"/>
  <c r="T8" i="6"/>
  <c r="P10" i="8"/>
  <c r="Q10" i="8" s="1"/>
  <c r="R10" i="8" s="1"/>
  <c r="S10" i="8" s="1"/>
  <c r="T34" i="10"/>
  <c r="T10" i="10"/>
  <c r="P17" i="8"/>
  <c r="Q17" i="8" s="1"/>
  <c r="R17" i="8" s="1"/>
  <c r="S17" i="8" s="1"/>
  <c r="P14" i="6"/>
  <c r="Q14" i="6" s="1"/>
  <c r="R14" i="6" s="1"/>
  <c r="S14" i="6" s="1"/>
  <c r="T14" i="6"/>
  <c r="T23" i="10"/>
  <c r="P8" i="8"/>
  <c r="Q8" i="8" s="1"/>
  <c r="R8" i="8" s="1"/>
  <c r="S8" i="8" s="1"/>
  <c r="T8" i="8"/>
  <c r="P13" i="9"/>
  <c r="Q13" i="9" s="1"/>
  <c r="R13" i="9" s="1"/>
  <c r="S13" i="9" s="1"/>
  <c r="P13" i="6"/>
  <c r="Q13" i="6" s="1"/>
  <c r="R13" i="6" s="1"/>
  <c r="S13" i="6" s="1"/>
  <c r="T13" i="6"/>
  <c r="T29" i="10"/>
  <c r="T40" i="10"/>
  <c r="T41" i="10"/>
  <c r="T9" i="10"/>
  <c r="T13" i="10"/>
  <c r="P13" i="8"/>
  <c r="Q13" i="8" s="1"/>
  <c r="R13" i="8" s="1"/>
  <c r="S13" i="8" s="1"/>
  <c r="P11" i="9"/>
  <c r="Q11" i="9" s="1"/>
  <c r="R11" i="9" s="1"/>
  <c r="S11" i="9" s="1"/>
  <c r="T11" i="9"/>
  <c r="P10" i="6"/>
  <c r="Q10" i="6" s="1"/>
  <c r="R10" i="6" s="1"/>
  <c r="S10" i="6" s="1"/>
  <c r="T10" i="6"/>
  <c r="P11" i="8"/>
  <c r="Q11" i="8" s="1"/>
  <c r="R11" i="8" s="1"/>
  <c r="S11" i="8" s="1"/>
  <c r="P14" i="9"/>
  <c r="Q14" i="9" s="1"/>
  <c r="R14" i="9" s="1"/>
  <c r="S14" i="9" s="1"/>
  <c r="P7" i="6"/>
  <c r="Q7" i="6" s="1"/>
  <c r="R7" i="6" s="1"/>
  <c r="S7" i="6" s="1"/>
  <c r="T7" i="6"/>
  <c r="T35" i="10"/>
  <c r="T36" i="10"/>
  <c r="T39" i="10"/>
  <c r="T21" i="10"/>
  <c r="P17" i="9"/>
  <c r="Q17" i="9" s="1"/>
  <c r="R17" i="9" s="1"/>
  <c r="S17" i="9" s="1"/>
  <c r="P6" i="6"/>
  <c r="Q6" i="6" s="1"/>
  <c r="R6" i="6" s="1"/>
  <c r="S6" i="6" s="1"/>
  <c r="P12" i="9"/>
  <c r="Q12" i="9" s="1"/>
  <c r="R12" i="9" s="1"/>
  <c r="S12" i="9" s="1"/>
  <c r="P17" i="6"/>
  <c r="Q17" i="6" s="1"/>
  <c r="R17" i="6" s="1"/>
  <c r="S17" i="6" s="1"/>
  <c r="P12" i="8"/>
  <c r="Q12" i="8" s="1"/>
  <c r="R12" i="8" s="1"/>
  <c r="S12" i="8" s="1"/>
  <c r="T31" i="10"/>
  <c r="T37" i="10"/>
  <c r="T42" i="10"/>
  <c r="T25" i="10"/>
  <c r="P5" i="8"/>
  <c r="Q5" i="8" s="1"/>
  <c r="R5" i="8" s="1"/>
  <c r="S5" i="8" s="1"/>
  <c r="P10" i="9"/>
  <c r="Q10" i="9" s="1"/>
  <c r="R10" i="9" s="1"/>
  <c r="S10" i="9" s="1"/>
  <c r="T10" i="9"/>
  <c r="P11" i="6"/>
  <c r="Q11" i="6" s="1"/>
  <c r="R11" i="6" s="1"/>
  <c r="S11" i="6" s="1"/>
  <c r="P12" i="6"/>
  <c r="Q12" i="6" s="1"/>
  <c r="R12" i="6" s="1"/>
  <c r="S12" i="6" s="1"/>
  <c r="P14" i="8"/>
  <c r="Q14" i="8" s="1"/>
  <c r="R14" i="8" s="1"/>
  <c r="S14" i="8" s="1"/>
  <c r="P9" i="6"/>
  <c r="Q9" i="6" s="1"/>
  <c r="R9" i="6" s="1"/>
  <c r="S9" i="6" s="1"/>
  <c r="I18" i="26"/>
  <c r="G18" i="26"/>
  <c r="J18" i="26" s="1"/>
  <c r="L12" i="26"/>
  <c r="D19" i="26"/>
  <c r="A20" i="26"/>
  <c r="K32" i="26"/>
  <c r="D34" i="26"/>
  <c r="A35" i="26"/>
  <c r="I33" i="26"/>
  <c r="G33" i="26"/>
  <c r="J33" i="26" s="1"/>
  <c r="K33" i="26" s="1"/>
  <c r="L33" i="26" s="1"/>
  <c r="T8" i="10"/>
  <c r="T5" i="11"/>
  <c r="V5" i="11" s="1"/>
  <c r="W5" i="11" s="1"/>
  <c r="T4" i="11"/>
  <c r="V4" i="11" s="1"/>
  <c r="W4" i="11" s="1"/>
  <c r="T3" i="11"/>
  <c r="V3" i="11" s="1"/>
  <c r="W3" i="11" s="1"/>
  <c r="T6" i="11"/>
  <c r="V6" i="11" s="1"/>
  <c r="W6" i="11" s="1"/>
  <c r="T8" i="11"/>
  <c r="V8" i="11" s="1"/>
  <c r="W8" i="11" s="1"/>
  <c r="T2" i="11"/>
  <c r="V2" i="11" s="1"/>
  <c r="W2" i="11" s="1"/>
  <c r="T4" i="10"/>
  <c r="V4" i="10" s="1"/>
  <c r="W4" i="10" s="1"/>
  <c r="T3" i="10"/>
  <c r="V3" i="10" s="1"/>
  <c r="W3" i="10" s="1"/>
  <c r="L16" i="8"/>
  <c r="K19" i="8"/>
  <c r="K19" i="6"/>
  <c r="L16" i="9"/>
  <c r="L16" i="6"/>
  <c r="S7" i="10"/>
  <c r="T7" i="10" s="1"/>
  <c r="K35" i="10"/>
  <c r="L35" i="10"/>
  <c r="T2" i="10"/>
  <c r="V2" i="10" s="1"/>
  <c r="T9" i="9"/>
  <c r="T8" i="9"/>
  <c r="T7" i="9"/>
  <c r="T5" i="9"/>
  <c r="V5" i="9" s="1"/>
  <c r="W5" i="9" s="1"/>
  <c r="T4" i="9"/>
  <c r="V4" i="9" s="1"/>
  <c r="W4" i="9" s="1"/>
  <c r="J31" i="9"/>
  <c r="O2" i="9"/>
  <c r="P2" i="9" s="1"/>
  <c r="Q2" i="9" s="1"/>
  <c r="R2" i="9" s="1"/>
  <c r="S2" i="9" s="1"/>
  <c r="K31" i="9"/>
  <c r="L2" i="9"/>
  <c r="T3" i="9"/>
  <c r="V3" i="9" s="1"/>
  <c r="W3" i="9" s="1"/>
  <c r="O2" i="8"/>
  <c r="P2" i="8" s="1"/>
  <c r="Q2" i="8" s="1"/>
  <c r="R2" i="8" s="1"/>
  <c r="S2" i="8" s="1"/>
  <c r="T3" i="8"/>
  <c r="V3" i="8" s="1"/>
  <c r="W3" i="8" s="1"/>
  <c r="J31" i="8"/>
  <c r="K3" i="8"/>
  <c r="T5" i="6"/>
  <c r="V5" i="6" s="1"/>
  <c r="W5" i="6" s="1"/>
  <c r="T3" i="6"/>
  <c r="V3" i="6" s="1"/>
  <c r="W3" i="6" s="1"/>
  <c r="P2" i="6"/>
  <c r="Q2" i="6" s="1"/>
  <c r="R2" i="6" s="1"/>
  <c r="S2" i="6" s="1"/>
  <c r="J31" i="6"/>
  <c r="L2" i="6"/>
  <c r="T4" i="6"/>
  <c r="V4" i="6" s="1"/>
  <c r="W4" i="6" s="1"/>
  <c r="F15" i="5"/>
  <c r="I15" i="5" s="1"/>
  <c r="F17" i="5"/>
  <c r="I17" i="5" s="1"/>
  <c r="F18" i="5"/>
  <c r="I18" i="5" s="1"/>
  <c r="H3" i="5"/>
  <c r="G4" i="5"/>
  <c r="I4" i="5"/>
  <c r="H9" i="5"/>
  <c r="H10" i="5"/>
  <c r="I10" i="5"/>
  <c r="G13" i="5"/>
  <c r="J13" i="5" s="1"/>
  <c r="K13" i="5" s="1"/>
  <c r="I13" i="5"/>
  <c r="G14" i="5"/>
  <c r="J14" i="5" s="1"/>
  <c r="K14" i="5" s="1"/>
  <c r="H15" i="5"/>
  <c r="G16" i="5"/>
  <c r="J16" i="5" s="1"/>
  <c r="H16" i="5"/>
  <c r="I16" i="5"/>
  <c r="G19" i="5"/>
  <c r="J19" i="5" s="1"/>
  <c r="H19" i="5"/>
  <c r="I19" i="5"/>
  <c r="H20" i="5"/>
  <c r="H21" i="5"/>
  <c r="I21" i="5"/>
  <c r="G22" i="5"/>
  <c r="J22" i="5" s="1"/>
  <c r="H22" i="5"/>
  <c r="I22" i="5"/>
  <c r="H23" i="5"/>
  <c r="H24" i="5"/>
  <c r="G25" i="5"/>
  <c r="J25" i="5" s="1"/>
  <c r="H25" i="5"/>
  <c r="I25" i="5"/>
  <c r="H26" i="5"/>
  <c r="H28" i="5"/>
  <c r="G29" i="5"/>
  <c r="J29" i="5" s="1"/>
  <c r="I29" i="5"/>
  <c r="H30" i="5"/>
  <c r="H31" i="5"/>
  <c r="F3" i="5"/>
  <c r="G3" i="5" s="1"/>
  <c r="J3" i="5" s="1"/>
  <c r="F5" i="5"/>
  <c r="G5" i="5" s="1"/>
  <c r="J5" i="5" s="1"/>
  <c r="F6" i="5"/>
  <c r="G6" i="5" s="1"/>
  <c r="J6" i="5" s="1"/>
  <c r="K6" i="5" s="1"/>
  <c r="I8" i="5"/>
  <c r="F9" i="5"/>
  <c r="G9" i="5" s="1"/>
  <c r="J9" i="5" s="1"/>
  <c r="G10" i="5"/>
  <c r="J10" i="5" s="1"/>
  <c r="F11" i="5"/>
  <c r="G11" i="5" s="1"/>
  <c r="J11" i="5" s="1"/>
  <c r="F12" i="5"/>
  <c r="I12" i="5" s="1"/>
  <c r="F14" i="5"/>
  <c r="I14" i="5" s="1"/>
  <c r="F20" i="5"/>
  <c r="I20" i="5" s="1"/>
  <c r="F21" i="5"/>
  <c r="G21" i="5" s="1"/>
  <c r="J21" i="5" s="1"/>
  <c r="F23" i="5"/>
  <c r="G23" i="5" s="1"/>
  <c r="J23" i="5" s="1"/>
  <c r="F24" i="5"/>
  <c r="I24" i="5" s="1"/>
  <c r="F26" i="5"/>
  <c r="G26" i="5" s="1"/>
  <c r="F27" i="5"/>
  <c r="I27" i="5" s="1"/>
  <c r="F28" i="5"/>
  <c r="G28" i="5" s="1"/>
  <c r="J28" i="5" s="1"/>
  <c r="F30" i="5"/>
  <c r="I30" i="5" s="1"/>
  <c r="F31" i="5"/>
  <c r="I31" i="5" s="1"/>
  <c r="N2" i="5" a="1"/>
  <c r="I2" i="5"/>
  <c r="O1" i="5" a="1"/>
  <c r="O1" i="5" s="1"/>
  <c r="F27" i="4"/>
  <c r="I27" i="4" s="1"/>
  <c r="F20" i="4"/>
  <c r="G20" i="4" s="1"/>
  <c r="J20" i="4" s="1"/>
  <c r="F9" i="4"/>
  <c r="I9" i="4" s="1"/>
  <c r="F21" i="4"/>
  <c r="I21" i="4" s="1"/>
  <c r="I19" i="4"/>
  <c r="F29" i="4"/>
  <c r="F30" i="4"/>
  <c r="F31" i="4"/>
  <c r="I31" i="4" s="1"/>
  <c r="F32" i="4"/>
  <c r="I32" i="4" s="1"/>
  <c r="G29" i="4"/>
  <c r="J29" i="4" s="1"/>
  <c r="G30" i="4"/>
  <c r="J30" i="4" s="1"/>
  <c r="G31" i="4"/>
  <c r="J31" i="4" s="1"/>
  <c r="G32" i="4"/>
  <c r="J32" i="4" s="1"/>
  <c r="H29" i="4"/>
  <c r="H30" i="4"/>
  <c r="H31" i="4"/>
  <c r="H32" i="4"/>
  <c r="I29" i="4"/>
  <c r="I30" i="4"/>
  <c r="H28" i="4"/>
  <c r="H27" i="4"/>
  <c r="G27" i="4"/>
  <c r="J27" i="4" s="1"/>
  <c r="F28" i="4"/>
  <c r="I28" i="4" s="1"/>
  <c r="F11" i="4"/>
  <c r="I11" i="4" s="1"/>
  <c r="F13" i="4"/>
  <c r="I13" i="4" s="1"/>
  <c r="F14" i="4"/>
  <c r="G14" i="4" s="1"/>
  <c r="J14" i="4" s="1"/>
  <c r="H5" i="4"/>
  <c r="H19" i="1"/>
  <c r="H4" i="4"/>
  <c r="H7" i="4"/>
  <c r="H8" i="4"/>
  <c r="H9" i="4"/>
  <c r="H13" i="4"/>
  <c r="H14" i="4"/>
  <c r="H15" i="4"/>
  <c r="H17" i="4"/>
  <c r="H23" i="4"/>
  <c r="H24" i="4"/>
  <c r="H25" i="4"/>
  <c r="G3" i="4"/>
  <c r="J3" i="4" s="1"/>
  <c r="K3" i="4" s="1"/>
  <c r="F4" i="4"/>
  <c r="I4" i="4" s="1"/>
  <c r="I6" i="4"/>
  <c r="I7" i="4"/>
  <c r="I8" i="4"/>
  <c r="I12" i="4"/>
  <c r="F15" i="4"/>
  <c r="I15" i="4" s="1"/>
  <c r="G16" i="4"/>
  <c r="J16" i="4" s="1"/>
  <c r="K16" i="4" s="1"/>
  <c r="F17" i="4"/>
  <c r="I17" i="4" s="1"/>
  <c r="F22" i="4"/>
  <c r="I22" i="4" s="1"/>
  <c r="F23" i="4"/>
  <c r="I23" i="4" s="1"/>
  <c r="I24" i="4"/>
  <c r="F25" i="4"/>
  <c r="I25" i="4" s="1"/>
  <c r="I26" i="4"/>
  <c r="G24" i="4"/>
  <c r="J24" i="4" s="1"/>
  <c r="I16" i="4"/>
  <c r="G12" i="4"/>
  <c r="J12" i="4" s="1"/>
  <c r="K12" i="4" s="1"/>
  <c r="G8" i="4"/>
  <c r="J8" i="4" s="1"/>
  <c r="G7" i="4"/>
  <c r="J7" i="4" s="1"/>
  <c r="G6" i="4"/>
  <c r="J6" i="4" s="1"/>
  <c r="I5" i="4"/>
  <c r="I3" i="4"/>
  <c r="N2" i="4" a="1"/>
  <c r="N2" i="4" s="1"/>
  <c r="H2" i="4"/>
  <c r="F2" i="4"/>
  <c r="I2" i="4" s="1"/>
  <c r="O1" i="4" a="1"/>
  <c r="O1" i="4" s="1"/>
  <c r="O1" i="1" a="1"/>
  <c r="O1" i="1" s="1"/>
  <c r="H18" i="1"/>
  <c r="H16" i="1"/>
  <c r="H15" i="1"/>
  <c r="H14" i="1"/>
  <c r="H12" i="1"/>
  <c r="H11" i="1"/>
  <c r="H10" i="1"/>
  <c r="H9" i="1"/>
  <c r="H7" i="1"/>
  <c r="H6" i="1"/>
  <c r="H5" i="1"/>
  <c r="H2" i="1"/>
  <c r="H3" i="1"/>
  <c r="G3" i="1"/>
  <c r="J3" i="1" s="1"/>
  <c r="G4" i="1"/>
  <c r="J4" i="1" s="1"/>
  <c r="K4" i="1" s="1"/>
  <c r="L4" i="1" s="1"/>
  <c r="G7" i="1"/>
  <c r="J7" i="1" s="1"/>
  <c r="G10" i="1"/>
  <c r="J10" i="1" s="1"/>
  <c r="G12" i="1"/>
  <c r="J12" i="1" s="1"/>
  <c r="G17" i="1"/>
  <c r="J17" i="1" s="1"/>
  <c r="K17" i="1" s="1"/>
  <c r="L17" i="1" s="1"/>
  <c r="G19" i="1"/>
  <c r="J19" i="1" s="1"/>
  <c r="G21" i="1"/>
  <c r="J21" i="1" s="1"/>
  <c r="K21" i="1" s="1"/>
  <c r="L21" i="1" s="1"/>
  <c r="I3" i="1"/>
  <c r="I4" i="1"/>
  <c r="I7" i="1"/>
  <c r="I10" i="1"/>
  <c r="I12" i="1"/>
  <c r="I17" i="1"/>
  <c r="I19" i="1"/>
  <c r="I21" i="1"/>
  <c r="S9" i="1"/>
  <c r="T9" i="1" s="1"/>
  <c r="W9" i="1" s="1"/>
  <c r="F18" i="1"/>
  <c r="I18" i="1" s="1"/>
  <c r="F16" i="1"/>
  <c r="I16" i="1" s="1"/>
  <c r="F15" i="1"/>
  <c r="I15" i="1" s="1"/>
  <c r="F14" i="1"/>
  <c r="G14" i="1" s="1"/>
  <c r="J14" i="1" s="1"/>
  <c r="F13" i="1"/>
  <c r="G13" i="1" s="1"/>
  <c r="J13" i="1" s="1"/>
  <c r="F11" i="1"/>
  <c r="G11" i="1" s="1"/>
  <c r="J11" i="1" s="1"/>
  <c r="F9" i="1"/>
  <c r="G9" i="1" s="1"/>
  <c r="J9" i="1" s="1"/>
  <c r="F8" i="1"/>
  <c r="I8" i="1" s="1"/>
  <c r="F6" i="1"/>
  <c r="I6" i="1" s="1"/>
  <c r="F5" i="1"/>
  <c r="I5" i="1" s="1"/>
  <c r="F2" i="1"/>
  <c r="I2" i="1" s="1"/>
  <c r="N2" i="1" a="1"/>
  <c r="N2" i="1" s="1"/>
  <c r="C10" i="13"/>
  <c r="C11" i="13"/>
  <c r="D9" i="13"/>
  <c r="D28" i="13"/>
  <c r="C30" i="13"/>
  <c r="D27" i="13"/>
  <c r="C29" i="13"/>
  <c r="D19" i="13"/>
  <c r="C20" i="13"/>
  <c r="C19" i="13"/>
  <c r="D8" i="13"/>
  <c r="E27" i="13"/>
  <c r="D18" i="13"/>
  <c r="C9" i="13"/>
  <c r="C28" i="13"/>
  <c r="C21" i="13"/>
  <c r="E18" i="13"/>
  <c r="K8" i="4" l="1"/>
  <c r="T6" i="8"/>
  <c r="T6" i="6"/>
  <c r="T12" i="9"/>
  <c r="T9" i="6"/>
  <c r="T14" i="8"/>
  <c r="T13" i="8"/>
  <c r="O12" i="5"/>
  <c r="O14" i="5"/>
  <c r="O6" i="5"/>
  <c r="O13" i="5"/>
  <c r="O15" i="5"/>
  <c r="O18" i="5"/>
  <c r="O11" i="5"/>
  <c r="O9" i="5"/>
  <c r="O8" i="1"/>
  <c r="O13" i="1"/>
  <c r="O14" i="1"/>
  <c r="O10" i="1"/>
  <c r="O6" i="1"/>
  <c r="P6" i="1" s="1"/>
  <c r="Q6" i="1" s="1"/>
  <c r="R6" i="1" s="1"/>
  <c r="S6" i="1" s="1"/>
  <c r="O11" i="1"/>
  <c r="O7" i="1"/>
  <c r="O12" i="1"/>
  <c r="O12" i="4"/>
  <c r="O15" i="4"/>
  <c r="O11" i="4"/>
  <c r="O9" i="4"/>
  <c r="O19" i="4"/>
  <c r="O7" i="4"/>
  <c r="O14" i="4"/>
  <c r="O8" i="4"/>
  <c r="O13" i="4"/>
  <c r="T12" i="8"/>
  <c r="T17" i="9"/>
  <c r="T11" i="8"/>
  <c r="T17" i="8"/>
  <c r="G31" i="5"/>
  <c r="J31" i="5" s="1"/>
  <c r="T12" i="6"/>
  <c r="T11" i="6"/>
  <c r="T5" i="8"/>
  <c r="V5" i="8" s="1"/>
  <c r="W5" i="8" s="1"/>
  <c r="T17" i="6"/>
  <c r="T10" i="8"/>
  <c r="G30" i="5"/>
  <c r="J30" i="5" s="1"/>
  <c r="T13" i="9"/>
  <c r="T14" i="9"/>
  <c r="L32" i="26"/>
  <c r="A36" i="26"/>
  <c r="A37" i="26" s="1"/>
  <c r="D35" i="26"/>
  <c r="G34" i="26"/>
  <c r="J34" i="26" s="1"/>
  <c r="K34" i="26" s="1"/>
  <c r="L34" i="26" s="1"/>
  <c r="I34" i="26"/>
  <c r="D20" i="26"/>
  <c r="D21" i="26"/>
  <c r="I19" i="26"/>
  <c r="G19" i="26"/>
  <c r="J19" i="26" s="1"/>
  <c r="K19" i="26" s="1"/>
  <c r="L19" i="26" s="1"/>
  <c r="K18" i="26"/>
  <c r="I20" i="4"/>
  <c r="K31" i="6"/>
  <c r="K23" i="5"/>
  <c r="L23" i="5" s="1"/>
  <c r="K7" i="4"/>
  <c r="L7" i="4" s="1"/>
  <c r="K24" i="4"/>
  <c r="L24" i="4" s="1"/>
  <c r="K9" i="5"/>
  <c r="L9" i="5" s="1"/>
  <c r="K22" i="5"/>
  <c r="L22" i="5" s="1"/>
  <c r="K21" i="5"/>
  <c r="L21" i="5" s="1"/>
  <c r="K3" i="5"/>
  <c r="L3" i="5" s="1"/>
  <c r="K30" i="4"/>
  <c r="L30" i="4" s="1"/>
  <c r="K29" i="4"/>
  <c r="L29" i="4" s="1"/>
  <c r="K27" i="4"/>
  <c r="L27" i="4" s="1"/>
  <c r="L31" i="9"/>
  <c r="K19" i="5"/>
  <c r="L19" i="5" s="1"/>
  <c r="K30" i="5"/>
  <c r="L30" i="5" s="1"/>
  <c r="K31" i="5"/>
  <c r="L31" i="5" s="1"/>
  <c r="K25" i="5"/>
  <c r="L25" i="5" s="1"/>
  <c r="K14" i="4"/>
  <c r="L14" i="4" s="1"/>
  <c r="K32" i="4"/>
  <c r="K31" i="4"/>
  <c r="L31" i="4" s="1"/>
  <c r="K28" i="5"/>
  <c r="L28" i="5" s="1"/>
  <c r="K10" i="5"/>
  <c r="L10" i="5" s="1"/>
  <c r="K16" i="5"/>
  <c r="L16" i="5" s="1"/>
  <c r="K6" i="4"/>
  <c r="L6" i="4" s="1"/>
  <c r="K29" i="5"/>
  <c r="L29" i="5" s="1"/>
  <c r="K5" i="5"/>
  <c r="L5" i="5" s="1"/>
  <c r="L19" i="6"/>
  <c r="L19" i="8"/>
  <c r="K20" i="4"/>
  <c r="L20" i="4" s="1"/>
  <c r="K11" i="5"/>
  <c r="L11" i="5" s="1"/>
  <c r="O6" i="4"/>
  <c r="P6" i="4" s="1"/>
  <c r="Q6" i="4" s="1"/>
  <c r="R6" i="4" s="1"/>
  <c r="S6" i="4" s="1"/>
  <c r="I14" i="4"/>
  <c r="V7" i="10"/>
  <c r="W2" i="10"/>
  <c r="W7" i="10" s="1"/>
  <c r="T2" i="9"/>
  <c r="V2" i="9" s="1"/>
  <c r="L3" i="8"/>
  <c r="K31" i="8"/>
  <c r="T2" i="8"/>
  <c r="V2" i="8" s="1"/>
  <c r="I11" i="5"/>
  <c r="I5" i="5"/>
  <c r="I28" i="5"/>
  <c r="I6" i="5"/>
  <c r="G24" i="5"/>
  <c r="J24" i="5" s="1"/>
  <c r="I23" i="5"/>
  <c r="G27" i="5"/>
  <c r="J27" i="5" s="1"/>
  <c r="I26" i="5"/>
  <c r="I32" i="5" s="1"/>
  <c r="I9" i="5"/>
  <c r="T2" i="6"/>
  <c r="V2" i="6" s="1"/>
  <c r="G20" i="5"/>
  <c r="J20" i="5" s="1"/>
  <c r="G18" i="5"/>
  <c r="J18" i="5" s="1"/>
  <c r="G17" i="5"/>
  <c r="J17" i="5" s="1"/>
  <c r="G15" i="5"/>
  <c r="J15" i="5" s="1"/>
  <c r="G12" i="5"/>
  <c r="J12" i="5" s="1"/>
  <c r="G8" i="5"/>
  <c r="J8" i="5" s="1"/>
  <c r="L6" i="5"/>
  <c r="I3" i="5"/>
  <c r="H32" i="5"/>
  <c r="L13" i="5"/>
  <c r="L14" i="5"/>
  <c r="O4" i="5"/>
  <c r="P4" i="5" s="1"/>
  <c r="Q4" i="5" s="1"/>
  <c r="R4" i="5" s="1"/>
  <c r="S4" i="5" s="1"/>
  <c r="N2" i="5"/>
  <c r="J26" i="5"/>
  <c r="J4" i="5"/>
  <c r="G2" i="5"/>
  <c r="J2" i="5" s="1"/>
  <c r="K2" i="5" s="1"/>
  <c r="O5" i="5"/>
  <c r="P5" i="5" s="1"/>
  <c r="Q5" i="5" s="1"/>
  <c r="R5" i="5" s="1"/>
  <c r="S5" i="5" s="1"/>
  <c r="O3" i="5"/>
  <c r="P3" i="5" s="1"/>
  <c r="Q3" i="5" s="1"/>
  <c r="R3" i="5" s="1"/>
  <c r="S3" i="5" s="1"/>
  <c r="G21" i="4"/>
  <c r="J21" i="4" s="1"/>
  <c r="G19" i="4"/>
  <c r="J19" i="4" s="1"/>
  <c r="G28" i="4"/>
  <c r="J28" i="4" s="1"/>
  <c r="G26" i="4"/>
  <c r="J26" i="4" s="1"/>
  <c r="G22" i="4"/>
  <c r="J22" i="4" s="1"/>
  <c r="G9" i="4"/>
  <c r="J9" i="4" s="1"/>
  <c r="G13" i="4"/>
  <c r="J13" i="4" s="1"/>
  <c r="G11" i="4"/>
  <c r="J11" i="4" s="1"/>
  <c r="G4" i="4"/>
  <c r="J4" i="4" s="1"/>
  <c r="L3" i="4"/>
  <c r="G2" i="4"/>
  <c r="J2" i="4" s="1"/>
  <c r="K2" i="4" s="1"/>
  <c r="L8" i="4"/>
  <c r="I33" i="4"/>
  <c r="H33" i="4"/>
  <c r="L12" i="4"/>
  <c r="L16" i="4"/>
  <c r="O2" i="4"/>
  <c r="P2" i="4" s="1"/>
  <c r="Q2" i="4" s="1"/>
  <c r="R2" i="4" s="1"/>
  <c r="S2" i="4" s="1"/>
  <c r="G15" i="4"/>
  <c r="J15" i="4" s="1"/>
  <c r="G17" i="4"/>
  <c r="J17" i="4" s="1"/>
  <c r="O5" i="4"/>
  <c r="P5" i="4" s="1"/>
  <c r="Q5" i="4" s="1"/>
  <c r="R5" i="4" s="1"/>
  <c r="S5" i="4" s="1"/>
  <c r="O3" i="4"/>
  <c r="P3" i="4" s="1"/>
  <c r="Q3" i="4" s="1"/>
  <c r="R3" i="4" s="1"/>
  <c r="S3" i="4" s="1"/>
  <c r="G23" i="4"/>
  <c r="J23" i="4" s="1"/>
  <c r="G5" i="4"/>
  <c r="J5" i="4" s="1"/>
  <c r="O4" i="4"/>
  <c r="P4" i="4" s="1"/>
  <c r="Q4" i="4" s="1"/>
  <c r="R4" i="4" s="1"/>
  <c r="S4" i="4" s="1"/>
  <c r="G25" i="4"/>
  <c r="J25" i="4" s="1"/>
  <c r="T6" i="1"/>
  <c r="O2" i="1"/>
  <c r="P2" i="1" s="1"/>
  <c r="O5" i="1"/>
  <c r="P5" i="1" s="1"/>
  <c r="Q5" i="1" s="1"/>
  <c r="R5" i="1" s="1"/>
  <c r="S5" i="1" s="1"/>
  <c r="O4" i="1"/>
  <c r="P4" i="1" s="1"/>
  <c r="Q4" i="1" s="1"/>
  <c r="R4" i="1" s="1"/>
  <c r="S4" i="1" s="1"/>
  <c r="O3" i="1"/>
  <c r="P3" i="1" s="1"/>
  <c r="X9" i="1"/>
  <c r="Y9" i="1" s="1"/>
  <c r="H22" i="1"/>
  <c r="K13" i="1"/>
  <c r="L13" i="1" s="1"/>
  <c r="G16" i="1"/>
  <c r="J16" i="1" s="1"/>
  <c r="G15" i="1"/>
  <c r="J15" i="1" s="1"/>
  <c r="K15" i="1" s="1"/>
  <c r="L15" i="1" s="1"/>
  <c r="K10" i="1"/>
  <c r="L10" i="1" s="1"/>
  <c r="G8" i="1"/>
  <c r="J8" i="1" s="1"/>
  <c r="K8" i="1" s="1"/>
  <c r="L8" i="1" s="1"/>
  <c r="G2" i="1"/>
  <c r="J2" i="1" s="1"/>
  <c r="V9" i="1"/>
  <c r="K7" i="1"/>
  <c r="L7" i="1" s="1"/>
  <c r="G5" i="1"/>
  <c r="J5" i="1" s="1"/>
  <c r="K5" i="1" s="1"/>
  <c r="L5" i="1" s="1"/>
  <c r="I14" i="1"/>
  <c r="G18" i="1"/>
  <c r="J18" i="1" s="1"/>
  <c r="K18" i="1" s="1"/>
  <c r="L18" i="1" s="1"/>
  <c r="K12" i="1"/>
  <c r="L12" i="1" s="1"/>
  <c r="I9" i="1"/>
  <c r="I13" i="1"/>
  <c r="I11" i="1"/>
  <c r="G6" i="1"/>
  <c r="J6" i="1" s="1"/>
  <c r="K6" i="1" s="1"/>
  <c r="L6" i="1" s="1"/>
  <c r="K3" i="1"/>
  <c r="L3" i="1" s="1"/>
  <c r="K14" i="1"/>
  <c r="L14" i="1" s="1"/>
  <c r="K19" i="1"/>
  <c r="L19" i="1" s="1"/>
  <c r="K9" i="1"/>
  <c r="L9" i="1" s="1"/>
  <c r="K11" i="1"/>
  <c r="L11" i="1" s="1"/>
  <c r="D30" i="13"/>
  <c r="D10" i="13"/>
  <c r="D20" i="13"/>
  <c r="B32" i="13"/>
  <c r="B14" i="13"/>
  <c r="B31" i="13"/>
  <c r="B15" i="13"/>
  <c r="D29" i="13"/>
  <c r="B34" i="13"/>
  <c r="B13" i="13"/>
  <c r="E19" i="13"/>
  <c r="E28" i="13"/>
  <c r="D21" i="13"/>
  <c r="D11" i="13"/>
  <c r="B33" i="13"/>
  <c r="Q3" i="1" l="1"/>
  <c r="R3" i="1" s="1"/>
  <c r="S3" i="1" s="1"/>
  <c r="T3" i="1" s="1"/>
  <c r="P15" i="4"/>
  <c r="Q15" i="4" s="1"/>
  <c r="R15" i="4" s="1"/>
  <c r="S15" i="4" s="1"/>
  <c r="P7" i="1"/>
  <c r="Q7" i="1" s="1"/>
  <c r="R7" i="1" s="1"/>
  <c r="S7" i="1" s="1"/>
  <c r="T7" i="1"/>
  <c r="P13" i="5"/>
  <c r="Q13" i="5" s="1"/>
  <c r="R13" i="5" s="1"/>
  <c r="S13" i="5" s="1"/>
  <c r="P12" i="4"/>
  <c r="Q12" i="4" s="1"/>
  <c r="R12" i="4" s="1"/>
  <c r="S12" i="4" s="1"/>
  <c r="P11" i="1"/>
  <c r="Q11" i="1" s="1"/>
  <c r="R11" i="1" s="1"/>
  <c r="S11" i="1" s="1"/>
  <c r="P6" i="5"/>
  <c r="Q6" i="5" s="1"/>
  <c r="R6" i="5" s="1"/>
  <c r="S6" i="5" s="1"/>
  <c r="P14" i="5"/>
  <c r="Q14" i="5" s="1"/>
  <c r="R14" i="5" s="1"/>
  <c r="S14" i="5" s="1"/>
  <c r="P10" i="1"/>
  <c r="Q10" i="1" s="1"/>
  <c r="R10" i="1" s="1"/>
  <c r="S10" i="1" s="1"/>
  <c r="P12" i="5"/>
  <c r="Q12" i="5" s="1"/>
  <c r="R12" i="5" s="1"/>
  <c r="S12" i="5" s="1"/>
  <c r="P13" i="4"/>
  <c r="Q13" i="4" s="1"/>
  <c r="R13" i="4" s="1"/>
  <c r="S13" i="4" s="1"/>
  <c r="P8" i="4"/>
  <c r="Q8" i="4" s="1"/>
  <c r="R8" i="4" s="1"/>
  <c r="S8" i="4" s="1"/>
  <c r="P14" i="1"/>
  <c r="Q14" i="1" s="1"/>
  <c r="R14" i="1" s="1"/>
  <c r="S14" i="1" s="1"/>
  <c r="P7" i="4"/>
  <c r="Q7" i="4" s="1"/>
  <c r="R7" i="4" s="1"/>
  <c r="S7" i="4" s="1"/>
  <c r="T7" i="4"/>
  <c r="P13" i="1"/>
  <c r="Q13" i="1" s="1"/>
  <c r="R13" i="1" s="1"/>
  <c r="S13" i="1" s="1"/>
  <c r="P9" i="5"/>
  <c r="Q9" i="5" s="1"/>
  <c r="R9" i="5" s="1"/>
  <c r="S9" i="5" s="1"/>
  <c r="P14" i="4"/>
  <c r="Q14" i="4" s="1"/>
  <c r="R14" i="4" s="1"/>
  <c r="S14" i="4" s="1"/>
  <c r="T14" i="4"/>
  <c r="P19" i="4"/>
  <c r="Q19" i="4" s="1"/>
  <c r="R19" i="4" s="1"/>
  <c r="S19" i="4" s="1"/>
  <c r="P8" i="1"/>
  <c r="Q8" i="1" s="1"/>
  <c r="R8" i="1" s="1"/>
  <c r="S8" i="1" s="1"/>
  <c r="P11" i="5"/>
  <c r="Q11" i="5" s="1"/>
  <c r="R11" i="5" s="1"/>
  <c r="S11" i="5" s="1"/>
  <c r="P9" i="4"/>
  <c r="Q9" i="4" s="1"/>
  <c r="R9" i="4" s="1"/>
  <c r="S9" i="4" s="1"/>
  <c r="P18" i="5"/>
  <c r="Q18" i="5" s="1"/>
  <c r="R18" i="5" s="1"/>
  <c r="S18" i="5" s="1"/>
  <c r="P11" i="4"/>
  <c r="Q11" i="4" s="1"/>
  <c r="R11" i="4" s="1"/>
  <c r="S11" i="4" s="1"/>
  <c r="P12" i="1"/>
  <c r="Q12" i="1" s="1"/>
  <c r="R12" i="1" s="1"/>
  <c r="S12" i="1" s="1"/>
  <c r="P15" i="5"/>
  <c r="Q15" i="5" s="1"/>
  <c r="R15" i="5" s="1"/>
  <c r="S15" i="5" s="1"/>
  <c r="I21" i="26"/>
  <c r="G21" i="26"/>
  <c r="J21" i="26" s="1"/>
  <c r="K21" i="26" s="1"/>
  <c r="L21" i="26" s="1"/>
  <c r="L18" i="26"/>
  <c r="G20" i="26"/>
  <c r="J20" i="26" s="1"/>
  <c r="K20" i="26" s="1"/>
  <c r="L20" i="26" s="1"/>
  <c r="I20" i="26"/>
  <c r="I35" i="26"/>
  <c r="G35" i="26"/>
  <c r="J35" i="26" s="1"/>
  <c r="K35" i="26" s="1"/>
  <c r="L35" i="26" s="1"/>
  <c r="A38" i="26"/>
  <c r="D37" i="26"/>
  <c r="Q2" i="1"/>
  <c r="R2" i="1" s="1"/>
  <c r="S2" i="1" s="1"/>
  <c r="L31" i="6"/>
  <c r="B1" i="13"/>
  <c r="L32" i="4"/>
  <c r="L31" i="8"/>
  <c r="K16" i="1"/>
  <c r="K4" i="5"/>
  <c r="L4" i="5" s="1"/>
  <c r="K17" i="5"/>
  <c r="L17" i="5" s="1"/>
  <c r="K25" i="4"/>
  <c r="L25" i="4" s="1"/>
  <c r="K26" i="4"/>
  <c r="L26" i="4" s="1"/>
  <c r="K4" i="4"/>
  <c r="K26" i="5"/>
  <c r="L26" i="5" s="1"/>
  <c r="K5" i="4"/>
  <c r="L5" i="4" s="1"/>
  <c r="K28" i="4"/>
  <c r="L28" i="4" s="1"/>
  <c r="K18" i="5"/>
  <c r="L18" i="5" s="1"/>
  <c r="K19" i="4"/>
  <c r="L19" i="4" s="1"/>
  <c r="K20" i="5"/>
  <c r="L20" i="5" s="1"/>
  <c r="K27" i="5"/>
  <c r="L27" i="5" s="1"/>
  <c r="K23" i="4"/>
  <c r="L23" i="4" s="1"/>
  <c r="K11" i="4"/>
  <c r="L11" i="4" s="1"/>
  <c r="K21" i="4"/>
  <c r="L21" i="4" s="1"/>
  <c r="K8" i="5"/>
  <c r="L8" i="5" s="1"/>
  <c r="K24" i="5"/>
  <c r="L24" i="5" s="1"/>
  <c r="K13" i="4"/>
  <c r="L13" i="4" s="1"/>
  <c r="K12" i="5"/>
  <c r="L12" i="5" s="1"/>
  <c r="K17" i="4"/>
  <c r="L17" i="4" s="1"/>
  <c r="K9" i="4"/>
  <c r="L9" i="4" s="1"/>
  <c r="K15" i="4"/>
  <c r="L15" i="4" s="1"/>
  <c r="K22" i="4"/>
  <c r="L22" i="4" s="1"/>
  <c r="K15" i="5"/>
  <c r="L15" i="5" s="1"/>
  <c r="T6" i="4"/>
  <c r="V7" i="9"/>
  <c r="W2" i="9"/>
  <c r="W7" i="9" s="1"/>
  <c r="W2" i="8"/>
  <c r="W7" i="8" s="1"/>
  <c r="V7" i="8"/>
  <c r="V7" i="6"/>
  <c r="W2" i="6"/>
  <c r="W7" i="6" s="1"/>
  <c r="T5" i="5"/>
  <c r="V5" i="5" s="1"/>
  <c r="W5" i="5" s="1"/>
  <c r="J32" i="5"/>
  <c r="T3" i="5"/>
  <c r="V3" i="5" s="1"/>
  <c r="W3" i="5" s="1"/>
  <c r="T4" i="5"/>
  <c r="V4" i="5" s="1"/>
  <c r="W4" i="5" s="1"/>
  <c r="O2" i="5"/>
  <c r="P2" i="5" s="1"/>
  <c r="Q2" i="5" s="1"/>
  <c r="R2" i="5" s="1"/>
  <c r="S2" i="5" s="1"/>
  <c r="J33" i="4"/>
  <c r="T5" i="4"/>
  <c r="V5" i="4" s="1"/>
  <c r="W5" i="4" s="1"/>
  <c r="T2" i="4"/>
  <c r="V2" i="4" s="1"/>
  <c r="L2" i="4"/>
  <c r="T4" i="4"/>
  <c r="V4" i="4" s="1"/>
  <c r="W4" i="4" s="1"/>
  <c r="T3" i="4"/>
  <c r="V3" i="4" s="1"/>
  <c r="W3" i="4" s="1"/>
  <c r="T5" i="1"/>
  <c r="V5" i="1" s="1"/>
  <c r="W5" i="1" s="1"/>
  <c r="T4" i="1"/>
  <c r="I22" i="1"/>
  <c r="K2" i="1"/>
  <c r="J22" i="1"/>
  <c r="C35" i="13"/>
  <c r="E30" i="13"/>
  <c r="E21" i="13"/>
  <c r="E29" i="13"/>
  <c r="C12" i="13"/>
  <c r="C32" i="13"/>
  <c r="C23" i="13"/>
  <c r="C24" i="13"/>
  <c r="C25" i="13"/>
  <c r="C22" i="13"/>
  <c r="C26" i="13"/>
  <c r="C31" i="13"/>
  <c r="E20" i="13"/>
  <c r="C33" i="13"/>
  <c r="C34" i="13"/>
  <c r="T2" i="1" l="1"/>
  <c r="T14" i="1"/>
  <c r="T12" i="4"/>
  <c r="T11" i="4"/>
  <c r="T19" i="4"/>
  <c r="T9" i="5"/>
  <c r="T8" i="4"/>
  <c r="T10" i="1"/>
  <c r="T11" i="1"/>
  <c r="T13" i="5"/>
  <c r="T15" i="5"/>
  <c r="T11" i="5"/>
  <c r="T13" i="1"/>
  <c r="T13" i="4"/>
  <c r="T9" i="4"/>
  <c r="T8" i="1"/>
  <c r="T12" i="1"/>
  <c r="T18" i="5"/>
  <c r="T12" i="5"/>
  <c r="T14" i="5"/>
  <c r="T6" i="5"/>
  <c r="T15" i="4"/>
  <c r="I37" i="26"/>
  <c r="G37" i="26"/>
  <c r="J37" i="26" s="1"/>
  <c r="K37" i="26" s="1"/>
  <c r="L37" i="26" s="1"/>
  <c r="A39" i="26"/>
  <c r="A40" i="26" s="1"/>
  <c r="D38" i="26"/>
  <c r="K22" i="1"/>
  <c r="K33" i="4"/>
  <c r="L4" i="4"/>
  <c r="L33" i="4" s="1"/>
  <c r="L16" i="1"/>
  <c r="T2" i="5"/>
  <c r="V2" i="5" s="1"/>
  <c r="K32" i="5"/>
  <c r="L2" i="5"/>
  <c r="L32" i="5" s="1"/>
  <c r="L2" i="1"/>
  <c r="W2" i="4"/>
  <c r="W7" i="4" s="1"/>
  <c r="V7" i="4"/>
  <c r="V3" i="1"/>
  <c r="W3" i="1" s="1"/>
  <c r="V4" i="1"/>
  <c r="W4" i="1" s="1"/>
  <c r="D35" i="13"/>
  <c r="D26" i="13"/>
  <c r="E26" i="13"/>
  <c r="D31" i="13"/>
  <c r="E31" i="13"/>
  <c r="D24" i="13"/>
  <c r="E33" i="13"/>
  <c r="D23" i="13"/>
  <c r="E25" i="13"/>
  <c r="D13" i="13"/>
  <c r="D32" i="13"/>
  <c r="D34" i="13"/>
  <c r="E32" i="13"/>
  <c r="D12" i="13"/>
  <c r="D22" i="13"/>
  <c r="D25" i="13"/>
  <c r="E22" i="13"/>
  <c r="E23" i="13"/>
  <c r="D33" i="13"/>
  <c r="E24" i="13"/>
  <c r="L22" i="1" l="1"/>
  <c r="G38" i="26"/>
  <c r="J38" i="26" s="1"/>
  <c r="K38" i="26" s="1"/>
  <c r="I38" i="26"/>
  <c r="A41" i="26"/>
  <c r="D40" i="26"/>
  <c r="V8" i="5"/>
  <c r="W2" i="5"/>
  <c r="W8" i="5" s="1"/>
  <c r="V2" i="1"/>
  <c r="V7" i="1" s="1"/>
  <c r="E34" i="13"/>
  <c r="I40" i="26" l="1"/>
  <c r="G40" i="26"/>
  <c r="J40" i="26" s="1"/>
  <c r="K40" i="26" s="1"/>
  <c r="L40" i="26" s="1"/>
  <c r="D41" i="26"/>
  <c r="O1" i="26" a="1"/>
  <c r="O1" i="26" s="1"/>
  <c r="L38" i="26"/>
  <c r="W2" i="1"/>
  <c r="W7" i="1" s="1"/>
  <c r="O41" i="26" l="1"/>
  <c r="O38" i="26"/>
  <c r="O16" i="26"/>
  <c r="O35" i="26"/>
  <c r="O29" i="26"/>
  <c r="O23" i="26"/>
  <c r="O20" i="26"/>
  <c r="O14" i="26"/>
  <c r="O12" i="26"/>
  <c r="O24" i="26"/>
  <c r="O13" i="26"/>
  <c r="O34" i="26"/>
  <c r="O31" i="26"/>
  <c r="O17" i="26"/>
  <c r="O15" i="26"/>
  <c r="O8" i="26"/>
  <c r="O37" i="26"/>
  <c r="O27" i="26"/>
  <c r="O19" i="26"/>
  <c r="O10" i="26"/>
  <c r="O40" i="26"/>
  <c r="O33" i="26"/>
  <c r="O30" i="26"/>
  <c r="O26" i="26"/>
  <c r="O22" i="26"/>
  <c r="O42" i="26"/>
  <c r="O36" i="26"/>
  <c r="O39" i="26"/>
  <c r="O25" i="26"/>
  <c r="O32" i="26"/>
  <c r="O21" i="26"/>
  <c r="O18" i="26"/>
  <c r="O9" i="26"/>
  <c r="O28" i="26"/>
  <c r="O11" i="26"/>
  <c r="O4" i="26"/>
  <c r="O6" i="26"/>
  <c r="O7" i="26"/>
  <c r="O5" i="26"/>
  <c r="O3" i="26"/>
  <c r="O2" i="26"/>
  <c r="I41" i="26"/>
  <c r="I48" i="26" s="1"/>
  <c r="G41" i="26"/>
  <c r="J41" i="26" s="1"/>
  <c r="P11" i="26" l="1"/>
  <c r="Q11" i="26" s="1"/>
  <c r="R11" i="26" s="1"/>
  <c r="S11" i="26" s="1"/>
  <c r="P26" i="26"/>
  <c r="Q26" i="26" s="1"/>
  <c r="R26" i="26" s="1"/>
  <c r="S26" i="26" s="1"/>
  <c r="P17" i="26"/>
  <c r="Q17" i="26" s="1"/>
  <c r="R17" i="26" s="1"/>
  <c r="S17" i="26" s="1"/>
  <c r="P35" i="26"/>
  <c r="Q35" i="26" s="1"/>
  <c r="R35" i="26" s="1"/>
  <c r="S35" i="26" s="1"/>
  <c r="P30" i="26"/>
  <c r="Q30" i="26" s="1"/>
  <c r="R30" i="26" s="1"/>
  <c r="S30" i="26" s="1"/>
  <c r="P16" i="26"/>
  <c r="Q16" i="26" s="1"/>
  <c r="R16" i="26" s="1"/>
  <c r="S16" i="26" s="1"/>
  <c r="P22" i="26"/>
  <c r="Q22" i="26" s="1"/>
  <c r="R22" i="26" s="1"/>
  <c r="S22" i="26" s="1"/>
  <c r="T22" i="26" s="1"/>
  <c r="P34" i="26"/>
  <c r="Q34" i="26" s="1"/>
  <c r="R34" i="26" s="1"/>
  <c r="S34" i="26" s="1"/>
  <c r="P38" i="26"/>
  <c r="Q38" i="26" s="1"/>
  <c r="R38" i="26" s="1"/>
  <c r="S38" i="26" s="1"/>
  <c r="P28" i="26"/>
  <c r="Q28" i="26" s="1"/>
  <c r="R28" i="26" s="1"/>
  <c r="S28" i="26" s="1"/>
  <c r="P18" i="26"/>
  <c r="Q18" i="26" s="1"/>
  <c r="R18" i="26" s="1"/>
  <c r="S18" i="26" s="1"/>
  <c r="P41" i="26"/>
  <c r="Q41" i="26" s="1"/>
  <c r="R41" i="26" s="1"/>
  <c r="S41" i="26" s="1"/>
  <c r="P15" i="26"/>
  <c r="Q15" i="26" s="1"/>
  <c r="R15" i="26" s="1"/>
  <c r="S15" i="26" s="1"/>
  <c r="P9" i="26"/>
  <c r="Q9" i="26" s="1"/>
  <c r="R9" i="26" s="1"/>
  <c r="S9" i="26" s="1"/>
  <c r="P31" i="26"/>
  <c r="Q31" i="26" s="1"/>
  <c r="R31" i="26" s="1"/>
  <c r="S31" i="26" s="1"/>
  <c r="P33" i="26"/>
  <c r="Q33" i="26" s="1"/>
  <c r="R33" i="26" s="1"/>
  <c r="S33" i="26" s="1"/>
  <c r="P21" i="26"/>
  <c r="Q21" i="26" s="1"/>
  <c r="R21" i="26" s="1"/>
  <c r="S21" i="26" s="1"/>
  <c r="P40" i="26"/>
  <c r="Q40" i="26" s="1"/>
  <c r="R40" i="26" s="1"/>
  <c r="S40" i="26" s="1"/>
  <c r="P13" i="26"/>
  <c r="Q13" i="26" s="1"/>
  <c r="R13" i="26" s="1"/>
  <c r="S13" i="26" s="1"/>
  <c r="P32" i="26"/>
  <c r="Q32" i="26" s="1"/>
  <c r="R32" i="26" s="1"/>
  <c r="S32" i="26" s="1"/>
  <c r="P10" i="26"/>
  <c r="Q10" i="26" s="1"/>
  <c r="R10" i="26" s="1"/>
  <c r="S10" i="26" s="1"/>
  <c r="P24" i="26"/>
  <c r="Q24" i="26" s="1"/>
  <c r="R24" i="26" s="1"/>
  <c r="S24" i="26" s="1"/>
  <c r="P25" i="26"/>
  <c r="Q25" i="26" s="1"/>
  <c r="R25" i="26" s="1"/>
  <c r="S25" i="26" s="1"/>
  <c r="P19" i="26"/>
  <c r="Q19" i="26" s="1"/>
  <c r="R19" i="26" s="1"/>
  <c r="S19" i="26" s="1"/>
  <c r="T19" i="26" s="1"/>
  <c r="P12" i="26"/>
  <c r="Q12" i="26" s="1"/>
  <c r="R12" i="26" s="1"/>
  <c r="S12" i="26" s="1"/>
  <c r="P14" i="26"/>
  <c r="Q14" i="26" s="1"/>
  <c r="R14" i="26" s="1"/>
  <c r="S14" i="26" s="1"/>
  <c r="P39" i="26"/>
  <c r="Q39" i="26" s="1"/>
  <c r="R39" i="26" s="1"/>
  <c r="S39" i="26" s="1"/>
  <c r="P27" i="26"/>
  <c r="Q27" i="26" s="1"/>
  <c r="R27" i="26" s="1"/>
  <c r="S27" i="26" s="1"/>
  <c r="P36" i="26"/>
  <c r="Q36" i="26" s="1"/>
  <c r="R36" i="26" s="1"/>
  <c r="S36" i="26" s="1"/>
  <c r="P37" i="26"/>
  <c r="Q37" i="26" s="1"/>
  <c r="R37" i="26" s="1"/>
  <c r="S37" i="26" s="1"/>
  <c r="P20" i="26"/>
  <c r="Q20" i="26" s="1"/>
  <c r="R20" i="26" s="1"/>
  <c r="S20" i="26" s="1"/>
  <c r="P42" i="26"/>
  <c r="Q42" i="26" s="1"/>
  <c r="R42" i="26" s="1"/>
  <c r="S42" i="26" s="1"/>
  <c r="P8" i="26"/>
  <c r="Q8" i="26" s="1"/>
  <c r="R8" i="26" s="1"/>
  <c r="S8" i="26" s="1"/>
  <c r="P23" i="26"/>
  <c r="Q23" i="26" s="1"/>
  <c r="R23" i="26" s="1"/>
  <c r="S23" i="26" s="1"/>
  <c r="P29" i="26"/>
  <c r="Q29" i="26" s="1"/>
  <c r="R29" i="26" s="1"/>
  <c r="S29" i="26" s="1"/>
  <c r="K41" i="26"/>
  <c r="J48" i="26"/>
  <c r="P2" i="26"/>
  <c r="Q2" i="26" s="1"/>
  <c r="R2" i="26" s="1"/>
  <c r="S2" i="26" s="1"/>
  <c r="P3" i="26"/>
  <c r="Q3" i="26" s="1"/>
  <c r="R3" i="26" s="1"/>
  <c r="S3" i="26" s="1"/>
  <c r="P5" i="26"/>
  <c r="Q5" i="26" s="1"/>
  <c r="R5" i="26" s="1"/>
  <c r="S5" i="26" s="1"/>
  <c r="P7" i="26"/>
  <c r="Q7" i="26" s="1"/>
  <c r="R7" i="26" s="1"/>
  <c r="S7" i="26" s="1"/>
  <c r="P6" i="26"/>
  <c r="Q6" i="26" s="1"/>
  <c r="R6" i="26" s="1"/>
  <c r="S6" i="26" s="1"/>
  <c r="P4" i="26"/>
  <c r="Q4" i="26" s="1"/>
  <c r="R4" i="26" s="1"/>
  <c r="S4" i="26" s="1"/>
  <c r="C14" i="13"/>
  <c r="C16" i="13"/>
  <c r="C15" i="13"/>
  <c r="T39" i="26" l="1"/>
  <c r="T31" i="26"/>
  <c r="T30" i="26"/>
  <c r="T32" i="26"/>
  <c r="T28" i="26"/>
  <c r="T29" i="26"/>
  <c r="T20" i="26"/>
  <c r="T25" i="26"/>
  <c r="T13" i="26"/>
  <c r="V13" i="26" s="1"/>
  <c r="W13" i="26" s="1"/>
  <c r="T9" i="26"/>
  <c r="V9" i="26" s="1"/>
  <c r="W9" i="26" s="1"/>
  <c r="T38" i="26"/>
  <c r="T35" i="26"/>
  <c r="T23" i="26"/>
  <c r="T37" i="26"/>
  <c r="T14" i="26"/>
  <c r="V14" i="26" s="1"/>
  <c r="W14" i="26" s="1"/>
  <c r="T40" i="26"/>
  <c r="T15" i="26"/>
  <c r="V15" i="26" s="1"/>
  <c r="W15" i="26" s="1"/>
  <c r="T34" i="26"/>
  <c r="T17" i="26"/>
  <c r="V17" i="26" s="1"/>
  <c r="W17" i="26" s="1"/>
  <c r="T8" i="26"/>
  <c r="V8" i="26" s="1"/>
  <c r="W8" i="26" s="1"/>
  <c r="T36" i="26"/>
  <c r="T24" i="26"/>
  <c r="T21" i="26"/>
  <c r="T41" i="26"/>
  <c r="T26" i="26"/>
  <c r="T42" i="26"/>
  <c r="T27" i="26"/>
  <c r="T12" i="26"/>
  <c r="V12" i="26" s="1"/>
  <c r="W12" i="26" s="1"/>
  <c r="T10" i="26"/>
  <c r="V10" i="26" s="1"/>
  <c r="W10" i="26" s="1"/>
  <c r="T33" i="26"/>
  <c r="T18" i="26"/>
  <c r="V18" i="26" s="1"/>
  <c r="W18" i="26" s="1"/>
  <c r="T16" i="26"/>
  <c r="V16" i="26" s="1"/>
  <c r="W16" i="26" s="1"/>
  <c r="T11" i="26"/>
  <c r="V11" i="26" s="1"/>
  <c r="W11" i="26" s="1"/>
  <c r="C1" i="13"/>
  <c r="T5" i="26"/>
  <c r="V5" i="26" s="1"/>
  <c r="W5" i="26" s="1"/>
  <c r="T3" i="26"/>
  <c r="V3" i="26" s="1"/>
  <c r="W3" i="26" s="1"/>
  <c r="T4" i="26"/>
  <c r="V4" i="26" s="1"/>
  <c r="W4" i="26" s="1"/>
  <c r="T2" i="26"/>
  <c r="V2" i="26" s="1"/>
  <c r="W2" i="26" s="1"/>
  <c r="T6" i="26"/>
  <c r="V6" i="26" s="1"/>
  <c r="W6" i="26" s="1"/>
  <c r="T7" i="26"/>
  <c r="V7" i="26" s="1"/>
  <c r="W7" i="26" s="1"/>
  <c r="L41" i="26"/>
  <c r="L48" i="26" s="1"/>
  <c r="K48" i="26"/>
  <c r="D16" i="13"/>
  <c r="D15" i="13"/>
  <c r="D14" i="13"/>
  <c r="E16" i="13"/>
  <c r="E14" i="13"/>
  <c r="E15" i="13"/>
  <c r="E1" i="13" l="1"/>
  <c r="D1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<sst xmlns="http://schemas.openxmlformats.org/spreadsheetml/2006/main" count="2825" uniqueCount="371">
  <si>
    <t>Average</t>
  </si>
  <si>
    <t>Week End</t>
  </si>
  <si>
    <t>Quoted</t>
  </si>
  <si>
    <t>Wages (Incl. Super)</t>
  </si>
  <si>
    <t>Profit</t>
  </si>
  <si>
    <t>Quote/Wages</t>
  </si>
  <si>
    <t>Date</t>
  </si>
  <si>
    <t>Team</t>
  </si>
  <si>
    <t>Client</t>
  </si>
  <si>
    <t>Start</t>
  </si>
  <si>
    <t>Finish</t>
  </si>
  <si>
    <t>Lunch Break</t>
  </si>
  <si>
    <t>Duration</t>
  </si>
  <si>
    <t>Hours Payable</t>
  </si>
  <si>
    <t>Total Hrs</t>
  </si>
  <si>
    <t>Weekly (Gross)</t>
  </si>
  <si>
    <t>Super</t>
  </si>
  <si>
    <t>Yes</t>
  </si>
  <si>
    <t>Duration (h:mm)</t>
  </si>
  <si>
    <t>Lisa Rastis</t>
  </si>
  <si>
    <t>Tom Stratton</t>
  </si>
  <si>
    <t>Yasmin Ahamed</t>
  </si>
  <si>
    <t>Hope Grimm</t>
  </si>
  <si>
    <t>Michelle Wilson</t>
  </si>
  <si>
    <t>Rachel Rooney</t>
  </si>
  <si>
    <t>Gordon Nicholson</t>
  </si>
  <si>
    <t>Missy McPherson</t>
  </si>
  <si>
    <t>Jessica Naffine</t>
  </si>
  <si>
    <t>Laura Marchese</t>
  </si>
  <si>
    <t>Zoe Burchill</t>
  </si>
  <si>
    <t>Nicole Loughnane</t>
  </si>
  <si>
    <t>Bronwyn Kennedy</t>
  </si>
  <si>
    <t>Elizabeth Maher</t>
  </si>
  <si>
    <t>Yvette Lee</t>
  </si>
  <si>
    <t>Angela Hemp</t>
  </si>
  <si>
    <t>Helen Rich</t>
  </si>
  <si>
    <t>Vicki White</t>
  </si>
  <si>
    <t>Peter Egan</t>
  </si>
  <si>
    <t>Tim Nicholas</t>
  </si>
  <si>
    <t>Laura Turboia</t>
  </si>
  <si>
    <t>Sarah Jiles</t>
  </si>
  <si>
    <t>Alexandra Auld</t>
  </si>
  <si>
    <t>Vickie Randon</t>
  </si>
  <si>
    <t>Karen Zammit</t>
  </si>
  <si>
    <t>Gayle Goodes</t>
  </si>
  <si>
    <t>Jess McLeod</t>
  </si>
  <si>
    <t>Boyd Smart</t>
  </si>
  <si>
    <t>Tamara Grayson</t>
  </si>
  <si>
    <t>Glenda Wilson</t>
  </si>
  <si>
    <t>Robyn Morrison</t>
  </si>
  <si>
    <t>Helen Blakey</t>
  </si>
  <si>
    <t>Gail Bourne</t>
  </si>
  <si>
    <t>Tonya Lunardello</t>
  </si>
  <si>
    <t>No</t>
  </si>
  <si>
    <t>Meredith Hamilton</t>
  </si>
  <si>
    <t>Fleur Chambers</t>
  </si>
  <si>
    <t>James Mongomery</t>
  </si>
  <si>
    <t>Juel Riggal</t>
  </si>
  <si>
    <t>Brett Mcgeorge</t>
  </si>
  <si>
    <t xml:space="preserve">Myhome Brighton </t>
  </si>
  <si>
    <t>REVENUE:</t>
  </si>
  <si>
    <t>Cleaning Staff</t>
  </si>
  <si>
    <t>REVENUE</t>
  </si>
  <si>
    <t xml:space="preserve"> </t>
  </si>
  <si>
    <t>Petrol</t>
  </si>
  <si>
    <t>Mon</t>
  </si>
  <si>
    <t>Tue</t>
  </si>
  <si>
    <t>Wed</t>
  </si>
  <si>
    <t>Thu</t>
  </si>
  <si>
    <t>Fri</t>
  </si>
  <si>
    <t>Hours</t>
  </si>
  <si>
    <t>Rate</t>
  </si>
  <si>
    <t>Sat</t>
  </si>
  <si>
    <t>Total</t>
  </si>
  <si>
    <t>Employee</t>
  </si>
  <si>
    <t>Worked</t>
  </si>
  <si>
    <t>+Petrol</t>
  </si>
  <si>
    <t>tax</t>
  </si>
  <si>
    <t>Super 11.5%</t>
  </si>
  <si>
    <t>Total - Tax</t>
  </si>
  <si>
    <t>Round Up</t>
  </si>
  <si>
    <t>Name</t>
  </si>
  <si>
    <t>OFF</t>
  </si>
  <si>
    <t>Nancy Scott</t>
  </si>
  <si>
    <t>Orla Shelly</t>
  </si>
  <si>
    <t>Total Hours</t>
  </si>
  <si>
    <t>Weekly Report W/E 31st May 2025</t>
  </si>
  <si>
    <t>n/a</t>
  </si>
  <si>
    <t>Weekly Report W/E 17th May 2025</t>
  </si>
  <si>
    <t>Cliodhna Corr</t>
  </si>
  <si>
    <t>Julie Roccati</t>
  </si>
  <si>
    <t>Orlaith Murphy</t>
  </si>
  <si>
    <t>Claire Carroll</t>
  </si>
  <si>
    <t>Daniella Georgiou</t>
  </si>
  <si>
    <t>Ken Matthews</t>
  </si>
  <si>
    <t>Lauren Hofftee</t>
  </si>
  <si>
    <t>Anton Shilo</t>
  </si>
  <si>
    <t>Harley &amp; Penny Giles</t>
  </si>
  <si>
    <t>Joanne Katsos</t>
  </si>
  <si>
    <t>Aki Kotzamichalis</t>
  </si>
  <si>
    <t>Taryn Holmes</t>
  </si>
  <si>
    <t>Nicole Dalby</t>
  </si>
  <si>
    <t>Belinda Jones</t>
  </si>
  <si>
    <t>Ciaran Wilcox</t>
  </si>
  <si>
    <t>Michelle Wilcox</t>
  </si>
  <si>
    <t>Jenny Gust</t>
  </si>
  <si>
    <t>Joe Xx</t>
  </si>
  <si>
    <t>Karen F</t>
  </si>
  <si>
    <t>Leanne Baxter</t>
  </si>
  <si>
    <t>Dara Fischer Webberley</t>
  </si>
  <si>
    <t>Prasilla Steel</t>
  </si>
  <si>
    <t>Janet Walter</t>
  </si>
  <si>
    <t>Teresa (Mary Mother) Marzella</t>
  </si>
  <si>
    <t>Mary Marzella</t>
  </si>
  <si>
    <t>Bradley Grinlinton</t>
  </si>
  <si>
    <t>James Kirby</t>
  </si>
  <si>
    <t>Amanda Pacaud</t>
  </si>
  <si>
    <t>Tina Grinberg</t>
  </si>
  <si>
    <t>David Hartnell</t>
  </si>
  <si>
    <t>Seb Greene</t>
  </si>
  <si>
    <t>Freda Curtis</t>
  </si>
  <si>
    <t>Fleur Nicholson</t>
  </si>
  <si>
    <t>Aleksandra Sasha</t>
  </si>
  <si>
    <t>Amanda McBride</t>
  </si>
  <si>
    <t>Hannah Baker</t>
  </si>
  <si>
    <t>Rosemary Benkemoun</t>
  </si>
  <si>
    <t>Sonja Reilly</t>
  </si>
  <si>
    <t>Chloe Lorback</t>
  </si>
  <si>
    <t>Toni Gallagher</t>
  </si>
  <si>
    <t>Celia Thompson-Shaw</t>
  </si>
  <si>
    <t>Susan Love</t>
  </si>
  <si>
    <t>Michael Fisher</t>
  </si>
  <si>
    <t>Matthew Materia</t>
  </si>
  <si>
    <t>Lisa Sheehan</t>
  </si>
  <si>
    <t>Naz Carmichael</t>
  </si>
  <si>
    <t>Emma Merton</t>
  </si>
  <si>
    <t>Doug Dick</t>
  </si>
  <si>
    <t>Ben Roy</t>
  </si>
  <si>
    <t>Shani &amp; Ewan Milliken</t>
  </si>
  <si>
    <t>Aida Hall</t>
  </si>
  <si>
    <t>Lance Comes</t>
  </si>
  <si>
    <t>Lisa Lloyd</t>
  </si>
  <si>
    <t>Lisa Coleman</t>
  </si>
  <si>
    <t>Vicki Freedman</t>
  </si>
  <si>
    <t>Kerri Webster</t>
  </si>
  <si>
    <t>Brenda Buxton</t>
  </si>
  <si>
    <t>Donna Faukner</t>
  </si>
  <si>
    <t>Marilyn Lynch</t>
  </si>
  <si>
    <t>Katrina Prince</t>
  </si>
  <si>
    <t>Kyle Morgan Evans</t>
  </si>
  <si>
    <t>Rich Maloney</t>
  </si>
  <si>
    <t>Kaye Griffiths</t>
  </si>
  <si>
    <t>Jennifer Rowe</t>
  </si>
  <si>
    <t>Lyn Beardwood</t>
  </si>
  <si>
    <t>Monika Verma</t>
  </si>
  <si>
    <t>Libby Mukhi</t>
  </si>
  <si>
    <t>Lachlan Sutherland</t>
  </si>
  <si>
    <t>Susan Von Hirschberg</t>
  </si>
  <si>
    <t>Justin Sheppard</t>
  </si>
  <si>
    <t>Marcus Bunyan</t>
  </si>
  <si>
    <t>Alex Charles-Ffrench</t>
  </si>
  <si>
    <t>Jennifer Chamberlin</t>
  </si>
  <si>
    <t xml:space="preserve">Look at adding a Quote/Wages average per staff to see what their wage % is like. </t>
  </si>
  <si>
    <t>Jennifer Salter</t>
  </si>
  <si>
    <t>Coral Stolz</t>
  </si>
  <si>
    <t>Tony Allamby</t>
  </si>
  <si>
    <t>Emily Lawrence</t>
  </si>
  <si>
    <t>Shane McNamara</t>
  </si>
  <si>
    <t>Stephen &amp; Katherine Harris</t>
  </si>
  <si>
    <t>Alicia &amp; Rowan Oliver-Cook</t>
  </si>
  <si>
    <t>Juel Riggall</t>
  </si>
  <si>
    <t>Janetta Barrocas</t>
  </si>
  <si>
    <t>Joe xx</t>
  </si>
  <si>
    <t>Karen Obrien</t>
  </si>
  <si>
    <t>Sheila Alyward</t>
  </si>
  <si>
    <t>Hailey Taylor</t>
  </si>
  <si>
    <t>Ron Beer</t>
  </si>
  <si>
    <t>Matt Hofart</t>
  </si>
  <si>
    <t>Candice Shirley</t>
  </si>
  <si>
    <t xml:space="preserve">Lisa Rastis </t>
  </si>
  <si>
    <t>Anna Zeeng</t>
  </si>
  <si>
    <t>Rectification</t>
  </si>
  <si>
    <t>Freda Khanbassi</t>
  </si>
  <si>
    <t>Anna Garuccio</t>
  </si>
  <si>
    <t>Megan Goodes</t>
  </si>
  <si>
    <t>Sheena Saigal</t>
  </si>
  <si>
    <t>Jennifer Levett</t>
  </si>
  <si>
    <t>John Margheriti</t>
  </si>
  <si>
    <t>Tanya Tanner</t>
  </si>
  <si>
    <t>Nicole Lee</t>
  </si>
  <si>
    <t xml:space="preserve">Alexandra Bean </t>
  </si>
  <si>
    <t>Vanessa Sherd</t>
  </si>
  <si>
    <t>Michelle Sabatino</t>
  </si>
  <si>
    <t>yes</t>
  </si>
  <si>
    <t>Lyndell Smith</t>
  </si>
  <si>
    <t>Lisa Jones</t>
  </si>
  <si>
    <t>Bob Richards</t>
  </si>
  <si>
    <t>Richard Grennfield</t>
  </si>
  <si>
    <t>Week ending 20/12</t>
  </si>
  <si>
    <t xml:space="preserve">Paid </t>
  </si>
  <si>
    <t>Should have been</t>
  </si>
  <si>
    <t>Balance</t>
  </si>
  <si>
    <t>Wage</t>
  </si>
  <si>
    <t>GST</t>
  </si>
  <si>
    <t>Amanda Andreadis</t>
  </si>
  <si>
    <t>Duncan Pittard</t>
  </si>
  <si>
    <t>Headoffice</t>
  </si>
  <si>
    <t>Aphrodite Mandikos</t>
  </si>
  <si>
    <t>Patty Chantzos</t>
  </si>
  <si>
    <t>Jamie Lee</t>
  </si>
  <si>
    <t>Amy Hardwick</t>
  </si>
  <si>
    <t>Maggie Hiotis</t>
  </si>
  <si>
    <t>Seham Dhanapala</t>
  </si>
  <si>
    <t>Nadia Hawkins</t>
  </si>
  <si>
    <t>Christie David</t>
  </si>
  <si>
    <t>Sarah Hubbet</t>
  </si>
  <si>
    <t>Tim Trijbetz</t>
  </si>
  <si>
    <t>Boutaina Richardson</t>
  </si>
  <si>
    <t>Rosy Deutsch</t>
  </si>
  <si>
    <t>Beverly O'Connor</t>
  </si>
  <si>
    <t>Jilly Hyans</t>
  </si>
  <si>
    <t>Irene Galgano</t>
  </si>
  <si>
    <t>Hourly Wage</t>
  </si>
  <si>
    <t>Super %</t>
  </si>
  <si>
    <t>Date Won</t>
  </si>
  <si>
    <t>Customer Name</t>
  </si>
  <si>
    <t>Branch</t>
  </si>
  <si>
    <t>Team Allocated</t>
  </si>
  <si>
    <t>Last Clean</t>
  </si>
  <si>
    <t>Next Clean</t>
  </si>
  <si>
    <t>Frequency</t>
  </si>
  <si>
    <t>Jobs</t>
  </si>
  <si>
    <t>Amount</t>
  </si>
  <si>
    <t>Monthly</t>
  </si>
  <si>
    <t>Total Spend</t>
  </si>
  <si>
    <t>Tue 4th Mar</t>
  </si>
  <si>
    <t>Myhome Brighton</t>
  </si>
  <si>
    <t>Wed 12th Mar 25</t>
  </si>
  <si>
    <t>Fortnightly</t>
  </si>
  <si>
    <t>Mon 3rd Mar</t>
  </si>
  <si>
    <t>Brighton Team 1</t>
  </si>
  <si>
    <t>Fri 7th Mar 25</t>
  </si>
  <si>
    <t>Fri 28th Feb</t>
  </si>
  <si>
    <t>Brighton Team 2</t>
  </si>
  <si>
    <t>Wed 5th Mar 25</t>
  </si>
  <si>
    <t>Tue 25th Feb</t>
  </si>
  <si>
    <t>Weekly</t>
  </si>
  <si>
    <t>Mon 24th Feb</t>
  </si>
  <si>
    <t>Thu 27th Feb</t>
  </si>
  <si>
    <t>Thu 27th Mar 25</t>
  </si>
  <si>
    <t>Fri 21st Feb</t>
  </si>
  <si>
    <t>Thu 6th Mar 25</t>
  </si>
  <si>
    <t>Mon 10th Mar 25</t>
  </si>
  <si>
    <t>Thu 20th Mar 25</t>
  </si>
  <si>
    <t>Brighton Team 3</t>
  </si>
  <si>
    <t>Thu 20th Feb</t>
  </si>
  <si>
    <t>Wed 19th Feb</t>
  </si>
  <si>
    <t>Fri 14th Mar 25</t>
  </si>
  <si>
    <t>Tue 18th Feb</t>
  </si>
  <si>
    <t>Wed 26th Feb</t>
  </si>
  <si>
    <t>Tue 18th Mar 25</t>
  </si>
  <si>
    <t>3weekly</t>
  </si>
  <si>
    <t>Mon 24th Mar 25</t>
  </si>
  <si>
    <t>Wed 5th Feb</t>
  </si>
  <si>
    <t>Thu 6th Feb</t>
  </si>
  <si>
    <t>Tue 4th Feb</t>
  </si>
  <si>
    <t>Tue 4th Mar 25</t>
  </si>
  <si>
    <t>Mon 3rd Feb</t>
  </si>
  <si>
    <t>Wed 12th Feb</t>
  </si>
  <si>
    <t>Tue 11th Mar 25</t>
  </si>
  <si>
    <t>Jane Ferraro</t>
  </si>
  <si>
    <t>Mon 10th Feb</t>
  </si>
  <si>
    <t>Fri 31st Jan</t>
  </si>
  <si>
    <t>Thu 30th Jan</t>
  </si>
  <si>
    <t>Fri 24th Jan</t>
  </si>
  <si>
    <t>Fri 21st Mar 25</t>
  </si>
  <si>
    <t>Thu 13th Mar 25</t>
  </si>
  <si>
    <t>Linda Elsworthy</t>
  </si>
  <si>
    <t>Thu 23rd Jan</t>
  </si>
  <si>
    <t>Wed 19th Mar 25</t>
  </si>
  <si>
    <t>Wed 22nd Jan</t>
  </si>
  <si>
    <t>Tue 21st Jan</t>
  </si>
  <si>
    <t>Fri 17th Jan</t>
  </si>
  <si>
    <t>Wed 15th Jan</t>
  </si>
  <si>
    <t>Wed 29th Jan</t>
  </si>
  <si>
    <t>Tue 14th Jan</t>
  </si>
  <si>
    <t>Mon 17th Mar 25</t>
  </si>
  <si>
    <t>Thu 9th Jan</t>
  </si>
  <si>
    <t>Haylee Paul</t>
  </si>
  <si>
    <t>Fri 14th Feb</t>
  </si>
  <si>
    <t>Wed 8th Jan</t>
  </si>
  <si>
    <t>Mon 17th Feb</t>
  </si>
  <si>
    <t>Mon 6th Jan</t>
  </si>
  <si>
    <t>Fri 7th Feb</t>
  </si>
  <si>
    <t>Fri 3rd Jan</t>
  </si>
  <si>
    <t>Mon 23rd Dec</t>
  </si>
  <si>
    <t>Fri 20th Dec</t>
  </si>
  <si>
    <t>Tue 10th Dec</t>
  </si>
  <si>
    <t>Thu 16th Jan</t>
  </si>
  <si>
    <t>Mon 9th Dec</t>
  </si>
  <si>
    <t>Fri 6th Dec</t>
  </si>
  <si>
    <t>Thu 5th Dec</t>
  </si>
  <si>
    <t>Wed 4th Dec</t>
  </si>
  <si>
    <t>Mon 2nd Dec</t>
  </si>
  <si>
    <t>Fri 22nd Nov</t>
  </si>
  <si>
    <t>Tue 31st Dec 24</t>
  </si>
  <si>
    <t>Thu 21st Nov</t>
  </si>
  <si>
    <t>Wed 20th Nov</t>
  </si>
  <si>
    <t>Tue 19th Nov</t>
  </si>
  <si>
    <t>Mon 18th Nov</t>
  </si>
  <si>
    <t>Fri 15th Nov</t>
  </si>
  <si>
    <t>Thu 14th Nov</t>
  </si>
  <si>
    <t>Wed 13th Nov</t>
  </si>
  <si>
    <t>Tue 12th Nov</t>
  </si>
  <si>
    <t>Fri 8th Nov</t>
  </si>
  <si>
    <t>Tue 29th Oct</t>
  </si>
  <si>
    <t>Leigh Imbesi</t>
  </si>
  <si>
    <t>Tue 1st Apr 25</t>
  </si>
  <si>
    <t>Mon 28th Oct</t>
  </si>
  <si>
    <t>Fri 25th Oct</t>
  </si>
  <si>
    <t>Tue 11th Feb</t>
  </si>
  <si>
    <t>Tue 25th Mar 25</t>
  </si>
  <si>
    <t>Thu 24th Oct</t>
  </si>
  <si>
    <t>Wed 23rd Oct</t>
  </si>
  <si>
    <t>Hilary Friedland</t>
  </si>
  <si>
    <t>Mon 21st Oct</t>
  </si>
  <si>
    <t>Tue 1st Oct</t>
  </si>
  <si>
    <t>Thu 26th Sep</t>
  </si>
  <si>
    <t>Fri 28th Mar 25</t>
  </si>
  <si>
    <t>Tue 17th Sep</t>
  </si>
  <si>
    <t>Tue 10th Sep</t>
  </si>
  <si>
    <t>Tue 31st Aug</t>
  </si>
  <si>
    <t>Julie Roccati &amp; Cliodhna Corr</t>
  </si>
  <si>
    <t>Nancy Scott &amp; Cliodhna Corr</t>
  </si>
  <si>
    <t>Orlaith Murphy &amp; Nancy Scott</t>
  </si>
  <si>
    <t xml:space="preserve">Aoife O'Gorman </t>
  </si>
  <si>
    <t>Aoife O'Gorman &amp; Aoife Carroll</t>
  </si>
  <si>
    <t>Aoife Carrollarroll</t>
  </si>
  <si>
    <t>Aoife O'Gorman &amp; Orla Shelly</t>
  </si>
  <si>
    <t>Orla Shelly &amp; Julie Roccati</t>
  </si>
  <si>
    <t>-</t>
  </si>
  <si>
    <t>Team ID</t>
  </si>
  <si>
    <t>Alice McLaren &amp; Nancy Scott</t>
  </si>
  <si>
    <t>Alice McLaren McLaren</t>
  </si>
  <si>
    <t>Sally Ann Kane</t>
  </si>
  <si>
    <t xml:space="preserve">Sally Ann Kane </t>
  </si>
  <si>
    <t>Sally Ann Kane &amp; Georgia Howell</t>
  </si>
  <si>
    <t>Georgia Howell &amp; Katie Black</t>
  </si>
  <si>
    <t>Aoife O'Gorman &amp; Katie Black</t>
  </si>
  <si>
    <t>Sally Ann Kane &amp; Paige Fitchen</t>
  </si>
  <si>
    <t>Aoife O'Gorman &amp; Rose Bliszczak</t>
  </si>
  <si>
    <t>Julie Roccati &amp; Rose Bliszczak</t>
  </si>
  <si>
    <t>Aoife Carroll &amp; Rose Bliszczak</t>
  </si>
  <si>
    <t>Rose Bliszczak</t>
  </si>
  <si>
    <t>Luisa Scarmozzino</t>
  </si>
  <si>
    <t>Russel Clark</t>
  </si>
  <si>
    <t>Kerrie Robertson</t>
  </si>
  <si>
    <t>Norman &amp; Katie Prout</t>
  </si>
  <si>
    <t>Leanne Soo</t>
  </si>
  <si>
    <t>Aden J Margheriti</t>
  </si>
  <si>
    <t>Stephen &amp; Katharine Harris</t>
  </si>
  <si>
    <t>Tia Campbell</t>
  </si>
  <si>
    <t>Staff working with Tia Campbell</t>
  </si>
  <si>
    <t>Orla Shelly &amp; Tia Campbell</t>
  </si>
  <si>
    <t>Sheyda Watermann</t>
  </si>
  <si>
    <t>Julie Roccati &amp; Sheyda Watermann</t>
  </si>
  <si>
    <t>Orla Shelly &amp; Sheyda Watermann</t>
  </si>
  <si>
    <t>Aoife O'Gorman</t>
  </si>
  <si>
    <t>Dorae Jesberg</t>
  </si>
  <si>
    <t>Georgina Grigoriou</t>
  </si>
  <si>
    <t>Helen Praetz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</si>
</sst>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0.0%"/>
    <numFmt numFmtId="167" formatCode="&quot;$&quot;#,##0.00"/>
    <numFmt numFmtId="168" formatCode="ddd\ dd/mm/yyyy"/>
  </numFmts>
  <fonts count="32">
    <font>
      <sz val="12"/>
      <color theme="1"/>
      <name val="ArialMT"/>
      <family val="2"/>
    </font>
    <font>
      <sz val="12"/>
      <color theme="1"/>
      <name val="ArialMT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E0E0E"/>
      <name val="Arial"/>
      <family val="2"/>
    </font>
    <font>
      <b/>
      <sz val="12"/>
      <color theme="1"/>
      <name val="ArialMT"/>
    </font>
    <font>
      <sz val="11"/>
      <color theme="1"/>
      <name val="ArialMT"/>
      <family val="2"/>
    </font>
    <font>
      <b/>
      <sz val="11"/>
      <color theme="1"/>
      <name val="ArialMT"/>
    </font>
    <font>
      <b/>
      <sz val="11"/>
      <color theme="0"/>
      <name val="Arial"/>
      <family val="2"/>
    </font>
    <font>
      <b/>
      <sz val="11"/>
      <color theme="1"/>
      <name val="ArialMT"/>
      <family val="2"/>
    </font>
    <font>
      <b/>
      <sz val="11"/>
      <color rgb="FF0E0E0E"/>
      <name val="Arial"/>
      <family val="2"/>
    </font>
    <font>
      <sz val="11"/>
      <color rgb="FFFF0000"/>
      <name val="Arial"/>
      <family val="2"/>
    </font>
    <font>
      <b/>
      <sz val="12"/>
      <color theme="0"/>
      <name val="Arial"/>
      <family val="2"/>
    </font>
    <font>
      <sz val="8"/>
      <name val="ArialMT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242424"/>
      <name val="Calibri"/>
      <family val="2"/>
      <charset val="1"/>
    </font>
    <font>
      <sz val="8"/>
      <color theme="1"/>
      <name val="Helvetica"/>
      <family val="2"/>
    </font>
    <font>
      <sz val="8"/>
      <color theme="1"/>
      <name val="Times New Roman"/>
      <family val="1"/>
    </font>
    <font>
      <sz val="11"/>
      <color theme="2" tint="-0.499984740745262"/>
      <name val="Arial"/>
      <family val="2"/>
    </font>
    <font>
      <sz val="11"/>
      <color theme="2" tint="-0.499984740745262"/>
      <name val="ArialMT"/>
      <family val="2"/>
    </font>
    <font>
      <b/>
      <sz val="24"/>
      <color rgb="FF000000"/>
      <name val="Arial"/>
      <family val="2"/>
    </font>
    <font>
      <b/>
      <sz val="24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4"/>
      <color rgb="FF3D315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000000"/>
      </patternFill>
    </fill>
    <fill>
      <patternFill patternType="solid">
        <fgColor rgb="FF66FFFF"/>
        <bgColor rgb="FF000000"/>
      </patternFill>
    </fill>
  </fills>
  <borders count="10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</cellStyleXfs>
  <cellXfs count="14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4" fontId="2" fillId="0" borderId="0" xfId="2" applyFont="1" applyFill="1" applyBorder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44" fontId="3" fillId="0" borderId="0" xfId="2" applyFont="1" applyFill="1" applyBorder="1" applyAlignment="1">
      <alignment vertical="center"/>
    </xf>
    <xf numFmtId="2" fontId="3" fillId="0" borderId="0" xfId="3" applyNumberFormat="1" applyFont="1" applyFill="1" applyBorder="1" applyAlignment="1">
      <alignment horizontal="center" vertical="center"/>
    </xf>
    <xf numFmtId="9" fontId="3" fillId="0" borderId="0" xfId="3" applyFont="1" applyFill="1" applyBorder="1" applyAlignment="1">
      <alignment horizontal="center" vertical="center"/>
    </xf>
    <xf numFmtId="0" fontId="2" fillId="0" borderId="0" xfId="1" applyNumberFormat="1" applyFont="1" applyFill="1" applyAlignment="1">
      <alignment horizontal="right" vertical="center"/>
    </xf>
    <xf numFmtId="0" fontId="2" fillId="0" borderId="0" xfId="0" applyFont="1" applyAlignment="1">
      <alignment vertical="center"/>
    </xf>
    <xf numFmtId="0" fontId="5" fillId="0" borderId="0" xfId="0" applyFont="1"/>
    <xf numFmtId="44" fontId="3" fillId="0" borderId="0" xfId="2" applyFont="1" applyAlignment="1">
      <alignment vertical="center"/>
    </xf>
    <xf numFmtId="166" fontId="3" fillId="0" borderId="0" xfId="3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44" fontId="2" fillId="0" borderId="0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44" fontId="2" fillId="0" borderId="0" xfId="2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7" fontId="3" fillId="0" borderId="0" xfId="2" applyNumberFormat="1" applyFont="1" applyFill="1" applyAlignment="1">
      <alignment horizontal="right" vertical="center"/>
    </xf>
    <xf numFmtId="167" fontId="3" fillId="0" borderId="0" xfId="0" applyNumberFormat="1" applyFont="1" applyAlignment="1">
      <alignment horizontal="right" vertical="center"/>
    </xf>
    <xf numFmtId="167" fontId="2" fillId="0" borderId="0" xfId="2" applyNumberFormat="1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8" fontId="8" fillId="2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20" fontId="10" fillId="0" borderId="0" xfId="0" applyNumberFormat="1" applyFont="1" applyAlignment="1">
      <alignment horizontal="center" vertical="center"/>
    </xf>
    <xf numFmtId="4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68" fontId="2" fillId="0" borderId="0" xfId="0" applyNumberFormat="1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168" fontId="9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right" vertical="center" indent="1"/>
    </xf>
    <xf numFmtId="0" fontId="2" fillId="0" borderId="0" xfId="0" applyFont="1" applyAlignment="1">
      <alignment horizontal="right" vertical="center" indent="1"/>
    </xf>
    <xf numFmtId="0" fontId="7" fillId="0" borderId="0" xfId="0" applyFont="1" applyAlignment="1">
      <alignment horizontal="right" vertical="center" indent="1"/>
    </xf>
    <xf numFmtId="0" fontId="9" fillId="0" borderId="0" xfId="0" applyFont="1" applyAlignment="1">
      <alignment horizontal="right" vertical="center" indent="1"/>
    </xf>
    <xf numFmtId="44" fontId="6" fillId="0" borderId="0" xfId="2" applyFont="1" applyAlignment="1">
      <alignment vertical="center"/>
    </xf>
    <xf numFmtId="9" fontId="6" fillId="0" borderId="0" xfId="3" applyFont="1" applyAlignment="1">
      <alignment vertical="center"/>
    </xf>
    <xf numFmtId="20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3" fillId="0" borderId="0" xfId="1" applyNumberFormat="1" applyFont="1" applyFill="1" applyAlignment="1">
      <alignment horizontal="right" vertical="center"/>
    </xf>
    <xf numFmtId="20" fontId="6" fillId="0" borderId="0" xfId="0" applyNumberFormat="1" applyFont="1" applyAlignment="1">
      <alignment vertical="center"/>
    </xf>
    <xf numFmtId="44" fontId="3" fillId="0" borderId="0" xfId="2" applyFont="1" applyFill="1" applyBorder="1" applyAlignment="1">
      <alignment horizontal="center" vertical="center"/>
    </xf>
    <xf numFmtId="44" fontId="6" fillId="0" borderId="0" xfId="2" applyFont="1" applyAlignment="1">
      <alignment horizontal="center" vertical="center"/>
    </xf>
    <xf numFmtId="9" fontId="6" fillId="0" borderId="0" xfId="3" applyFont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4" fontId="6" fillId="0" borderId="0" xfId="0" applyNumberFormat="1" applyFont="1" applyAlignment="1">
      <alignment vertical="center"/>
    </xf>
    <xf numFmtId="0" fontId="6" fillId="3" borderId="0" xfId="0" applyFont="1" applyFill="1" applyAlignment="1">
      <alignment vertical="center"/>
    </xf>
    <xf numFmtId="8" fontId="6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vertical="center"/>
    </xf>
    <xf numFmtId="8" fontId="7" fillId="3" borderId="0" xfId="0" applyNumberFormat="1" applyFont="1" applyFill="1" applyAlignment="1">
      <alignment vertical="center"/>
    </xf>
    <xf numFmtId="6" fontId="3" fillId="0" borderId="0" xfId="2" applyNumberFormat="1" applyFont="1" applyFill="1" applyBorder="1" applyAlignment="1">
      <alignment horizontal="center" vertical="center"/>
    </xf>
    <xf numFmtId="20" fontId="11" fillId="0" borderId="0" xfId="0" applyNumberFormat="1" applyFont="1" applyAlignment="1">
      <alignment horizontal="center" vertical="center"/>
    </xf>
    <xf numFmtId="168" fontId="8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4" fontId="12" fillId="2" borderId="1" xfId="2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9" fontId="12" fillId="2" borderId="1" xfId="3" applyFont="1" applyFill="1" applyBorder="1" applyAlignment="1">
      <alignment horizontal="center" vertical="center"/>
    </xf>
    <xf numFmtId="44" fontId="5" fillId="0" borderId="0" xfId="2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0" fontId="2" fillId="0" borderId="0" xfId="1" applyNumberFormat="1" applyFont="1" applyAlignment="1">
      <alignment horizontal="right" vertical="center"/>
    </xf>
    <xf numFmtId="44" fontId="15" fillId="0" borderId="0" xfId="2" applyFont="1" applyFill="1" applyAlignment="1">
      <alignment vertic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6" fontId="17" fillId="0" borderId="0" xfId="0" applyNumberFormat="1" applyFont="1"/>
    <xf numFmtId="0" fontId="9" fillId="0" borderId="0" xfId="0" applyFont="1" applyAlignment="1">
      <alignment horizontal="left" vertical="center" indent="1"/>
    </xf>
    <xf numFmtId="2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20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1" fillId="0" borderId="2" xfId="0" applyFont="1" applyBorder="1"/>
    <xf numFmtId="0" fontId="21" fillId="0" borderId="3" xfId="0" applyFont="1" applyBorder="1"/>
    <xf numFmtId="0" fontId="21" fillId="0" borderId="0" xfId="0" applyFont="1"/>
    <xf numFmtId="0" fontId="22" fillId="0" borderId="2" xfId="0" applyFont="1" applyBorder="1"/>
    <xf numFmtId="0" fontId="22" fillId="0" borderId="3" xfId="0" applyFont="1" applyBorder="1"/>
    <xf numFmtId="0" fontId="23" fillId="0" borderId="3" xfId="0" applyFont="1" applyBorder="1"/>
    <xf numFmtId="0" fontId="23" fillId="0" borderId="4" xfId="0" applyFont="1" applyBorder="1"/>
    <xf numFmtId="0" fontId="24" fillId="0" borderId="5" xfId="0" applyFont="1" applyBorder="1"/>
    <xf numFmtId="0" fontId="25" fillId="5" borderId="6" xfId="0" applyFont="1" applyFill="1" applyBorder="1"/>
    <xf numFmtId="0" fontId="24" fillId="5" borderId="7" xfId="0" applyFont="1" applyFill="1" applyBorder="1"/>
    <xf numFmtId="0" fontId="24" fillId="5" borderId="6" xfId="0" applyFont="1" applyFill="1" applyBorder="1"/>
    <xf numFmtId="0" fontId="26" fillId="5" borderId="6" xfId="0" applyFont="1" applyFill="1" applyBorder="1"/>
    <xf numFmtId="0" fontId="27" fillId="5" borderId="6" xfId="0" applyFont="1" applyFill="1" applyBorder="1" applyAlignment="1">
      <alignment wrapText="1"/>
    </xf>
    <xf numFmtId="0" fontId="14" fillId="0" borderId="6" xfId="0" applyFont="1" applyBorder="1"/>
    <xf numFmtId="0" fontId="28" fillId="0" borderId="2" xfId="0" applyFont="1" applyBorder="1" applyAlignment="1">
      <alignment wrapText="1"/>
    </xf>
    <xf numFmtId="0" fontId="28" fillId="5" borderId="8" xfId="0" applyFont="1" applyFill="1" applyBorder="1"/>
    <xf numFmtId="0" fontId="28" fillId="0" borderId="4" xfId="0" applyFont="1" applyBorder="1" applyAlignment="1">
      <alignment wrapText="1"/>
    </xf>
    <xf numFmtId="0" fontId="28" fillId="0" borderId="8" xfId="0" applyFont="1" applyBorder="1" applyAlignment="1">
      <alignment wrapText="1"/>
    </xf>
    <xf numFmtId="0" fontId="28" fillId="5" borderId="8" xfId="0" applyFont="1" applyFill="1" applyBorder="1" applyAlignment="1">
      <alignment wrapText="1"/>
    </xf>
    <xf numFmtId="0" fontId="27" fillId="5" borderId="8" xfId="0" applyFont="1" applyFill="1" applyBorder="1" applyAlignment="1">
      <alignment wrapText="1"/>
    </xf>
    <xf numFmtId="0" fontId="14" fillId="0" borderId="8" xfId="0" applyFont="1" applyBorder="1"/>
    <xf numFmtId="0" fontId="29" fillId="0" borderId="2" xfId="0" applyFont="1" applyBorder="1" applyAlignment="1">
      <alignment wrapText="1"/>
    </xf>
    <xf numFmtId="0" fontId="29" fillId="0" borderId="8" xfId="0" applyFont="1" applyBorder="1"/>
    <xf numFmtId="0" fontId="29" fillId="0" borderId="4" xfId="0" applyFont="1" applyBorder="1" applyAlignment="1">
      <alignment wrapText="1"/>
    </xf>
    <xf numFmtId="0" fontId="29" fillId="0" borderId="8" xfId="0" applyFont="1" applyBorder="1" applyAlignment="1">
      <alignment wrapText="1"/>
    </xf>
    <xf numFmtId="0" fontId="29" fillId="5" borderId="8" xfId="0" applyFont="1" applyFill="1" applyBorder="1" applyAlignment="1">
      <alignment wrapText="1"/>
    </xf>
    <xf numFmtId="0" fontId="29" fillId="5" borderId="8" xfId="0" quotePrefix="1" applyFont="1" applyFill="1" applyBorder="1" applyAlignment="1">
      <alignment wrapText="1"/>
    </xf>
    <xf numFmtId="0" fontId="29" fillId="5" borderId="8" xfId="0" applyFont="1" applyFill="1" applyBorder="1"/>
    <xf numFmtId="0" fontId="26" fillId="6" borderId="8" xfId="0" applyFont="1" applyFill="1" applyBorder="1" applyAlignment="1">
      <alignment wrapText="1"/>
    </xf>
    <xf numFmtId="0" fontId="26" fillId="6" borderId="8" xfId="0" applyFont="1" applyFill="1" applyBorder="1"/>
    <xf numFmtId="165" fontId="26" fillId="6" borderId="8" xfId="0" applyNumberFormat="1" applyFont="1" applyFill="1" applyBorder="1" applyAlignment="1">
      <alignment wrapText="1"/>
    </xf>
    <xf numFmtId="165" fontId="26" fillId="6" borderId="8" xfId="0" applyNumberFormat="1" applyFont="1" applyFill="1" applyBorder="1"/>
    <xf numFmtId="164" fontId="26" fillId="6" borderId="8" xfId="0" applyNumberFormat="1" applyFont="1" applyFill="1" applyBorder="1"/>
    <xf numFmtId="0" fontId="26" fillId="0" borderId="8" xfId="0" applyFont="1" applyBorder="1" applyAlignment="1">
      <alignment wrapText="1"/>
    </xf>
    <xf numFmtId="0" fontId="26" fillId="0" borderId="8" xfId="0" applyFont="1" applyBorder="1"/>
    <xf numFmtId="165" fontId="26" fillId="0" borderId="8" xfId="0" applyNumberFormat="1" applyFont="1" applyBorder="1" applyAlignment="1">
      <alignment wrapText="1"/>
    </xf>
    <xf numFmtId="165" fontId="26" fillId="0" borderId="8" xfId="0" applyNumberFormat="1" applyFont="1" applyBorder="1"/>
    <xf numFmtId="164" fontId="26" fillId="0" borderId="8" xfId="0" applyNumberFormat="1" applyFont="1" applyBorder="1"/>
    <xf numFmtId="0" fontId="26" fillId="0" borderId="6" xfId="0" applyFont="1" applyBorder="1" applyAlignment="1">
      <alignment wrapText="1"/>
    </xf>
    <xf numFmtId="0" fontId="26" fillId="0" borderId="6" xfId="0" applyFont="1" applyBorder="1"/>
    <xf numFmtId="0" fontId="26" fillId="7" borderId="6" xfId="0" applyFont="1" applyFill="1" applyBorder="1" applyAlignment="1">
      <alignment wrapText="1"/>
    </xf>
    <xf numFmtId="0" fontId="30" fillId="0" borderId="6" xfId="0" applyFont="1" applyBorder="1"/>
    <xf numFmtId="0" fontId="30" fillId="0" borderId="6" xfId="0" applyFont="1" applyBorder="1" applyAlignment="1">
      <alignment wrapText="1"/>
    </xf>
    <xf numFmtId="0" fontId="26" fillId="0" borderId="0" xfId="0" applyFont="1"/>
    <xf numFmtId="0" fontId="29" fillId="0" borderId="0" xfId="0" applyFont="1"/>
    <xf numFmtId="0" fontId="14" fillId="0" borderId="0" xfId="0" applyFont="1"/>
    <xf numFmtId="0" fontId="26" fillId="7" borderId="8" xfId="0" applyFont="1" applyFill="1" applyBorder="1" applyAlignment="1">
      <alignment wrapText="1"/>
    </xf>
    <xf numFmtId="0" fontId="26" fillId="6" borderId="6" xfId="0" applyFont="1" applyFill="1" applyBorder="1" applyAlignment="1">
      <alignment wrapText="1"/>
    </xf>
    <xf numFmtId="0" fontId="26" fillId="6" borderId="6" xfId="0" applyFont="1" applyFill="1" applyBorder="1"/>
    <xf numFmtId="0" fontId="28" fillId="5" borderId="9" xfId="0" applyFont="1" applyFill="1" applyBorder="1" applyAlignment="1">
      <alignment wrapText="1"/>
    </xf>
    <xf numFmtId="0" fontId="28" fillId="5" borderId="6" xfId="0" applyFont="1" applyFill="1" applyBorder="1" applyAlignment="1">
      <alignment wrapText="1"/>
    </xf>
    <xf numFmtId="0" fontId="31" fillId="0" borderId="0" xfId="0" applyFont="1" applyAlignment="1">
      <alignment vertical="center"/>
    </xf>
    <xf numFmtId="0" fontId="28" fillId="5" borderId="9" xfId="0" applyFont="1" applyFill="1" applyBorder="1" applyAlignment="1">
      <alignment wrapText="1"/>
    </xf>
    <xf numFmtId="0" fontId="28" fillId="5" borderId="6" xfId="0" applyFont="1" applyFill="1" applyBorder="1" applyAlignment="1">
      <alignment wrapText="1"/>
    </xf>
    <xf numFmtId="14" fontId="5" fillId="0" borderId="0" xfId="0" applyNumberFormat="1" applyFont="1" applyAlignment="1">
      <alignment horizontal="center"/>
    </xf>
  </cellXfs>
  <cellStyles count="5">
    <cellStyle name="Comma" xfId="1" builtinId="3"/>
    <cellStyle name="Currency" xfId="2" builtinId="4"/>
    <cellStyle name="Normal" xfId="0" builtinId="0"/>
    <cellStyle name="Normal 2" xfId="4" xr:uid="{63DF5B9A-A5BA-B64D-ACFE-29D356C6A588}"/>
    <cellStyle name="Per cent" xfId="3" builtinId="5"/>
  </cellStyles>
  <dxfs count="15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numFmt numFmtId="168" formatCode="ddd\ dd/mm/yyyy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49998474074526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theme="2" tint="-0.499984740745262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0E0E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color rgb="FF0E0E0E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z val="11"/>
        <name val="Arial"/>
        <family val="2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MT"/>
        <family val="2"/>
        <scheme val="none"/>
      </font>
      <numFmt numFmtId="168" formatCode="ddd\ dd/mm/yyyy"/>
      <alignment horizontal="left" vertical="center" textRotation="0" wrapText="0" indent="0" justifyLastLine="0" shrinkToFit="0" readingOrder="0"/>
    </dxf>
    <dxf>
      <font>
        <b val="0"/>
        <sz val="11"/>
      </font>
      <numFmt numFmtId="168" formatCode="ddd\ dd/mm/yyyy"/>
      <alignment horizontal="left" vertical="center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Wages vs</a:t>
            </a:r>
            <a:r>
              <a:rPr lang="en-GB" baseline="0"/>
              <a:t> Profit</a:t>
            </a:r>
            <a:r>
              <a:rPr lang="en-GB"/>
              <a:t> Chart (Right to left)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Totals!$C$2</c:f>
              <c:strCache>
                <c:ptCount val="1"/>
                <c:pt idx="0">
                  <c:v>Wages (Incl. Super)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Totals!$A$3:$A$20</c:f>
              <c:strCache>
                <c:ptCount val="18"/>
                <c:pt idx="0">
                  <c:v>11 July 25</c:v>
                </c:pt>
                <c:pt idx="1">
                  <c:v>4 July 25 </c:v>
                </c:pt>
                <c:pt idx="2">
                  <c:v>27 June 25</c:v>
                </c:pt>
                <c:pt idx="3">
                  <c:v>20 June 25</c:v>
                </c:pt>
                <c:pt idx="4">
                  <c:v>13 June 25</c:v>
                </c:pt>
                <c:pt idx="5">
                  <c:v>6 June 25</c:v>
                </c:pt>
                <c:pt idx="6">
                  <c:v>23 May 25</c:v>
                </c:pt>
                <c:pt idx="7">
                  <c:v>30 May 25</c:v>
                </c:pt>
                <c:pt idx="8">
                  <c:v>17 May 25</c:v>
                </c:pt>
                <c:pt idx="9">
                  <c:v>9 May 25</c:v>
                </c:pt>
                <c:pt idx="10">
                  <c:v>2 May 25</c:v>
                </c:pt>
                <c:pt idx="11">
                  <c:v>25 April 25</c:v>
                </c:pt>
                <c:pt idx="12">
                  <c:v>18 April 25</c:v>
                </c:pt>
                <c:pt idx="13">
                  <c:v>4 April 25</c:v>
                </c:pt>
                <c:pt idx="14">
                  <c:v>11 April 25</c:v>
                </c:pt>
                <c:pt idx="15">
                  <c:v>28 March 25</c:v>
                </c:pt>
                <c:pt idx="16">
                  <c:v>21 March 25</c:v>
                </c:pt>
                <c:pt idx="17">
                  <c:v>14 March 25</c:v>
                </c:pt>
              </c:strCache>
            </c:strRef>
          </c:cat>
          <c:val>
            <c:numRef>
              <c:f>Totals!$C$3:$C$20</c:f>
              <c:numCache>
                <c:formatCode>_("$"* #,##0.00_);_("$"* \(#,##0.00\);_("$"* "-"??_);_(@_)</c:formatCode>
                <c:ptCount val="18"/>
                <c:pt idx="0">
                  <c:v>0</c:v>
                </c:pt>
                <c:pt idx="1">
                  <c:v>6390.2233299999989</c:v>
                </c:pt>
                <c:pt idx="2">
                  <c:v>6852.0998149999987</c:v>
                </c:pt>
                <c:pt idx="3">
                  <c:v>7404.5622450000001</c:v>
                </c:pt>
                <c:pt idx="4">
                  <c:v>4322.4034249999995</c:v>
                </c:pt>
                <c:pt idx="5">
                  <c:v>1866.5178049999997</c:v>
                </c:pt>
                <c:pt idx="6">
                  <c:v>1103.72</c:v>
                </c:pt>
                <c:pt idx="7">
                  <c:v>992.96</c:v>
                </c:pt>
                <c:pt idx="8">
                  <c:v>1605.6399999999999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5779.6069599999983</c:v>
                </c:pt>
                <c:pt idx="13">
                  <c:v>6691.0581349999993</c:v>
                </c:pt>
                <c:pt idx="14">
                  <c:v>7245.7572550000004</c:v>
                </c:pt>
                <c:pt idx="15">
                  <c:v>7017.6148749999984</c:v>
                </c:pt>
                <c:pt idx="16">
                  <c:v>3903.0240499999991</c:v>
                </c:pt>
                <c:pt idx="17">
                  <c:v>4402.9242649999987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F4-FB43-8BA4-5110A035445A}"/>
            </c:ext>
          </c:extLst>
        </c:ser>
        <c:ser>
          <c:idx val="1"/>
          <c:order val="1"/>
          <c:tx>
            <c:strRef>
              <c:f>Totals!$D$2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Totals!$A$3:$A$20</c:f>
              <c:strCache>
                <c:ptCount val="18"/>
                <c:pt idx="0">
                  <c:v>11 July 25</c:v>
                </c:pt>
                <c:pt idx="1">
                  <c:v>4 July 25 </c:v>
                </c:pt>
                <c:pt idx="2">
                  <c:v>27 June 25</c:v>
                </c:pt>
                <c:pt idx="3">
                  <c:v>20 June 25</c:v>
                </c:pt>
                <c:pt idx="4">
                  <c:v>13 June 25</c:v>
                </c:pt>
                <c:pt idx="5">
                  <c:v>6 June 25</c:v>
                </c:pt>
                <c:pt idx="6">
                  <c:v>23 May 25</c:v>
                </c:pt>
                <c:pt idx="7">
                  <c:v>30 May 25</c:v>
                </c:pt>
                <c:pt idx="8">
                  <c:v>17 May 25</c:v>
                </c:pt>
                <c:pt idx="9">
                  <c:v>9 May 25</c:v>
                </c:pt>
                <c:pt idx="10">
                  <c:v>2 May 25</c:v>
                </c:pt>
                <c:pt idx="11">
                  <c:v>25 April 25</c:v>
                </c:pt>
                <c:pt idx="12">
                  <c:v>18 April 25</c:v>
                </c:pt>
                <c:pt idx="13">
                  <c:v>4 April 25</c:v>
                </c:pt>
                <c:pt idx="14">
                  <c:v>11 April 25</c:v>
                </c:pt>
                <c:pt idx="15">
                  <c:v>28 March 25</c:v>
                </c:pt>
                <c:pt idx="16">
                  <c:v>21 March 25</c:v>
                </c:pt>
                <c:pt idx="17">
                  <c:v>14 March 25</c:v>
                </c:pt>
              </c:strCache>
            </c:strRef>
          </c:cat>
          <c:val>
            <c:numRef>
              <c:f>Totals!$D$3:$D$20</c:f>
              <c:numCache>
                <c:formatCode>_("$"* #,##0.00_);_("$"* \(#,##0.00\);_("$"* "-"??_);_(@_)</c:formatCode>
                <c:ptCount val="18"/>
                <c:pt idx="0">
                  <c:v>0</c:v>
                </c:pt>
                <c:pt idx="1">
                  <c:v>2995.3279350000003</c:v>
                </c:pt>
                <c:pt idx="2">
                  <c:v>3055.1384000000007</c:v>
                </c:pt>
                <c:pt idx="3">
                  <c:v>0</c:v>
                </c:pt>
                <c:pt idx="4">
                  <c:v>2896.7979750000013</c:v>
                </c:pt>
                <c:pt idx="5">
                  <c:v>565.49467000000027</c:v>
                </c:pt>
                <c:pt idx="6">
                  <c:v>731.8</c:v>
                </c:pt>
                <c:pt idx="7">
                  <c:v>942.4</c:v>
                </c:pt>
                <c:pt idx="8">
                  <c:v>1299.3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3305.3930399999999</c:v>
                </c:pt>
                <c:pt idx="13">
                  <c:v>3978.9418649999993</c:v>
                </c:pt>
                <c:pt idx="14">
                  <c:v>4499.2427450000014</c:v>
                </c:pt>
                <c:pt idx="15">
                  <c:v>5029.2196250000025</c:v>
                </c:pt>
                <c:pt idx="16">
                  <c:v>2341.9759500000009</c:v>
                </c:pt>
                <c:pt idx="17">
                  <c:v>2867.0757350000013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F4-FB43-8BA4-5110A0354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04767"/>
        <c:axId val="744528847"/>
      </c:lineChart>
      <c:catAx>
        <c:axId val="240304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28847"/>
        <c:crosses val="autoZero"/>
        <c:auto val="1"/>
        <c:lblAlgn val="ctr"/>
        <c:lblOffset val="100"/>
        <c:noMultiLvlLbl val="0"/>
      </c:catAx>
      <c:valAx>
        <c:axId val="74452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0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Quote</a:t>
            </a:r>
            <a:r>
              <a:rPr lang="en-GB" baseline="0"/>
              <a:t> to Wages % (Right to left)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Totals!$E$2</c:f>
              <c:strCache>
                <c:ptCount val="1"/>
                <c:pt idx="0">
                  <c:v>Quote/Wages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Totals!$A$3:$A$20</c:f>
              <c:strCache>
                <c:ptCount val="18"/>
                <c:pt idx="0">
                  <c:v>11 July 25</c:v>
                </c:pt>
                <c:pt idx="1">
                  <c:v>4 July 25 </c:v>
                </c:pt>
                <c:pt idx="2">
                  <c:v>27 June 25</c:v>
                </c:pt>
                <c:pt idx="3">
                  <c:v>20 June 25</c:v>
                </c:pt>
                <c:pt idx="4">
                  <c:v>13 June 25</c:v>
                </c:pt>
                <c:pt idx="5">
                  <c:v>6 June 25</c:v>
                </c:pt>
                <c:pt idx="6">
                  <c:v>23 May 25</c:v>
                </c:pt>
                <c:pt idx="7">
                  <c:v>30 May 25</c:v>
                </c:pt>
                <c:pt idx="8">
                  <c:v>17 May 25</c:v>
                </c:pt>
                <c:pt idx="9">
                  <c:v>9 May 25</c:v>
                </c:pt>
                <c:pt idx="10">
                  <c:v>2 May 25</c:v>
                </c:pt>
                <c:pt idx="11">
                  <c:v>25 April 25</c:v>
                </c:pt>
                <c:pt idx="12">
                  <c:v>18 April 25</c:v>
                </c:pt>
                <c:pt idx="13">
                  <c:v>4 April 25</c:v>
                </c:pt>
                <c:pt idx="14">
                  <c:v>11 April 25</c:v>
                </c:pt>
                <c:pt idx="15">
                  <c:v>28 March 25</c:v>
                </c:pt>
                <c:pt idx="16">
                  <c:v>21 March 25</c:v>
                </c:pt>
                <c:pt idx="17">
                  <c:v>14 March 25</c:v>
                </c:pt>
              </c:strCache>
            </c:strRef>
          </c:cat>
          <c:val>
            <c:numRef>
              <c:f>Totals!$E$3:$E$20</c:f>
              <c:numCache>
                <c:formatCode>0%</c:formatCode>
                <c:ptCount val="18"/>
                <c:pt idx="0">
                  <c:v>0</c:v>
                </c:pt>
                <c:pt idx="1">
                  <c:v>0.7124444123202841</c:v>
                </c:pt>
                <c:pt idx="2">
                  <c:v>0.67763105566300497</c:v>
                </c:pt>
                <c:pt idx="3">
                  <c:v>0</c:v>
                </c:pt>
                <c:pt idx="4">
                  <c:v>0.61852204144755651</c:v>
                </c:pt>
                <c:pt idx="5">
                  <c:v>0.71848937518498934</c:v>
                </c:pt>
                <c:pt idx="6">
                  <c:v>395.98</c:v>
                </c:pt>
                <c:pt idx="7">
                  <c:v>401.4</c:v>
                </c:pt>
                <c:pt idx="8">
                  <c:v>878.04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0.6375151556504095</c:v>
                </c:pt>
                <c:pt idx="13">
                  <c:v>0.63590879392376209</c:v>
                </c:pt>
                <c:pt idx="14">
                  <c:v>0.62974164870813243</c:v>
                </c:pt>
                <c:pt idx="15">
                  <c:v>0.59318226519279882</c:v>
                </c:pt>
                <c:pt idx="16">
                  <c:v>0.64917264502889993</c:v>
                </c:pt>
                <c:pt idx="17">
                  <c:v>0.60882117176301997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7-B04D-A4D4-3B77EFA90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04767"/>
        <c:axId val="744528847"/>
      </c:lineChart>
      <c:catAx>
        <c:axId val="240304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28847"/>
        <c:crosses val="autoZero"/>
        <c:auto val="1"/>
        <c:lblAlgn val="ctr"/>
        <c:lblOffset val="100"/>
        <c:noMultiLvlLbl val="0"/>
      </c:catAx>
      <c:valAx>
        <c:axId val="74452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0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rnd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542192</xdr:colOff>
      <xdr:row>2</xdr:row>
      <xdr:rowOff>9769</xdr:rowOff>
    </xdr:from>
    <xdr:to>
      <xdr:col>10</xdr:col>
      <xdr:colOff>9769</xdr:colOff>
      <xdr:row>13</xdr:row>
      <xdr:rowOff>312616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61395F-A549-7269-3448-13077D5BE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556847</xdr:colOff>
      <xdr:row>15</xdr:row>
      <xdr:rowOff>205154</xdr:rowOff>
    </xdr:from>
    <xdr:to>
      <xdr:col>10</xdr:col>
      <xdr:colOff>24424</xdr:colOff>
      <xdr:row>24</xdr:row>
      <xdr:rowOff>48846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42AE12-425F-B74D-8BF7-3BB0BC9F21BC}"/>
            </a:ext>
            <a:ext uri="{147F2762-F138-4A5C-976F-8EAC2B608ADB}">
              <a16:predDERef xmlns:a16="http://schemas.microsoft.com/office/drawing/2014/main" pred="{3661395F-A549-7269-3448-13077D5BE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EA5284C8-971E-BB4F-AF7C-A117336CDEBA}" name="Table226121014166462" displayName="Table226121014166462" ref="A1:L48" totalsRowCount="1" headerRowDxfId="1552" dataDxfId="1551" totalsRowDxfId="1550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8DFD50A2-0468-C347-9BA1-E8B83D603C3F}" name="Date" dataDxfId="1549" totalsRowDxfId="1548"/>
    <tableColumn id="2" xr3:uid="{22305932-A26E-7749-B97D-0883E0EF7107}" name="Team" dataDxfId="1547" totalsRowDxfId="1546"/>
    <tableColumn id="3" xr3:uid="{9C9D47F7-B526-3946-811F-BE68307A82DB}" name="Client" dataDxfId="1545" totalsRowDxfId="1544"/>
    <tableColumn id="4" xr3:uid="{57187728-2DC6-F24C-9B88-C35554B31543}" name="Start" dataDxfId="1543" totalsRowDxfId="1542"/>
    <tableColumn id="5" xr3:uid="{775D3FE5-CC49-2943-AF78-C0991DA88CB7}" name="Finish" dataDxfId="1541" totalsRowDxfId="1540"/>
    <tableColumn id="6" xr3:uid="{10019061-F19E-D542-8785-7AD6018F9FD0}" name="Lunch Break" dataDxfId="1539" totalsRowDxfId="1538">
      <calculatedColumnFormula>IF(E2="","","No")</calculatedColumnFormula>
    </tableColumn>
    <tableColumn id="7" xr3:uid="{610F48CC-BAF9-5540-99F6-839992AAE7CF}" name="Duration" dataDxfId="1537" totalsRowDxfId="1536">
      <calculatedColumnFormula>IF(E2="","",IF(F2="Yes",(E2-D2)-TIME(0,30,0),E2-D2))</calculatedColumnFormula>
    </tableColumn>
    <tableColumn id="8" xr3:uid="{9AA8243E-B9AF-EB4D-8D2D-D07698746037}" name="Quoted" totalsRowFunction="sum" dataDxfId="1535" totalsRowDxfId="1534" dataCellStyle="Currency">
      <calculatedColumnFormula>_xlfn.IFNA(VLOOKUP(C:C,'Active Jobs'!B:K,8,0),"")</calculatedColumnFormula>
    </tableColumn>
    <tableColumn id="9" xr3:uid="{C1FF7115-DC37-F446-BA6A-D6CE9019854C}" name="Hours Payable" totalsRowFunction="sum" dataDxfId="1533" totalsRowDxfId="1532">
      <calculatedColumnFormula>IF(F2="Yes",(E2-D2)*24-0.5,IF(F2="No",(E2-D2)*24,""))</calculatedColumnFormula>
    </tableColumn>
    <tableColumn id="10" xr3:uid="{919CDCAE-FF17-ED44-8508-FB723C0E06A4}" name="Wages (Incl. Super)" totalsRowFunction="sum" dataDxfId="1531" totalsRowDxfId="1530" dataCellStyle="Currency">
      <calculatedColumnFormula>IF(G2="","",G2*24*HourlyRate*2*(1+Super))</calculatedColumnFormula>
    </tableColumn>
    <tableColumn id="11" xr3:uid="{FDA8DABD-4465-624C-971A-15B3C2094335}" name="Profit" totalsRowFunction="sum" dataDxfId="1529" totalsRowDxfId="1528" dataCellStyle="Currency">
      <calculatedColumnFormula>IF(H2="","",IF(E2="","",IF(J2=0,0,H2-J2)))</calculatedColumnFormula>
    </tableColumn>
    <tableColumn id="12" xr3:uid="{FB9098BF-1312-9843-8FA0-D3DFBB5F66C8}" name="Quote/Wages" totalsRowFunction="custom" dataDxfId="1527" totalsRowDxfId="1526">
      <calculatedColumnFormula>IF(K2="","",IF(H2=0,1,J2/H2))</calculatedColumnFormula>
      <totalsRowFormula>IF(L2="","",SUBTOTAL(101,Table226121014166462[Quote/Wages]))</totalsRowFormula>
    </tableColumn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D4938BF-1CFE-D545-A36C-0F0E2FE54C2F}" name="Table447131115176563" displayName="Table447131115176563" ref="O2:T18" headerRowCount="0" headerRowDxfId="1525" dataDxfId="1524">
  <tableColumns count="6">
    <tableColumn id="1" xr3:uid="{86C86E2B-67CC-5C49-8457-FE877088A1A0}" name="Column1" totalsRowFunction="sum" headerRowDxfId="1523" dataDxfId="1522" totalsRowDxfId="1521">
      <calculatedColumnFormula>IF(N2="","",ROUND(SUMIFS($I:$I,$A:$A,O$1,$B:$B,"*"&amp;$N2&amp;"*"),2))</calculatedColumnFormula>
    </tableColumn>
    <tableColumn id="2" xr3:uid="{EC7E94CB-D915-064D-91F8-3FA2479EA479}" name="Column2" totalsRowFunction="sum" headerRowDxfId="1520" dataDxfId="1519" totalsRowDxfId="1518">
      <calculatedColumnFormula>IF(O2="","",ROUND(SUMIFS($I:$I,$A:$A,P$1,$B:$B,"*"&amp;$N2&amp;"*"),2))</calculatedColumnFormula>
    </tableColumn>
    <tableColumn id="3" xr3:uid="{EAE76991-AE45-5B4C-9AB6-FDFBA385C0B0}" name="Column3" totalsRowFunction="sum" headerRowDxfId="1517" dataDxfId="1516" totalsRowDxfId="1515">
      <calculatedColumnFormula>IF(P2="","",ROUND(SUMIFS($I:$I,$A:$A,Q$1,$B:$B,"*"&amp;$N2&amp;"*"),2))</calculatedColumnFormula>
    </tableColumn>
    <tableColumn id="4" xr3:uid="{FD2D3465-D550-6546-93FC-3BA9EDFA9114}" name="Column4" totalsRowFunction="sum" headerRowDxfId="1514" dataDxfId="1513" totalsRowDxfId="1512">
      <calculatedColumnFormula>IF(Q2="","",ROUND(SUMIFS($I:$I,$A:$A,R$1,$B:$B,"*"&amp;$N2&amp;"*"),2))</calculatedColumnFormula>
    </tableColumn>
    <tableColumn id="5" xr3:uid="{F28E9CF8-4F3A-5642-BC56-8B14F20B41FC}" name="Column5" totalsRowFunction="sum" headerRowDxfId="1511" dataDxfId="1510" totalsRowDxfId="1509">
      <calculatedColumnFormula>IF(R2="","",ROUND(SUMIFS($I:$I,$A:$A,S$1,$B:$B,"*"&amp;$N2&amp;"*"),2))</calculatedColumnFormula>
    </tableColumn>
    <tableColumn id="6" xr3:uid="{DD6FB0C0-948B-E14A-BE13-E60FCEF0C0DB}" name="Column6" totalsRowFunction="sum" headerRowDxfId="1508" dataDxfId="1507" totalsRowDxfId="1506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ABF998E-14DB-42CE-BA0C-B4A61DD5CF1C}" name="Table2261210141664" displayName="Table2261210141664" ref="A1:L48" totalsRowCount="1" headerRowDxfId="1505" dataDxfId="1504" totalsRowDxfId="1503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B90C7EB2-BED0-4D18-9289-E8FFAE7C638C}" name="Date" dataDxfId="1502" totalsRowDxfId="1501"/>
    <tableColumn id="2" xr3:uid="{0A98C42A-D372-474F-BF33-8D06FD66DF88}" name="Team" dataDxfId="1500" totalsRowDxfId="1499"/>
    <tableColumn id="3" xr3:uid="{3CD7CF31-C3B3-4892-835D-75841F5EB005}" name="Client" dataDxfId="1498" totalsRowDxfId="1497"/>
    <tableColumn id="4" xr3:uid="{006D5FF5-7E1D-4723-9891-34965B50706B}" name="Start" dataDxfId="1496" totalsRowDxfId="1495"/>
    <tableColumn id="5" xr3:uid="{828A82EF-45C1-4D79-9ADB-5A5F13FC8456}" name="Finish" dataDxfId="1494" totalsRowDxfId="1493"/>
    <tableColumn id="6" xr3:uid="{6DFFC24E-0EF8-4B93-90D8-6F14847F5649}" name="Lunch Break" dataDxfId="1492" totalsRowDxfId="1491">
      <calculatedColumnFormula>IF(E2="","","No")</calculatedColumnFormula>
    </tableColumn>
    <tableColumn id="7" xr3:uid="{01AD3ABE-5DE9-4F27-933C-E0C2CCCE7DC1}" name="Duration" dataDxfId="1490" totalsRowDxfId="1489">
      <calculatedColumnFormula>IF(E2="","",IF(F2="Yes",(E2-D2)-TIME(0,30,0),E2-D2))</calculatedColumnFormula>
    </tableColumn>
    <tableColumn id="8" xr3:uid="{5684CA25-9DAD-4C5C-857C-401C97D84EB8}" name="Quoted" totalsRowFunction="sum" dataDxfId="1488" totalsRowDxfId="1487" dataCellStyle="Currency">
      <calculatedColumnFormula>_xlfn.IFNA(VLOOKUP(C:C,'Active Jobs'!B:K,8,0),"")</calculatedColumnFormula>
    </tableColumn>
    <tableColumn id="9" xr3:uid="{9FE098DF-9D65-46DC-B06E-FCD480B5C8B3}" name="Hours Payable" totalsRowFunction="sum" dataDxfId="1486" totalsRowDxfId="1485">
      <calculatedColumnFormula>IF(F2="Yes",(E2-D2)*24-0.5,IF(F2="No",(E2-D2)*24,""))</calculatedColumnFormula>
    </tableColumn>
    <tableColumn id="10" xr3:uid="{7A646824-D039-4968-AD7F-3EE996ABBDAD}" name="Wages (Incl. Super)" totalsRowFunction="sum" dataDxfId="1484" totalsRowDxfId="1483" dataCellStyle="Currency">
      <calculatedColumnFormula>IF(G2="","",G2*24*HourlyRate*2*(1+Super))</calculatedColumnFormula>
    </tableColumn>
    <tableColumn id="11" xr3:uid="{175107B4-AF56-4473-A26A-6DAB98468002}" name="Profit" totalsRowFunction="sum" dataDxfId="1482" totalsRowDxfId="1481" dataCellStyle="Currency">
      <calculatedColumnFormula>IF(H2="","",IF(E2="","",IF(J2=0,0,H2-J2)))</calculatedColumnFormula>
    </tableColumn>
    <tableColumn id="12" xr3:uid="{4668894C-57BF-49D0-BE7B-E33AFA4BF34A}" name="Quote/Wages" totalsRowFunction="custom" dataDxfId="1480" totalsRowDxfId="1479">
      <calculatedColumnFormula>IF(K2="","",IF(H2=0,1,J2/H2))</calculatedColumnFormula>
      <totalsRowFormula>IF(L2="","",SUBTOTAL(101,Table2261210141664[Quote/Wages]))</totalsRowFormula>
    </tableColumn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DB7C51E-9F95-4858-A001-6765CD2DF8B7}" name="Table4471311151765" displayName="Table4471311151765" ref="O2:T18" headerRowCount="0" headerRowDxfId="1478" dataDxfId="1477">
  <tableColumns count="6">
    <tableColumn id="1" xr3:uid="{BDA00CF4-BC10-4490-89CD-B2C723E17334}" name="Column1" totalsRowFunction="sum" headerRowDxfId="1476" dataDxfId="1475" totalsRowDxfId="1474">
      <calculatedColumnFormula>IF(N2="","",ROUND(SUMIFS($I:$I,$A:$A,O$1,$B:$B,"*"&amp;$N2&amp;"*"),2))</calculatedColumnFormula>
    </tableColumn>
    <tableColumn id="2" xr3:uid="{C236F7E8-9F68-48FD-AB0F-E8622A1688EA}" name="Column2" totalsRowFunction="sum" headerRowDxfId="1473" dataDxfId="1472" totalsRowDxfId="1471">
      <calculatedColumnFormula>IF(O2="","",ROUND(SUMIFS($I:$I,$A:$A,P$1,$B:$B,"*"&amp;$N2&amp;"*"),2))</calculatedColumnFormula>
    </tableColumn>
    <tableColumn id="3" xr3:uid="{633CB403-1BA0-4F7B-B98F-7937E09B1176}" name="Column3" totalsRowFunction="sum" headerRowDxfId="1470" dataDxfId="1469" totalsRowDxfId="1468">
      <calculatedColumnFormula>IF(P2="","",ROUND(SUMIFS($I:$I,$A:$A,Q$1,$B:$B,"*"&amp;$N2&amp;"*"),2))</calculatedColumnFormula>
    </tableColumn>
    <tableColumn id="4" xr3:uid="{E389415A-5EC4-49C0-8ECE-48E6C7579CB2}" name="Column4" totalsRowFunction="sum" headerRowDxfId="1467" dataDxfId="1466" totalsRowDxfId="1465">
      <calculatedColumnFormula>IF(Q2="","",ROUND(SUMIFS($I:$I,$A:$A,R$1,$B:$B,"*"&amp;$N2&amp;"*"),2))</calculatedColumnFormula>
    </tableColumn>
    <tableColumn id="5" xr3:uid="{C00437A9-B4CF-4D29-AA48-1798BCAC75ED}" name="Column5" totalsRowFunction="sum" headerRowDxfId="1464" dataDxfId="1463" totalsRowDxfId="1462">
      <calculatedColumnFormula>IF(R2="","",ROUND(SUMIFS($I:$I,$A:$A,S$1,$B:$B,"*"&amp;$N2&amp;"*"),2))</calculatedColumnFormula>
    </tableColumn>
    <tableColumn id="6" xr3:uid="{4C65B847-DA36-49B4-B5B8-E8E5F223B2E7}" name="Column6" totalsRowFunction="sum" headerRowDxfId="1461" dataDxfId="1460" totalsRowDxfId="1459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896F030-ACF5-4B2F-984C-DC28A3F76A9D}" name="Table22612101416" displayName="Table22612101416" ref="A1:L48" totalsRowCount="1" headerRowDxfId="1458" dataDxfId="1457" totalsRowDxfId="1456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B905AC40-5F2B-4F21-9285-FD34CE6F92E3}" name="Date" dataDxfId="1455" totalsRowDxfId="1454"/>
    <tableColumn id="2" xr3:uid="{5E37160E-6025-4FBE-9566-6EC0A05C275F}" name="Team" dataDxfId="1453" totalsRowDxfId="1452"/>
    <tableColumn id="3" xr3:uid="{1CDFC8A0-6F33-4C42-A18A-63082A11A890}" name="Client" dataDxfId="1451" totalsRowDxfId="1450"/>
    <tableColumn id="4" xr3:uid="{53D950E8-E3F0-40BC-B403-959331CAB3FE}" name="Start" dataDxfId="1449" totalsRowDxfId="1448"/>
    <tableColumn id="5" xr3:uid="{22E10CDC-31D4-4D66-AEB1-D0415A551CE6}" name="Finish" dataDxfId="1447" totalsRowDxfId="1446"/>
    <tableColumn id="6" xr3:uid="{77EC66D6-B0B6-465B-BD01-368A23A48761}" name="Lunch Break" dataDxfId="1445" totalsRowDxfId="1444">
      <calculatedColumnFormula>IF(E2="","","No")</calculatedColumnFormula>
    </tableColumn>
    <tableColumn id="7" xr3:uid="{71B38E16-0861-4088-966A-4A2D4C55848F}" name="Duration (h:mm)" dataDxfId="1443" totalsRowDxfId="1442">
      <calculatedColumnFormula>IF(E2="","",IF(F2="Yes",(E2-D2)-TIME(0,30,0),E2-D2))</calculatedColumnFormula>
    </tableColumn>
    <tableColumn id="8" xr3:uid="{3A476BE7-FC69-4A05-BBF4-D5CB42EC44CF}" name="Quoted" totalsRowFunction="sum" dataDxfId="1441" totalsRowDxfId="1440" dataCellStyle="Currency">
      <calculatedColumnFormula>_xlfn.IFNA(VLOOKUP(C:C,'Active Jobs'!B:K,8,0),"")</calculatedColumnFormula>
    </tableColumn>
    <tableColumn id="9" xr3:uid="{235F4207-6CBE-44BA-9FCD-8C0B54412EAD}" name="Hours Payable" totalsRowFunction="sum" dataDxfId="1439" totalsRowDxfId="1438">
      <calculatedColumnFormula>IF(F2="Yes",(E2-D2)*24-0.5,IF(F2="No",(E2-D2)*24,""))</calculatedColumnFormula>
    </tableColumn>
    <tableColumn id="10" xr3:uid="{C92A7512-D3B0-442D-8200-68379E05DAC3}" name="Wages (Incl. Super)" totalsRowFunction="sum" dataDxfId="1437" totalsRowDxfId="1436" dataCellStyle="Currency">
      <calculatedColumnFormula>IF(G2="","",G2*24*HourlyRate*2*(1+Super))</calculatedColumnFormula>
    </tableColumn>
    <tableColumn id="11" xr3:uid="{E6CA9FEE-992F-4841-B898-F4686F315CCE}" name="Profit" totalsRowFunction="sum" dataDxfId="1435" totalsRowDxfId="1434" dataCellStyle="Currency">
      <calculatedColumnFormula>IF(H2="","",IF(E2="","",IF(J2=0,0,H2-J2)))</calculatedColumnFormula>
    </tableColumn>
    <tableColumn id="12" xr3:uid="{19A026D7-A6AB-4CDA-8062-F817400D6A72}" name="Quote/Wages" totalsRowFunction="custom" dataDxfId="1433" totalsRowDxfId="1432">
      <calculatedColumnFormula>IF(K2="","",IF(H2=0,1,J2/H2))</calculatedColumnFormula>
      <totalsRowFormula>IF(L2="","",SUBTOTAL(101,Table22612101416[Quote/Wages]))</totalsRowFormula>
    </tableColumn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F1888B0-3638-4401-AA9A-C584421EA883}" name="Table44713111517" displayName="Table44713111517" ref="O2:T18" headerRowCount="0" headerRowDxfId="1431" dataDxfId="1430">
  <tableColumns count="6">
    <tableColumn id="1" xr3:uid="{692A015D-CBB3-4B48-9049-BD6BAEE819B3}" name="Column1" totalsRowFunction="sum" headerRowDxfId="1429" dataDxfId="1428" totalsRowDxfId="1427">
      <calculatedColumnFormula>IF(N2="","",ROUND(SUMIFS($I:$I,$A:$A,O$1,$B:$B,"*"&amp;$N2&amp;"*"),2))</calculatedColumnFormula>
    </tableColumn>
    <tableColumn id="2" xr3:uid="{F851C972-F6A5-4A19-AEB3-9119AA4B76C0}" name="Column2" totalsRowFunction="sum" headerRowDxfId="1426" dataDxfId="1425" totalsRowDxfId="1424">
      <calculatedColumnFormula>IF(O2="","",ROUND(SUMIFS($I:$I,$A:$A,P$1,$B:$B,"*"&amp;$N2&amp;"*"),2))</calculatedColumnFormula>
    </tableColumn>
    <tableColumn id="3" xr3:uid="{99076931-7D8A-477E-9A2A-A1D8C8DE2CDD}" name="Column3" totalsRowFunction="sum" headerRowDxfId="1423" dataDxfId="1422" totalsRowDxfId="1421">
      <calculatedColumnFormula>IF(P2="","",ROUND(SUMIFS($I:$I,$A:$A,Q$1,$B:$B,"*"&amp;$N2&amp;"*"),2))</calculatedColumnFormula>
    </tableColumn>
    <tableColumn id="4" xr3:uid="{E7209131-76CF-4B95-8C4F-51A86182F640}" name="Column4" totalsRowFunction="sum" headerRowDxfId="1420" dataDxfId="1419" totalsRowDxfId="1418">
      <calculatedColumnFormula>IF(Q2="","",ROUND(SUMIFS($I:$I,$A:$A,R$1,$B:$B,"*"&amp;$N2&amp;"*"),2))</calculatedColumnFormula>
    </tableColumn>
    <tableColumn id="5" xr3:uid="{A9964FD8-95FD-4B54-A253-76B0B768151A}" name="Column5" totalsRowFunction="sum" headerRowDxfId="1417" dataDxfId="1416" totalsRowDxfId="1415">
      <calculatedColumnFormula>IF(R2="","",ROUND(SUMIFS($I:$I,$A:$A,S$1,$B:$B,"*"&amp;$N2&amp;"*"),2))</calculatedColumnFormula>
    </tableColumn>
    <tableColumn id="6" xr3:uid="{51D7CA4C-1947-45A4-825D-D1D18A62EFD0}" name="Column6" totalsRowFunction="sum" headerRowDxfId="1414" dataDxfId="1413" totalsRowDxfId="1412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5D186DA-EB18-4865-9B4F-77B9C9F31876}" name="Table2261210141660" displayName="Table2261210141660" ref="A1:L48" totalsRowCount="1" headerRowDxfId="1411" dataDxfId="1410" totalsRowDxfId="1409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00743A3-7C7C-45D5-8EF6-CFCC9446D8B7}" name="Date" dataDxfId="1408" totalsRowDxfId="1407"/>
    <tableColumn id="2" xr3:uid="{FEFFAE1D-B285-4825-AA5A-B54C4B96C185}" name="Team" dataDxfId="1406" totalsRowDxfId="1405"/>
    <tableColumn id="3" xr3:uid="{72190C23-C3E9-432D-93A8-7C7A3DCBFB7E}" name="Client" dataDxfId="1404" totalsRowDxfId="1403"/>
    <tableColumn id="4" xr3:uid="{B0A3D273-A4F6-42DC-9B47-855FF680367A}" name="Start" dataDxfId="1402" totalsRowDxfId="1401"/>
    <tableColumn id="5" xr3:uid="{D12F2148-A070-4089-9BAC-0CCE76B964E8}" name="Finish" dataDxfId="1400" totalsRowDxfId="1399"/>
    <tableColumn id="6" xr3:uid="{3AEADBF4-935F-43A1-B1F0-78B4F6B99D0F}" name="Lunch Break" dataDxfId="1398" totalsRowDxfId="1397">
      <calculatedColumnFormula>IF(E2="","","No")</calculatedColumnFormula>
    </tableColumn>
    <tableColumn id="7" xr3:uid="{B66FE2C4-482F-4A3F-8463-D8DD7DFF66F2}" name="Duration (h:mm)" dataDxfId="1396" totalsRowDxfId="1395">
      <calculatedColumnFormula>IF(E2="","",IF(F2="Yes",(E2-D2)-TIME(0,30,0),E2-D2))</calculatedColumnFormula>
    </tableColumn>
    <tableColumn id="8" xr3:uid="{C977B13D-45C2-42E1-B44C-69967007C198}" name="Quoted" totalsRowFunction="sum" dataDxfId="1394" totalsRowDxfId="1393" dataCellStyle="Currency">
      <calculatedColumnFormula>_xlfn.IFNA(VLOOKUP(C:C,'Active Jobs'!B:K,8,0),"")</calculatedColumnFormula>
    </tableColumn>
    <tableColumn id="9" xr3:uid="{6E3AD9F9-24EE-41E9-BB69-4F36F668662D}" name="Hours Payable" totalsRowFunction="sum" dataDxfId="1392" totalsRowDxfId="1391">
      <calculatedColumnFormula>IF(F2="Yes",(E2-D2)*24-0.5,IF(F2="No",(E2-D2)*24,""))</calculatedColumnFormula>
    </tableColumn>
    <tableColumn id="10" xr3:uid="{19FA21EA-8A5B-4604-94D1-C279A9415C83}" name="Wages (Incl. Super)" totalsRowFunction="sum" dataDxfId="1390" totalsRowDxfId="1389" dataCellStyle="Currency">
      <calculatedColumnFormula>IF(G2="","",G2*24*HourlyRate*2*(1+Super))</calculatedColumnFormula>
    </tableColumn>
    <tableColumn id="11" xr3:uid="{EDF44FD9-8EB4-4C1F-AD2C-960AF88DEDB8}" name="Profit" totalsRowFunction="sum" dataDxfId="1388" totalsRowDxfId="1387" dataCellStyle="Currency">
      <calculatedColumnFormula>IF(H2="","",IF(E2="","",IF(J2=0,0,H2-J2)))</calculatedColumnFormula>
    </tableColumn>
    <tableColumn id="12" xr3:uid="{14E60C07-49B7-4A4F-89A8-ADDF0A10127D}" name="Quote/Wages" totalsRowFunction="custom" dataDxfId="1386" totalsRowDxfId="1385">
      <calculatedColumnFormula>IF(K2="","",IF(H2=0,1,J2/H2))</calculatedColumnFormula>
      <totalsRowFormula>IF(L2="","",SUBTOTAL(101,Table2261210141660[Quote/Wages]))</totalsRowFormula>
    </tableColumn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2E1EDB5-EF76-47EC-90BD-5B287B70A7EC}" name="Table4471311151761" displayName="Table4471311151761" ref="O2:T18" headerRowCount="0" headerRowDxfId="1384" dataDxfId="1383">
  <tableColumns count="6">
    <tableColumn id="1" xr3:uid="{5A7757C6-7044-4DC4-9A1C-020108F2459C}" name="Column1" totalsRowFunction="sum" headerRowDxfId="1382" dataDxfId="1381" totalsRowDxfId="1380">
      <calculatedColumnFormula>IF(N2="","",ROUND(SUMIFS($I:$I,$A:$A,O$1,$B:$B,"*"&amp;$N2&amp;"*"),2))</calculatedColumnFormula>
    </tableColumn>
    <tableColumn id="2" xr3:uid="{FBA206A3-6857-4F96-AF8E-1EB237A25DFA}" name="Column2" totalsRowFunction="sum" headerRowDxfId="1379" dataDxfId="1378" totalsRowDxfId="1377">
      <calculatedColumnFormula>IF(O2="","",ROUND(SUMIFS($I:$I,$A:$A,P$1,$B:$B,"*"&amp;$N2&amp;"*"),2))</calculatedColumnFormula>
    </tableColumn>
    <tableColumn id="3" xr3:uid="{AE1E88D8-987E-438F-9A05-0C172AF452C5}" name="Column3" totalsRowFunction="sum" headerRowDxfId="1376" dataDxfId="1375" totalsRowDxfId="1374">
      <calculatedColumnFormula>IF(P2="","",ROUND(SUMIFS($I:$I,$A:$A,Q$1,$B:$B,"*"&amp;$N2&amp;"*"),2))</calculatedColumnFormula>
    </tableColumn>
    <tableColumn id="4" xr3:uid="{C1A8069E-BA60-4302-B35C-91B804A19E8F}" name="Column4" totalsRowFunction="sum" headerRowDxfId="1373" dataDxfId="1372" totalsRowDxfId="1371">
      <calculatedColumnFormula>IF(Q2="","",ROUND(SUMIFS($I:$I,$A:$A,R$1,$B:$B,"*"&amp;$N2&amp;"*"),2))</calculatedColumnFormula>
    </tableColumn>
    <tableColumn id="5" xr3:uid="{AA0A9B33-9EA5-477B-B2E2-93E888BB1881}" name="Column5" totalsRowFunction="sum" headerRowDxfId="1370" dataDxfId="1369" totalsRowDxfId="1368">
      <calculatedColumnFormula>IF(R2="","",ROUND(SUMIFS($I:$I,$A:$A,S$1,$B:$B,"*"&amp;$N2&amp;"*"),2))</calculatedColumnFormula>
    </tableColumn>
    <tableColumn id="6" xr3:uid="{52C6E18E-4E17-4563-8048-9471F5EAB5E5}" name="Column6" totalsRowFunction="sum" headerRowDxfId="1367" dataDxfId="1366" totalsRowDxfId="1365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4C0F374-0B11-4500-83F9-90486B88BED0}" name="Table2261210141658" displayName="Table2261210141658" ref="A1:L48" totalsRowCount="1" headerRowDxfId="1364" dataDxfId="1363" totalsRowDxfId="1362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B60E442-E2C9-47E8-A117-1ED41B73C447}" name="Date" dataDxfId="1361" totalsRowDxfId="1360"/>
    <tableColumn id="2" xr3:uid="{56A7B527-37F2-43EC-B5B4-7A485C00A13C}" name="Team" dataDxfId="1359" totalsRowDxfId="1358"/>
    <tableColumn id="3" xr3:uid="{0472E5BE-B19F-4072-BF80-B90CEA1B9D3E}" name="Client" dataDxfId="1357" totalsRowDxfId="1356"/>
    <tableColumn id="4" xr3:uid="{F7DC0BEF-31F7-4540-BA8C-A02B99FD1203}" name="Start" dataDxfId="1355" totalsRowDxfId="1354"/>
    <tableColumn id="5" xr3:uid="{F4BC7B14-2B97-46E0-99BF-D662AE518A8D}" name="Finish" dataDxfId="1353" totalsRowDxfId="1352"/>
    <tableColumn id="6" xr3:uid="{6BED9174-C16C-4381-BB72-2CC4E75B4BCB}" name="Lunch Break" dataDxfId="1351" totalsRowDxfId="1350">
      <calculatedColumnFormula>IF(E2="","","No")</calculatedColumnFormula>
    </tableColumn>
    <tableColumn id="7" xr3:uid="{88000268-4D73-4A20-B677-372D4DEB0C75}" name="Duration (h:mm)" dataDxfId="1349" totalsRowDxfId="1348">
      <calculatedColumnFormula>IF(E2="","",IF(F2="Yes",(E2-D2)-TIME(0,30,0),E2-D2))</calculatedColumnFormula>
    </tableColumn>
    <tableColumn id="8" xr3:uid="{5A2A7336-0F5B-44BE-BA8E-46BA7BEBAD75}" name="Quoted" totalsRowFunction="sum" dataDxfId="1347" totalsRowDxfId="1346" dataCellStyle="Currency">
      <calculatedColumnFormula>_xlfn.IFNA(VLOOKUP(C:C,'Active Jobs'!B:K,8,0),"")</calculatedColumnFormula>
    </tableColumn>
    <tableColumn id="9" xr3:uid="{0B5774AF-FE0C-41D2-8711-CB0B022CB604}" name="Hours Payable" totalsRowFunction="sum" dataDxfId="1345" totalsRowDxfId="1344">
      <calculatedColumnFormula>IF(F2="Yes",(E2-D2)*24-0.5,IF(F2="No",(E2-D2)*24,""))</calculatedColumnFormula>
    </tableColumn>
    <tableColumn id="10" xr3:uid="{9AD200A8-C78B-4BBB-932C-A016B1ED1B7F}" name="Wages (Incl. Super)" totalsRowFunction="sum" dataDxfId="1343" totalsRowDxfId="1342" dataCellStyle="Currency">
      <calculatedColumnFormula>IF(G2="","",G2*24*HourlyRate*2*(1+Super))</calculatedColumnFormula>
    </tableColumn>
    <tableColumn id="11" xr3:uid="{3B0E6A98-A503-4369-9B66-850FAD0954A1}" name="Profit" totalsRowFunction="sum" dataDxfId="1341" totalsRowDxfId="1340" dataCellStyle="Currency">
      <calculatedColumnFormula>IF(H2="","",IF(E2="","",IF(J2=0,0,H2-J2)))</calculatedColumnFormula>
    </tableColumn>
    <tableColumn id="12" xr3:uid="{E386B964-A8E9-4EA7-AE05-24AE5EADC14B}" name="Quote/Wages" totalsRowFunction="custom" dataDxfId="1339" totalsRowDxfId="1338">
      <calculatedColumnFormula>IF(K2="","",IF(H2=0,1,J2/H2))</calculatedColumnFormula>
      <totalsRowFormula>IF(L2="","",SUBTOTAL(101,Table2261210141658[Quote/Wages]))</totalsRowFormula>
    </tableColumn>
  </tableColumns>
  <tableStyleInfo name="TableStyleMedium2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01F0100-9683-4FFD-B156-7E1964C2D8EA}" name="Table4471311151759" displayName="Table4471311151759" ref="O2:T18" headerRowCount="0" headerRowDxfId="1337" dataDxfId="1336">
  <tableColumns count="6">
    <tableColumn id="1" xr3:uid="{E76BD422-BBF4-4914-B5F6-C05E7EB941BF}" name="Column1" totalsRowFunction="sum" headerRowDxfId="1335" dataDxfId="1334" totalsRowDxfId="1333">
      <calculatedColumnFormula>IF(N2="","",ROUND(SUMIFS($I:$I,$A:$A,O$1,$B:$B,"*"&amp;$N2&amp;"*"),2))</calculatedColumnFormula>
    </tableColumn>
    <tableColumn id="2" xr3:uid="{AB2CC2C8-42D0-4DD6-9B26-85932E150FCD}" name="Column2" totalsRowFunction="sum" headerRowDxfId="1332" dataDxfId="1331" totalsRowDxfId="1330">
      <calculatedColumnFormula>IF(O2="","",ROUND(SUMIFS($I:$I,$A:$A,P$1,$B:$B,"*"&amp;$N2&amp;"*"),2))</calculatedColumnFormula>
    </tableColumn>
    <tableColumn id="3" xr3:uid="{E758BC92-0E54-4398-9F10-D1931E962055}" name="Column3" totalsRowFunction="sum" headerRowDxfId="1329" dataDxfId="1328" totalsRowDxfId="1327">
      <calculatedColumnFormula>IF(P2="","",ROUND(SUMIFS($I:$I,$A:$A,Q$1,$B:$B,"*"&amp;$N2&amp;"*"),2))</calculatedColumnFormula>
    </tableColumn>
    <tableColumn id="4" xr3:uid="{8877F007-0519-4FAC-86E0-857C2A790C6D}" name="Column4" totalsRowFunction="sum" headerRowDxfId="1326" dataDxfId="1325" totalsRowDxfId="1324">
      <calculatedColumnFormula>IF(Q2="","",ROUND(SUMIFS($I:$I,$A:$A,R$1,$B:$B,"*"&amp;$N2&amp;"*"),2))</calculatedColumnFormula>
    </tableColumn>
    <tableColumn id="5" xr3:uid="{5F9DAFA7-A4A8-4DC1-8D6B-3974DD214543}" name="Column5" totalsRowFunction="sum" headerRowDxfId="1323" dataDxfId="1322" totalsRowDxfId="1321">
      <calculatedColumnFormula>IF(R2="","",ROUND(SUMIFS($I:$I,$A:$A,S$1,$B:$B,"*"&amp;$N2&amp;"*"),2))</calculatedColumnFormula>
    </tableColumn>
    <tableColumn id="6" xr3:uid="{1125D9D1-47C3-4621-BBC0-7AAC0142F12F}" name="Column6" totalsRowFunction="sum" headerRowDxfId="1320" dataDxfId="1319" totalsRowDxfId="1318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8873FA7-45FD-48EE-B09A-A390B12FD8D4}" name="Table2261210141656" displayName="Table2261210141656" ref="A1:L48" totalsRowCount="1" headerRowDxfId="1317" dataDxfId="1316" totalsRowDxfId="1315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9410781-08C0-4A2F-ABC7-4315F9FAC4EE}" name="Date" dataDxfId="1314" totalsRowDxfId="1313"/>
    <tableColumn id="2" xr3:uid="{774EF958-9405-429D-8910-EAE08BB108B4}" name="Team" dataDxfId="1312" totalsRowDxfId="1311"/>
    <tableColumn id="3" xr3:uid="{C9627265-427D-4803-9DCB-5579F35F9C90}" name="Client" dataDxfId="1310" totalsRowDxfId="1309"/>
    <tableColumn id="4" xr3:uid="{CEA3F822-9D74-49DA-BEAA-BF048E19A9B1}" name="Start" dataDxfId="1308" totalsRowDxfId="1307"/>
    <tableColumn id="5" xr3:uid="{4FA222ED-96EF-4277-AB26-A40CDD868DBC}" name="Finish" dataDxfId="1306" totalsRowDxfId="1305"/>
    <tableColumn id="6" xr3:uid="{BA6B2BF9-B0A8-4F82-9959-AAB427955539}" name="Lunch Break" dataDxfId="1304" totalsRowDxfId="1303">
      <calculatedColumnFormula>IF(E2="","","No")</calculatedColumnFormula>
    </tableColumn>
    <tableColumn id="7" xr3:uid="{929568E3-FA92-4CA2-8D93-3C5621AEFCC2}" name="Duration (h:mm)" dataDxfId="1302" totalsRowDxfId="1301">
      <calculatedColumnFormula>IF(E2="","",IF(F2="Yes",(E2-D2)-TIME(0,30,0),E2-D2))</calculatedColumnFormula>
    </tableColumn>
    <tableColumn id="8" xr3:uid="{702A5EFF-CB53-49DB-8769-8FFB37D01338}" name="Quoted" totalsRowFunction="sum" dataDxfId="1300" totalsRowDxfId="1299" dataCellStyle="Currency">
      <calculatedColumnFormula>_xlfn.IFNA(VLOOKUP(C:C,'Active Jobs'!B:K,8,0),"")</calculatedColumnFormula>
    </tableColumn>
    <tableColumn id="9" xr3:uid="{6B84C997-A4F1-43A4-8A27-871C1ADDD020}" name="Hours Payable" totalsRowFunction="sum" dataDxfId="1298" totalsRowDxfId="1297">
      <calculatedColumnFormula>IF(F2="Yes",(E2-D2)*24-0.5,IF(F2="No",(E2-D2)*24,""))</calculatedColumnFormula>
    </tableColumn>
    <tableColumn id="10" xr3:uid="{63D14443-E582-4982-8848-E521BA81361B}" name="Wages (Incl. Super)" totalsRowFunction="sum" dataDxfId="1296" totalsRowDxfId="1295" dataCellStyle="Currency">
      <calculatedColumnFormula>IF(G2="","",G2*24*HourlyRate*2*(1+Super))</calculatedColumnFormula>
    </tableColumn>
    <tableColumn id="11" xr3:uid="{B7C9A55C-3F6F-4240-9AAE-FF38FB4F228F}" name="Profit" totalsRowFunction="sum" dataDxfId="1294" totalsRowDxfId="1293" dataCellStyle="Currency">
      <calculatedColumnFormula>IF(H2="","",IF(E2="","",IF(J2=0,0,H2-J2)))</calculatedColumnFormula>
    </tableColumn>
    <tableColumn id="12" xr3:uid="{D906107B-B8C4-4FD1-A4D6-953710AE64D6}" name="Quote/Wages" totalsRowFunction="custom" dataDxfId="1292" totalsRowDxfId="1291">
      <calculatedColumnFormula>IF(K2="","",IF(H2=0,1,J2/H2))</calculatedColumnFormula>
      <totalsRowFormula>IF(L2="","",SUBTOTAL(101,Table2261210141656[Quote/Wages]))</totalsRowFormula>
    </tableColumn>
  </tableColumns>
  <tableStyleInfo name="TableStyleMedium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49BB15B-A1F4-4CA2-8D85-2D84572EE3D5}" name="Table4471311151757" displayName="Table4471311151757" ref="O2:T18" headerRowCount="0" headerRowDxfId="1290" dataDxfId="1289">
  <tableColumns count="6">
    <tableColumn id="1" xr3:uid="{1AC69551-DBDA-40D7-9FF4-BAC9988D4C5C}" name="Column1" totalsRowFunction="sum" headerRowDxfId="1288" dataDxfId="1287" totalsRowDxfId="1286">
      <calculatedColumnFormula>IF(N2="","",ROUND(SUMIFS($I:$I,$A:$A,O$1,$B:$B,"*"&amp;$N2&amp;"*"),2))</calculatedColumnFormula>
    </tableColumn>
    <tableColumn id="2" xr3:uid="{B335FE4F-E0E7-44D2-AA2B-133C4C29D10F}" name="Column2" totalsRowFunction="sum" headerRowDxfId="1285" dataDxfId="1284" totalsRowDxfId="1283">
      <calculatedColumnFormula>IF(O2="","",ROUND(SUMIFS($I:$I,$A:$A,P$1,$B:$B,"*"&amp;$N2&amp;"*"),2))</calculatedColumnFormula>
    </tableColumn>
    <tableColumn id="3" xr3:uid="{91AED703-8756-4EF7-AE02-76149C670706}" name="Column3" totalsRowFunction="sum" headerRowDxfId="1282" dataDxfId="1281" totalsRowDxfId="1280">
      <calculatedColumnFormula>IF(P2="","",ROUND(SUMIFS($I:$I,$A:$A,Q$1,$B:$B,"*"&amp;$N2&amp;"*"),2))</calculatedColumnFormula>
    </tableColumn>
    <tableColumn id="4" xr3:uid="{A1B3BFA7-2228-4662-B986-F842CE0DA282}" name="Column4" totalsRowFunction="sum" headerRowDxfId="1279" dataDxfId="1278" totalsRowDxfId="1277">
      <calculatedColumnFormula>IF(Q2="","",ROUND(SUMIFS($I:$I,$A:$A,R$1,$B:$B,"*"&amp;$N2&amp;"*"),2))</calculatedColumnFormula>
    </tableColumn>
    <tableColumn id="5" xr3:uid="{A3AEA515-9CFE-4FC7-BE89-B546D7357AC7}" name="Column5" totalsRowFunction="sum" headerRowDxfId="1276" dataDxfId="1275" totalsRowDxfId="1274">
      <calculatedColumnFormula>IF(R2="","",ROUND(SUMIFS($I:$I,$A:$A,S$1,$B:$B,"*"&amp;$N2&amp;"*"),2))</calculatedColumnFormula>
    </tableColumn>
    <tableColumn id="6" xr3:uid="{AEEC1E25-CCB0-47E7-B5C2-97FB5E9E5A2E}" name="Column6" totalsRowFunction="sum" headerRowDxfId="1273" dataDxfId="1272" totalsRowDxfId="1271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EA77BDB-C61A-4AFF-B774-205249B8AF0C}" name="Table2261210141646" displayName="Table2261210141646" ref="A1:L48" totalsRowCount="1" headerRowDxfId="1270" dataDxfId="1269" totalsRowDxfId="1268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B6E2B52E-6984-4ADC-B668-BDA087BEF06A}" name="Date" dataDxfId="1267" totalsRowDxfId="1266"/>
    <tableColumn id="2" xr3:uid="{7E936CB9-E084-4128-A557-D192419FA655}" name="Team" dataDxfId="1265" totalsRowDxfId="1264"/>
    <tableColumn id="3" xr3:uid="{E57DF04E-446C-4226-B74D-289BFDF68372}" name="Client" dataDxfId="1263" totalsRowDxfId="1262"/>
    <tableColumn id="4" xr3:uid="{7BB3355B-9C01-4FDF-B770-0FCDA3F6A325}" name="Start" dataDxfId="1261" totalsRowDxfId="1260"/>
    <tableColumn id="5" xr3:uid="{97DDAC43-7163-4598-9662-8607851EFC0E}" name="Finish" dataDxfId="1259" totalsRowDxfId="1258"/>
    <tableColumn id="6" xr3:uid="{A1230710-B0AD-4A12-9417-B45AA65CFA98}" name="Lunch Break" dataDxfId="1257" totalsRowDxfId="1256">
      <calculatedColumnFormula>IF(E2="","","No")</calculatedColumnFormula>
    </tableColumn>
    <tableColumn id="7" xr3:uid="{50C9CCF5-1869-4C4A-8938-A02F8F5F86BE}" name="Duration (h:mm)" dataDxfId="1255" totalsRowDxfId="1254">
      <calculatedColumnFormula>IF(E2="","",IF(F2="Yes",(E2-D2)-TIME(0,30,0),E2-D2))</calculatedColumnFormula>
    </tableColumn>
    <tableColumn id="8" xr3:uid="{F6E168F3-10EF-4471-A308-897FEAA5527F}" name="Quoted" totalsRowFunction="sum" dataDxfId="1253" totalsRowDxfId="1252" dataCellStyle="Currency">
      <calculatedColumnFormula>_xlfn.IFNA(VLOOKUP(C:C,'Active Jobs'!B:K,8,0),"")</calculatedColumnFormula>
    </tableColumn>
    <tableColumn id="9" xr3:uid="{4431AA1F-FEEF-4A37-BBB2-7F377CE7C049}" name="Hours Payable" totalsRowFunction="sum" dataDxfId="1251" totalsRowDxfId="1250">
      <calculatedColumnFormula>IF(F2="Yes",(E2-D2)*24-0.5,IF(F2="No",(E2-D2)*24,""))</calculatedColumnFormula>
    </tableColumn>
    <tableColumn id="10" xr3:uid="{B37539B2-C09A-41EE-8737-930BFF2F53AF}" name="Wages (Incl. Super)" totalsRowFunction="sum" dataDxfId="1249" totalsRowDxfId="1248" dataCellStyle="Currency">
      <calculatedColumnFormula>IF(G2="","",G2*24*HourlyRate*2*(1+Super))</calculatedColumnFormula>
    </tableColumn>
    <tableColumn id="11" xr3:uid="{04752A36-43DF-4622-BC04-59FC1C1207E0}" name="Profit" totalsRowFunction="sum" dataDxfId="1247" totalsRowDxfId="1246" dataCellStyle="Currency">
      <calculatedColumnFormula>IF(H2="","",IF(E2="","",IF(J2=0,0,H2-J2)))</calculatedColumnFormula>
    </tableColumn>
    <tableColumn id="12" xr3:uid="{3C8FC1F4-8B2A-4F36-A099-E306804C58A5}" name="Quote/Wages" totalsRowFunction="custom" dataDxfId="1245" totalsRowDxfId="1244">
      <calculatedColumnFormula>IF(K2="","",IF(H2=0,1,J2/H2))</calculatedColumnFormula>
      <totalsRowFormula>IF(L2="","",SUBTOTAL(101,Table2261210141646[Quote/Wages]))</totalsRowFormula>
    </tableColumn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511B0D0-53A7-437E-8247-69F959962752}" name="Table4471311151747" displayName="Table4471311151747" ref="O2:T18" headerRowCount="0" headerRowDxfId="1243" dataDxfId="1242">
  <tableColumns count="6">
    <tableColumn id="1" xr3:uid="{9880C5EF-8BCC-4845-8FF5-4F11462A30F7}" name="Column1" totalsRowFunction="sum" headerRowDxfId="1241" dataDxfId="1240" totalsRowDxfId="1239">
      <calculatedColumnFormula>IF(N2="","",ROUND(SUMIFS($I:$I,$A:$A,O$1,$B:$B,"*"&amp;$N2&amp;"*"),2))</calculatedColumnFormula>
    </tableColumn>
    <tableColumn id="2" xr3:uid="{C77D1FC2-74DC-420D-897A-4C78C4C1270E}" name="Column2" totalsRowFunction="sum" headerRowDxfId="1238" dataDxfId="1237" totalsRowDxfId="1236">
      <calculatedColumnFormula>IF(O2="","",ROUND(SUMIFS($I:$I,$A:$A,P$1,$B:$B,"*"&amp;$N2&amp;"*"),2))</calculatedColumnFormula>
    </tableColumn>
    <tableColumn id="3" xr3:uid="{6677D3BA-F258-4F0C-BD93-147EBE9EA0E6}" name="Column3" totalsRowFunction="sum" headerRowDxfId="1235" dataDxfId="1234" totalsRowDxfId="1233">
      <calculatedColumnFormula>IF(P2="","",ROUND(SUMIFS($I:$I,$A:$A,Q$1,$B:$B,"*"&amp;$N2&amp;"*"),2))</calculatedColumnFormula>
    </tableColumn>
    <tableColumn id="4" xr3:uid="{8D84B06E-B3D1-4B15-B0F5-4FF866E93DEF}" name="Column4" totalsRowFunction="sum" headerRowDxfId="1232" dataDxfId="1231" totalsRowDxfId="1230">
      <calculatedColumnFormula>IF(Q2="","",ROUND(SUMIFS($I:$I,$A:$A,R$1,$B:$B,"*"&amp;$N2&amp;"*"),2))</calculatedColumnFormula>
    </tableColumn>
    <tableColumn id="5" xr3:uid="{AD659F08-5B3A-4B5C-8873-527F1203C788}" name="Column5" totalsRowFunction="sum" headerRowDxfId="1229" dataDxfId="1228" totalsRowDxfId="1227">
      <calculatedColumnFormula>IF(R2="","",ROUND(SUMIFS($I:$I,$A:$A,S$1,$B:$B,"*"&amp;$N2&amp;"*"),2))</calculatedColumnFormula>
    </tableColumn>
    <tableColumn id="6" xr3:uid="{25B97304-1BF5-4601-89B4-9818244C6064}" name="Column6" totalsRowFunction="sum" headerRowDxfId="1226" dataDxfId="1225" totalsRowDxfId="1224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7CB389E-9A22-4710-A8D3-01D43A0AAC3A}" name="Table2261210141654" displayName="Table2261210141654" ref="A1:L48" totalsRowCount="1" headerRowDxfId="1223" dataDxfId="1222" totalsRowDxfId="1221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8C5C36EB-6C3A-4C22-B460-164E83C9A827}" name="Date" dataDxfId="1220" totalsRowDxfId="1219"/>
    <tableColumn id="2" xr3:uid="{6920B0C5-CC19-4C4D-9038-8B6A05209A9C}" name="Team" dataDxfId="1218" totalsRowDxfId="1217"/>
    <tableColumn id="3" xr3:uid="{9ABA081A-BC24-41BE-ACF3-BA7626E3FD24}" name="Client" dataDxfId="1216" totalsRowDxfId="1215"/>
    <tableColumn id="4" xr3:uid="{C4D635EB-AD1C-4915-8905-4EBE51558382}" name="Start" dataDxfId="1214" totalsRowDxfId="1213"/>
    <tableColumn id="5" xr3:uid="{9EAC07B8-9A58-4F10-9F95-7180C53E42E4}" name="Finish" dataDxfId="1212" totalsRowDxfId="1211"/>
    <tableColumn id="6" xr3:uid="{8A200958-6505-435B-8570-4701DDFFE76A}" name="Lunch Break" dataDxfId="1210" totalsRowDxfId="1209">
      <calculatedColumnFormula>IF(E2="","","No")</calculatedColumnFormula>
    </tableColumn>
    <tableColumn id="7" xr3:uid="{57231F67-A012-44F1-8593-3700F3F1F947}" name="Duration (h:mm)" dataDxfId="1208" totalsRowDxfId="1207">
      <calculatedColumnFormula>IF(E2="","",IF(F2="Yes",(E2-D2)-TIME(0,30,0),E2-D2))</calculatedColumnFormula>
    </tableColumn>
    <tableColumn id="8" xr3:uid="{C47398EE-2AD5-4239-920E-1D464ABBCDCC}" name="Quoted" totalsRowFunction="sum" dataDxfId="1206" totalsRowDxfId="1205" dataCellStyle="Currency">
      <calculatedColumnFormula>_xlfn.IFNA(VLOOKUP(C:C,'Active Jobs'!B:K,8,0),"")</calculatedColumnFormula>
    </tableColumn>
    <tableColumn id="9" xr3:uid="{C9C9B196-0A4C-43CC-9EF0-F1D6F45F79FB}" name="Hours Payable" totalsRowFunction="sum" dataDxfId="1204" totalsRowDxfId="1203">
      <calculatedColumnFormula>IF(F2="Yes",(E2-D2)*24-0.5,IF(F2="No",(E2-D2)*24,""))</calculatedColumnFormula>
    </tableColumn>
    <tableColumn id="10" xr3:uid="{1A4B21BE-86F2-4308-97CF-0F8FADBC8746}" name="Wages (Incl. Super)" totalsRowFunction="sum" dataDxfId="1202" totalsRowDxfId="1201" dataCellStyle="Currency">
      <calculatedColumnFormula>IF(G2="","",G2*24*HourlyRate*2*(1+Super))</calculatedColumnFormula>
    </tableColumn>
    <tableColumn id="11" xr3:uid="{A42E3B31-D27C-41F6-825D-40251EE0D538}" name="Profit" totalsRowFunction="sum" dataDxfId="1200" totalsRowDxfId="1199" dataCellStyle="Currency">
      <calculatedColumnFormula>IF(H2="","",IF(E2="","",IF(J2=0,0,H2-J2)))</calculatedColumnFormula>
    </tableColumn>
    <tableColumn id="12" xr3:uid="{DC4F0E2F-1C9A-4D81-AACD-9B09238D601A}" name="Quote/Wages" totalsRowFunction="custom" dataDxfId="1198" totalsRowDxfId="1197">
      <calculatedColumnFormula>IF(K2="","",IF(H2=0,1,J2/H2))</calculatedColumnFormula>
      <totalsRowFormula>IF(L2="","",SUBTOTAL(101,Table2261210141654[Quote/Wages]))</totalsRowFormula>
    </tableColumn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F0E38486-E87B-4909-9642-8C023E0B062D}" name="Table4471311151755" displayName="Table4471311151755" ref="O2:T18" headerRowCount="0" headerRowDxfId="1196" dataDxfId="1195">
  <tableColumns count="6">
    <tableColumn id="1" xr3:uid="{3D805AFA-469C-4287-8661-C7F697619A9B}" name="Column1" totalsRowFunction="sum" headerRowDxfId="1194" dataDxfId="1193" totalsRowDxfId="1192">
      <calculatedColumnFormula>IF(N2="","",ROUND(SUMIFS($I:$I,$A:$A,O$1,$B:$B,"*"&amp;$N2&amp;"*"),2))</calculatedColumnFormula>
    </tableColumn>
    <tableColumn id="2" xr3:uid="{333AB46B-F76C-49CD-B570-BF71ABCA1103}" name="Column2" totalsRowFunction="sum" headerRowDxfId="1191" dataDxfId="1190" totalsRowDxfId="1189">
      <calculatedColumnFormula>IF(O2="","",ROUND(SUMIFS($I:$I,$A:$A,P$1,$B:$B,"*"&amp;$N2&amp;"*"),2))</calculatedColumnFormula>
    </tableColumn>
    <tableColumn id="3" xr3:uid="{4862710B-E685-44BC-BC28-DC4EFF0788E4}" name="Column3" totalsRowFunction="sum" headerRowDxfId="1188" dataDxfId="1187" totalsRowDxfId="1186">
      <calculatedColumnFormula>IF(P2="","",ROUND(SUMIFS($I:$I,$A:$A,Q$1,$B:$B,"*"&amp;$N2&amp;"*"),2))</calculatedColumnFormula>
    </tableColumn>
    <tableColumn id="4" xr3:uid="{0D4C35FD-59A2-4FE5-B86A-9285506DC763}" name="Column4" totalsRowFunction="sum" headerRowDxfId="1185" dataDxfId="1184" totalsRowDxfId="1183">
      <calculatedColumnFormula>IF(Q2="","",ROUND(SUMIFS($I:$I,$A:$A,R$1,$B:$B,"*"&amp;$N2&amp;"*"),2))</calculatedColumnFormula>
    </tableColumn>
    <tableColumn id="5" xr3:uid="{B880D7FA-DE30-4EAE-9405-BD02B35B4602}" name="Column5" totalsRowFunction="sum" headerRowDxfId="1182" dataDxfId="1181" totalsRowDxfId="1180">
      <calculatedColumnFormula>IF(R2="","",ROUND(SUMIFS($I:$I,$A:$A,S$1,$B:$B,"*"&amp;$N2&amp;"*"),2))</calculatedColumnFormula>
    </tableColumn>
    <tableColumn id="6" xr3:uid="{36E2F060-F59C-4C6D-A184-4034109583D3}" name="Column6" totalsRowFunction="sum" headerRowDxfId="1179" dataDxfId="1178" totalsRowDxfId="1177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9661-77E9-473D-A91B-B5A2A203281E}" name="Table2261210141644" displayName="Table2261210141644" ref="A1:L48" totalsRowCount="1" headerRowDxfId="1176" dataDxfId="1175" totalsRowDxfId="1174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981D5D4-6066-4BD2-BD7D-75528D8F7E43}" name="Date" dataDxfId="1173" totalsRowDxfId="1172"/>
    <tableColumn id="2" xr3:uid="{FBA36B6E-AC2A-4E6B-82A4-045DF7FAF485}" name="Team" dataDxfId="1171" totalsRowDxfId="1170"/>
    <tableColumn id="3" xr3:uid="{578D30F2-6B2C-4330-A571-3A0F8ED26338}" name="Client" dataDxfId="1169" totalsRowDxfId="1168"/>
    <tableColumn id="4" xr3:uid="{E5655C45-4668-4002-9F8C-EC78BAC265C3}" name="Start" dataDxfId="1167" totalsRowDxfId="1166"/>
    <tableColumn id="5" xr3:uid="{88B106A5-F68D-45C3-8C06-5D911F6A142D}" name="Finish" dataDxfId="1165" totalsRowDxfId="1164"/>
    <tableColumn id="6" xr3:uid="{40F36B61-6DDD-4FCC-AE96-4EA65204FCFE}" name="Lunch Break" dataDxfId="1163" totalsRowDxfId="1162">
      <calculatedColumnFormula>IF(E2="","","No")</calculatedColumnFormula>
    </tableColumn>
    <tableColumn id="7" xr3:uid="{8D5111AB-3B8B-4A6A-8573-23F6656C1D5C}" name="Duration (h:mm)" dataDxfId="1161" totalsRowDxfId="1160">
      <calculatedColumnFormula>IF(E2="","",IF(F2="Yes",(E2-D2)-TIME(0,30,0),E2-D2))</calculatedColumnFormula>
    </tableColumn>
    <tableColumn id="8" xr3:uid="{C8533B10-3917-4432-A33D-5CDBBF369A9C}" name="Quoted" totalsRowFunction="sum" dataDxfId="1159" totalsRowDxfId="1158" dataCellStyle="Currency">
      <calculatedColumnFormula>_xlfn.IFNA(VLOOKUP(C:C,'Active Jobs'!B:K,8,0),"")</calculatedColumnFormula>
    </tableColumn>
    <tableColumn id="9" xr3:uid="{71D020AF-BB9B-4FBB-9881-E8E08981DEEC}" name="Hours Payable" totalsRowFunction="sum" dataDxfId="1157" totalsRowDxfId="1156">
      <calculatedColumnFormula>IF(F2="Yes",(E2-D2)*24-0.5,IF(F2="No",(E2-D2)*24,""))</calculatedColumnFormula>
    </tableColumn>
    <tableColumn id="10" xr3:uid="{133B0A26-FC84-4A13-B561-94DD07A4AACD}" name="Wages (Incl. Super)" totalsRowFunction="sum" dataDxfId="1155" totalsRowDxfId="1154" dataCellStyle="Currency">
      <calculatedColumnFormula>IF(G2="","",G2*24*HourlyRate*2*(1+Super))</calculatedColumnFormula>
    </tableColumn>
    <tableColumn id="11" xr3:uid="{ABC9F998-14F2-459F-B7D6-65DF654A9A1C}" name="Profit" totalsRowFunction="sum" dataDxfId="1153" totalsRowDxfId="1152" dataCellStyle="Currency">
      <calculatedColumnFormula>IF(H2="","",IF(E2="","",IF(J2=0,0,H2-J2)))</calculatedColumnFormula>
    </tableColumn>
    <tableColumn id="12" xr3:uid="{0B7464E4-7F74-47DD-8F2A-C7D93B6ACC3B}" name="Quote/Wages" totalsRowFunction="custom" dataDxfId="1151" totalsRowDxfId="1150">
      <calculatedColumnFormula>IF(K2="","",IF(H2=0,1,J2/H2))</calculatedColumnFormula>
      <totalsRowFormula>IF(L2="","",SUBTOTAL(101,Table2261210141644[Quote/Wages]))</totalsRowFormula>
    </tableColumn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FFCC1F5-EB7E-4F08-ACB1-24DA0D178A82}" name="Table4471311151745" displayName="Table4471311151745" ref="O2:T18" headerRowCount="0" headerRowDxfId="1149" dataDxfId="1148">
  <tableColumns count="6">
    <tableColumn id="1" xr3:uid="{C59BADA9-C06A-4229-A1F8-7B806A6687B6}" name="Column1" totalsRowFunction="sum" headerRowDxfId="1147" dataDxfId="1146" totalsRowDxfId="1145">
      <calculatedColumnFormula>IF(N2="","",ROUND(SUMIFS($I:$I,$A:$A,O$1,$B:$B,"*"&amp;$N2&amp;"*"),2))</calculatedColumnFormula>
    </tableColumn>
    <tableColumn id="2" xr3:uid="{C4782F41-2AAF-40C0-A200-48A8CF590237}" name="Column2" totalsRowFunction="sum" headerRowDxfId="1144" dataDxfId="1143" totalsRowDxfId="1142">
      <calculatedColumnFormula>IF(O2="","",ROUND(SUMIFS($I:$I,$A:$A,P$1,$B:$B,"*"&amp;$N2&amp;"*"),2))</calculatedColumnFormula>
    </tableColumn>
    <tableColumn id="3" xr3:uid="{54335A54-1A7F-4B8C-A573-72E5F9C5E581}" name="Column3" totalsRowFunction="sum" headerRowDxfId="1141" dataDxfId="1140" totalsRowDxfId="1139">
      <calculatedColumnFormula>IF(P2="","",ROUND(SUMIFS($I:$I,$A:$A,Q$1,$B:$B,"*"&amp;$N2&amp;"*"),2))</calculatedColumnFormula>
    </tableColumn>
    <tableColumn id="4" xr3:uid="{DA4EBBDA-2EE7-46DD-BA7C-803FD684A117}" name="Column4" totalsRowFunction="sum" headerRowDxfId="1138" dataDxfId="1137" totalsRowDxfId="1136">
      <calculatedColumnFormula>IF(Q2="","",ROUND(SUMIFS($I:$I,$A:$A,R$1,$B:$B,"*"&amp;$N2&amp;"*"),2))</calculatedColumnFormula>
    </tableColumn>
    <tableColumn id="5" xr3:uid="{8D1001A1-98A6-4D0C-BCB3-0EA1AF474D26}" name="Column5" totalsRowFunction="sum" headerRowDxfId="1135" dataDxfId="1134" totalsRowDxfId="1133">
      <calculatedColumnFormula>IF(R2="","",ROUND(SUMIFS($I:$I,$A:$A,S$1,$B:$B,"*"&amp;$N2&amp;"*"),2))</calculatedColumnFormula>
    </tableColumn>
    <tableColumn id="6" xr3:uid="{EB361EE8-8FDD-4DD6-A35D-8F7CB0A9FEFA}" name="Column6" totalsRowFunction="sum" headerRowDxfId="1132" dataDxfId="1131" totalsRowDxfId="113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96B47DD-F678-9B48-808E-D26343229AB1}" name="Table2261210141648" displayName="Table2261210141648" ref="A1:L48" totalsRowCount="1" headerRowDxfId="1129" dataDxfId="1128" totalsRowDxfId="1127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3668DD6F-8D36-D34D-910F-927AF7E2C5BA}" name="Date" dataDxfId="1126" totalsRowDxfId="1125"/>
    <tableColumn id="2" xr3:uid="{7F34478E-DA6A-8C4B-A7CD-618167235DE5}" name="Team" dataDxfId="1124" totalsRowDxfId="1123"/>
    <tableColumn id="3" xr3:uid="{81E360BD-AA0E-424F-B9A1-0411FD45EE73}" name="Client" dataDxfId="1122" totalsRowDxfId="1121"/>
    <tableColumn id="4" xr3:uid="{8FD980BA-09FB-2540-91FD-DEBA8B14F377}" name="Start" dataDxfId="1120" totalsRowDxfId="1119"/>
    <tableColumn id="5" xr3:uid="{4CA9526F-F980-264D-9F44-788C92CAEE22}" name="Finish" dataDxfId="1118" totalsRowDxfId="1117"/>
    <tableColumn id="6" xr3:uid="{BA74A940-2291-EB4E-82D8-C6561CACB386}" name="Lunch Break" dataDxfId="1116" totalsRowDxfId="1115">
      <calculatedColumnFormula>IF(E2="","","No")</calculatedColumnFormula>
    </tableColumn>
    <tableColumn id="7" xr3:uid="{8196F42B-F1CE-1A4E-B055-576E49E056B7}" name="Duration (h:mm)" dataDxfId="1114" totalsRowDxfId="1113">
      <calculatedColumnFormula>IF(E2="","",IF(F2="Yes",(E2-D2)-TIME(0,30,0),E2-D2))</calculatedColumnFormula>
    </tableColumn>
    <tableColumn id="8" xr3:uid="{9BEEE75A-B7A7-AB45-A33E-FE08AFF8EB31}" name="Quoted" totalsRowFunction="sum" dataDxfId="1112" totalsRowDxfId="1111" dataCellStyle="Currency">
      <calculatedColumnFormula>_xlfn.IFNA(VLOOKUP(C:C,'Active Jobs'!B:K,8,0),"")</calculatedColumnFormula>
    </tableColumn>
    <tableColumn id="9" xr3:uid="{B5165FA1-7538-9B47-99E8-C6ECCD82F8FF}" name="Hours Payable" totalsRowFunction="sum" dataDxfId="1110" totalsRowDxfId="1109">
      <calculatedColumnFormula>IF(F2="Yes",(E2-D2)*24-0.5,IF(F2="No",(E2-D2)*24,""))</calculatedColumnFormula>
    </tableColumn>
    <tableColumn id="10" xr3:uid="{E7F03F81-CB20-EF4C-A33E-EE69F79DD79E}" name="Wages (Incl. Super)" totalsRowFunction="sum" dataDxfId="1108" totalsRowDxfId="1107" dataCellStyle="Currency">
      <calculatedColumnFormula>IF(G2="","",G2*24*HourlyRate*2*(1+Super))</calculatedColumnFormula>
    </tableColumn>
    <tableColumn id="11" xr3:uid="{5DE67A19-E3C8-744A-AE96-647890AC4280}" name="Profit" totalsRowFunction="sum" dataDxfId="1106" totalsRowDxfId="1105" dataCellStyle="Currency">
      <calculatedColumnFormula>IF(H2="","",IF(E2="","",IF(J2=0,0,H2-J2)))</calculatedColumnFormula>
    </tableColumn>
    <tableColumn id="12" xr3:uid="{162DA323-6B55-BD4C-AC24-C0F5F6AC7ABD}" name="Quote/Wages" totalsRowFunction="custom" dataDxfId="1104" totalsRowDxfId="1103">
      <calculatedColumnFormula>IF(K2="","",IF(H2=0,1,J2/H2))</calculatedColumnFormula>
      <totalsRowFormula>IF(L2="","",SUBTOTAL(101,Table2261210141648[Quote/Wages]))</totalsRowFormula>
    </tableColumn>
  </tableColumns>
  <tableStyleInfo name="TableStyleMedium2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B8A0CE3-440B-FB4F-87C5-C19884BF2D40}" name="Table4471311151749" displayName="Table4471311151749" ref="O2:T18" headerRowCount="0" headerRowDxfId="1102" dataDxfId="1101">
  <tableColumns count="6">
    <tableColumn id="1" xr3:uid="{FD6EE354-487E-B640-959E-9C90B145F518}" name="Column1" totalsRowFunction="sum" headerRowDxfId="1100" dataDxfId="1099" totalsRowDxfId="1098">
      <calculatedColumnFormula>IF(N2="","",ROUND(SUMIFS($I:$I,$A:$A,O$1,$B:$B,"*"&amp;$N2&amp;"*"),2))</calculatedColumnFormula>
    </tableColumn>
    <tableColumn id="2" xr3:uid="{173F3A2E-E49E-4647-97B2-42F27328ED1D}" name="Column2" totalsRowFunction="sum" headerRowDxfId="1097" dataDxfId="1096" totalsRowDxfId="1095">
      <calculatedColumnFormula>IF(O2="","",ROUND(SUMIFS($I:$I,$A:$A,P$1,$B:$B,"*"&amp;$N2&amp;"*"),2))</calculatedColumnFormula>
    </tableColumn>
    <tableColumn id="3" xr3:uid="{20F78D30-BA32-874D-8ACB-E4DA5F47C5DE}" name="Column3" totalsRowFunction="sum" headerRowDxfId="1094" dataDxfId="1093" totalsRowDxfId="1092">
      <calculatedColumnFormula>IF(P2="","",ROUND(SUMIFS($I:$I,$A:$A,Q$1,$B:$B,"*"&amp;$N2&amp;"*"),2))</calculatedColumnFormula>
    </tableColumn>
    <tableColumn id="4" xr3:uid="{ECAB127E-64F3-4A47-A0E9-521CA87E50B0}" name="Column4" totalsRowFunction="sum" headerRowDxfId="1091" dataDxfId="1090" totalsRowDxfId="1089">
      <calculatedColumnFormula>IF(Q2="","",ROUND(SUMIFS($I:$I,$A:$A,R$1,$B:$B,"*"&amp;$N2&amp;"*"),2))</calculatedColumnFormula>
    </tableColumn>
    <tableColumn id="5" xr3:uid="{362E9D7D-19F5-1441-A48B-A280018309A1}" name="Column5" totalsRowFunction="sum" headerRowDxfId="1088" dataDxfId="1087" totalsRowDxfId="1086">
      <calculatedColumnFormula>IF(R2="","",ROUND(SUMIFS($I:$I,$A:$A,S$1,$B:$B,"*"&amp;$N2&amp;"*"),2))</calculatedColumnFormula>
    </tableColumn>
    <tableColumn id="6" xr3:uid="{C16BA568-449F-074B-81AD-08F7E1C7EA32}" name="Column6" totalsRowFunction="sum" headerRowDxfId="1085" dataDxfId="1084" totalsRowDxfId="1083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33A2B93-B105-6448-8A3B-F6E608C991C7}" name="Table22612101416646266" displayName="Table22612101416646266" ref="A1:L48" totalsRowCount="1" headerRowDxfId="1082" dataDxfId="1081" totalsRowDxfId="1080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24C1899A-2F51-314F-807A-0A55E0AB7021}" name="Date" dataDxfId="1079" totalsRowDxfId="1078"/>
    <tableColumn id="2" xr3:uid="{E7593484-79FB-814B-870A-26D9C4B12FCB}" name="Team" dataDxfId="1077" totalsRowDxfId="1076"/>
    <tableColumn id="3" xr3:uid="{7C15ED2A-FA57-5149-B159-2A8F6692BB65}" name="Client" dataDxfId="1075" totalsRowDxfId="1074"/>
    <tableColumn id="4" xr3:uid="{3FF0A1FE-5528-1D46-84C0-D7E17FEDCD05}" name="Start" dataDxfId="1073" totalsRowDxfId="1072"/>
    <tableColumn id="5" xr3:uid="{4F75AB5B-3E41-5249-9D36-598974B239C0}" name="Finish" dataDxfId="1071" totalsRowDxfId="1070"/>
    <tableColumn id="6" xr3:uid="{61B96AB7-6107-E94B-B874-A16696A856BF}" name="Lunch Break" dataDxfId="1069" totalsRowDxfId="1068">
      <calculatedColumnFormula>IF(E2="","","No")</calculatedColumnFormula>
    </tableColumn>
    <tableColumn id="7" xr3:uid="{5D6A11AA-A6AD-4F4C-8C7E-19ECF27FD580}" name="Duration" dataDxfId="1067" totalsRowDxfId="1066">
      <calculatedColumnFormula>IF(E2="","",IF(F2="Yes",(E2-D2)-TIME(0,30,0),E2-D2))</calculatedColumnFormula>
    </tableColumn>
    <tableColumn id="8" xr3:uid="{7267B797-155B-2348-A1D5-BE66BCDEB84A}" name="Quoted" totalsRowFunction="sum" dataDxfId="1065" totalsRowDxfId="1064" dataCellStyle="Currency">
      <calculatedColumnFormula>_xlfn.IFNA(VLOOKUP(C:C,'Active Jobs'!B:K,8,0),"")</calculatedColumnFormula>
    </tableColumn>
    <tableColumn id="9" xr3:uid="{2B208A23-3956-724D-8343-5FA64DEAA899}" name="Hours Payable" totalsRowFunction="sum" dataDxfId="1063" totalsRowDxfId="1062">
      <calculatedColumnFormula>IF(F2="Yes",(E2-D2)*24-0.5,IF(F2="No",(E2-D2)*24,""))</calculatedColumnFormula>
    </tableColumn>
    <tableColumn id="10" xr3:uid="{031AF780-9B96-8341-AA0F-C7EA0CDE3C3A}" name="Wages (Incl. Super)" totalsRowFunction="sum" dataDxfId="1061" totalsRowDxfId="1060" dataCellStyle="Currency">
      <calculatedColumnFormula>IF(G2="","",G2*24*HourlyRate*2*(1+Super))</calculatedColumnFormula>
    </tableColumn>
    <tableColumn id="11" xr3:uid="{FCCD7381-2384-3A44-8ECA-6208F0B88C5B}" name="Profit" totalsRowFunction="sum" dataDxfId="1059" totalsRowDxfId="1058" dataCellStyle="Currency">
      <calculatedColumnFormula>IF(H2="","",IF(E2="","",IF(J2=0,0,H2-J2)))</calculatedColumnFormula>
    </tableColumn>
    <tableColumn id="12" xr3:uid="{3836BEA7-D852-4340-B8E6-376B1625B0A1}" name="Quote/Wages" totalsRowFunction="custom" dataDxfId="1057" totalsRowDxfId="1056">
      <calculatedColumnFormula>IF(K2="","",IF(H2=0,1,J2/H2))</calculatedColumnFormula>
      <totalsRowFormula>IF(L2="","",SUBTOTAL(101,Table22612101416646266[Quote/Wages]))</totalsRowFormula>
    </tableColumn>
  </tableColumns>
  <tableStyleInfo name="TableStyleMedium2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7B88714-F8EE-DD4E-8DA9-5486DCC3E8BF}" name="Table44713111517656367" displayName="Table44713111517656367" ref="O2:T18" headerRowCount="0" headerRowDxfId="1055" dataDxfId="1054">
  <tableColumns count="6">
    <tableColumn id="1" xr3:uid="{9D49480A-C37E-C94E-B33A-65318A57E6F2}" name="Column1" totalsRowFunction="sum" headerRowDxfId="1053" dataDxfId="1052" totalsRowDxfId="1051">
      <calculatedColumnFormula>IF(N2="","",ROUND(SUMIFS($I:$I,$A:$A,O$1,$B:$B,"*"&amp;$N2&amp;"*"),2))</calculatedColumnFormula>
    </tableColumn>
    <tableColumn id="2" xr3:uid="{0A7504FF-838A-7149-854B-DD97E546114D}" name="Column2" totalsRowFunction="sum" headerRowDxfId="1050" dataDxfId="1049" totalsRowDxfId="1048">
      <calculatedColumnFormula>IF(O2="","",ROUND(SUMIFS($I:$I,$A:$A,P$1,$B:$B,"*"&amp;$N2&amp;"*"),2))</calculatedColumnFormula>
    </tableColumn>
    <tableColumn id="3" xr3:uid="{F86E53AD-2305-0D4B-9318-28365E2C53BD}" name="Column3" totalsRowFunction="sum" headerRowDxfId="1047" dataDxfId="1046" totalsRowDxfId="1045">
      <calculatedColumnFormula>IF(P2="","",ROUND(SUMIFS($I:$I,$A:$A,Q$1,$B:$B,"*"&amp;$N2&amp;"*"),2))</calculatedColumnFormula>
    </tableColumn>
    <tableColumn id="4" xr3:uid="{5387EEAD-A58C-5244-A760-C55AD4396E55}" name="Column4" totalsRowFunction="sum" headerRowDxfId="1044" dataDxfId="1043" totalsRowDxfId="1042">
      <calculatedColumnFormula>IF(Q2="","",ROUND(SUMIFS($I:$I,$A:$A,R$1,$B:$B,"*"&amp;$N2&amp;"*"),2))</calculatedColumnFormula>
    </tableColumn>
    <tableColumn id="5" xr3:uid="{489FB034-ECE5-6D44-855C-DDD37A1B8DF2}" name="Column5" totalsRowFunction="sum" headerRowDxfId="1041" dataDxfId="1040" totalsRowDxfId="1039">
      <calculatedColumnFormula>IF(R2="","",ROUND(SUMIFS($I:$I,$A:$A,S$1,$B:$B,"*"&amp;$N2&amp;"*"),2))</calculatedColumnFormula>
    </tableColumn>
    <tableColumn id="6" xr3:uid="{3AD7C0BC-41BD-FB45-A756-B83024522B56}" name="Column6" totalsRowFunction="sum" headerRowDxfId="1038" dataDxfId="1037" totalsRowDxfId="1036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A9A6E4F-4F3B-6F4E-A702-EF2D73E24958}" name="Table22612101416485052" displayName="Table22612101416485052" ref="A1:L48" totalsRowCount="1" headerRowDxfId="1035" dataDxfId="1034" totalsRowDxfId="1033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7B63FA6-D9E5-864B-95CC-6AA505BC2530}" name="Date" dataDxfId="1032" totalsRowDxfId="1031"/>
    <tableColumn id="2" xr3:uid="{F7B2F8B4-D9B0-A14E-A58A-F7458599BE51}" name="Team" dataDxfId="1030" totalsRowDxfId="1029"/>
    <tableColumn id="3" xr3:uid="{1B7265E9-1C7B-F448-80A3-DAF56A8EF770}" name="Client" dataDxfId="1028" totalsRowDxfId="1027"/>
    <tableColumn id="4" xr3:uid="{1DB905A6-C1A6-2C42-9D2B-638129B25381}" name="Start" dataDxfId="1026" totalsRowDxfId="1025"/>
    <tableColumn id="5" xr3:uid="{E0693C25-9628-9F49-9E27-EAB718AB54E6}" name="Finish" dataDxfId="1024" totalsRowDxfId="1023"/>
    <tableColumn id="6" xr3:uid="{0B61EE64-5446-EC4B-80D8-0FE5808570F7}" name="Lunch Break" dataDxfId="1022" totalsRowDxfId="1021">
      <calculatedColumnFormula>IF(E2="","","No")</calculatedColumnFormula>
    </tableColumn>
    <tableColumn id="7" xr3:uid="{E59D8F1E-6C0C-B448-8225-5643F43A168A}" name="Duration (h:mm)" dataDxfId="1020" totalsRowDxfId="1019">
      <calculatedColumnFormula>IF(E2="","",IF(F2="Yes",(E2-D2)-TIME(0,30,0),E2-D2))</calculatedColumnFormula>
    </tableColumn>
    <tableColumn id="8" xr3:uid="{C300E5C5-EFAA-2E4F-A303-3C6B3FF36B26}" name="Quoted" totalsRowFunction="sum" dataDxfId="1018" totalsRowDxfId="1017" dataCellStyle="Currency">
      <calculatedColumnFormula>_xlfn.IFNA(VLOOKUP(C:C,'Active Jobs'!B:K,8,0),"")</calculatedColumnFormula>
    </tableColumn>
    <tableColumn id="9" xr3:uid="{2669A287-69D3-EE4E-B874-1A20F6D2069B}" name="Hours Payable" totalsRowFunction="sum" dataDxfId="1016" totalsRowDxfId="1015">
      <calculatedColumnFormula>IF(F2="Yes",(E2-D2)*24-0.5,IF(F2="No",(E2-D2)*24,""))</calculatedColumnFormula>
    </tableColumn>
    <tableColumn id="10" xr3:uid="{41450368-EEE9-5A46-B1B5-A28D8C655E89}" name="Wages (Incl. Super)" totalsRowFunction="sum" dataDxfId="1014" totalsRowDxfId="1013" dataCellStyle="Currency">
      <calculatedColumnFormula>IF(G2="","",G2*24*HourlyRate*2*(1+Super))</calculatedColumnFormula>
    </tableColumn>
    <tableColumn id="11" xr3:uid="{D142DB86-82FA-A743-AB58-256A145C427B}" name="Profit" totalsRowFunction="sum" dataDxfId="1012" totalsRowDxfId="1011" dataCellStyle="Currency">
      <calculatedColumnFormula>IF(H2="","",IF(E2="","",IF(J2=0,0,H2-J2)))</calculatedColumnFormula>
    </tableColumn>
    <tableColumn id="12" xr3:uid="{55279F90-98BF-944B-9C75-28B76B8758C6}" name="Quote/Wages" totalsRowFunction="custom" dataDxfId="1010" totalsRowDxfId="1009">
      <calculatedColumnFormula>IF(K2="","",IF(H2=0,1,J2/H2))</calculatedColumnFormula>
      <totalsRowFormula>IF(L2="","",SUBTOTAL(101,Table22612101416485052[Quote/Wages]))</totalsRowFormula>
    </tableColumn>
  </tableColumns>
  <tableStyleInfo name="TableStyleMedium2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C382879-EC95-CB4C-8381-8A5417157557}" name="Table44713111517495153" displayName="Table44713111517495153" ref="O2:T18" headerRowCount="0" headerRowDxfId="1008" dataDxfId="1007">
  <tableColumns count="6">
    <tableColumn id="1" xr3:uid="{08857C23-CC0E-E545-A1C5-8ED650EF2D5D}" name="Column1" totalsRowFunction="sum" headerRowDxfId="1006" dataDxfId="1005" totalsRowDxfId="1004">
      <calculatedColumnFormula>IF(N2="","",ROUND(SUMIFS($I:$I,$A:$A,O$1,$B:$B,"*"&amp;$N2&amp;"*"),2))</calculatedColumnFormula>
    </tableColumn>
    <tableColumn id="2" xr3:uid="{14B18B1C-FC5B-2546-B348-80395A2A6938}" name="Column2" totalsRowFunction="sum" headerRowDxfId="1003" dataDxfId="1002" totalsRowDxfId="1001">
      <calculatedColumnFormula>IF(O2="","",ROUND(SUMIFS($I:$I,$A:$A,P$1,$B:$B,"*"&amp;$N2&amp;"*"),2))</calculatedColumnFormula>
    </tableColumn>
    <tableColumn id="3" xr3:uid="{9BD12D1E-2D42-BB4B-8A9F-5110B2D0304F}" name="Column3" totalsRowFunction="sum" headerRowDxfId="1000" dataDxfId="999" totalsRowDxfId="998">
      <calculatedColumnFormula>IF(P2="","",ROUND(SUMIFS($I:$I,$A:$A,Q$1,$B:$B,"*"&amp;$N2&amp;"*"),2))</calculatedColumnFormula>
    </tableColumn>
    <tableColumn id="4" xr3:uid="{2FD40D3C-36BA-C444-9FA0-E74EB3C41B80}" name="Column4" totalsRowFunction="sum" headerRowDxfId="997" dataDxfId="996" totalsRowDxfId="995">
      <calculatedColumnFormula>IF(Q2="","",ROUND(SUMIFS($I:$I,$A:$A,R$1,$B:$B,"*"&amp;$N2&amp;"*"),2))</calculatedColumnFormula>
    </tableColumn>
    <tableColumn id="5" xr3:uid="{0430F9E9-5946-1048-AC33-EBC16D2C2EA8}" name="Column5" totalsRowFunction="sum" headerRowDxfId="994" dataDxfId="993" totalsRowDxfId="992">
      <calculatedColumnFormula>IF(R2="","",ROUND(SUMIFS($I:$I,$A:$A,S$1,$B:$B,"*"&amp;$N2&amp;"*"),2))</calculatedColumnFormula>
    </tableColumn>
    <tableColumn id="6" xr3:uid="{D87D3650-44F7-9F4F-9A6A-036CA070C72A}" name="Column6" totalsRowFunction="sum" headerRowDxfId="991" dataDxfId="990" totalsRowDxfId="989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A9AE035-33A1-42AD-9EA3-A59EA08C9A68}" name="Table2261210141642" displayName="Table2261210141642" ref="A1:L48" totalsRowCount="1" headerRowDxfId="988" dataDxfId="987" totalsRowDxfId="986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D5C2722-7D26-48D5-90B8-1F7F4F5FEF78}" name="Date" dataDxfId="985" totalsRowDxfId="984"/>
    <tableColumn id="2" xr3:uid="{91D99706-A3EB-4F14-9F9D-C69190A05B8D}" name="Team" dataDxfId="983" totalsRowDxfId="982"/>
    <tableColumn id="3" xr3:uid="{1033C68B-3C90-4F10-BE21-3700DA71777A}" name="Client" dataDxfId="981" totalsRowDxfId="980"/>
    <tableColumn id="4" xr3:uid="{17B96FFB-8D3A-4C0B-9126-814A5C8E3F4B}" name="Start" dataDxfId="979" totalsRowDxfId="978"/>
    <tableColumn id="5" xr3:uid="{DD4A00D6-D8B0-4924-8F7A-FE11F2FE5934}" name="Finish" dataDxfId="977" totalsRowDxfId="976"/>
    <tableColumn id="6" xr3:uid="{0377D211-5E58-4FE5-B431-206E05E0D193}" name="Lunch Break" dataDxfId="975" totalsRowDxfId="974">
      <calculatedColumnFormula>IF(E2="","","No")</calculatedColumnFormula>
    </tableColumn>
    <tableColumn id="7" xr3:uid="{A0D407E4-361C-41A0-9BA2-ADD20DA5D48C}" name="Duration (h:mm)" dataDxfId="973" totalsRowDxfId="972">
      <calculatedColumnFormula>IF(E2="","",IF(F2="Yes",(E2-D2)-TIME(0,30,0),E2-D2))</calculatedColumnFormula>
    </tableColumn>
    <tableColumn id="8" xr3:uid="{07EEEBDD-9DBD-4BEC-9386-1DCAAE01F8BB}" name="Quoted" totalsRowFunction="sum" dataDxfId="971" totalsRowDxfId="970" dataCellStyle="Currency">
      <calculatedColumnFormula>_xlfn.IFNA(VLOOKUP(C:C,'Active Jobs'!B:K,8,0),"")</calculatedColumnFormula>
    </tableColumn>
    <tableColumn id="9" xr3:uid="{67242BA0-ED90-4127-B62A-2C2D8F69C120}" name="Hours Payable" totalsRowFunction="sum" dataDxfId="969" totalsRowDxfId="968">
      <calculatedColumnFormula>IF(F2="Yes",(E2-D2)*24-0.5,IF(F2="No",(E2-D2)*24,""))</calculatedColumnFormula>
    </tableColumn>
    <tableColumn id="10" xr3:uid="{3198CBDA-353A-46AC-BD22-5B2A224A8B17}" name="Wages (Incl. Super)" totalsRowFunction="sum" dataDxfId="967" totalsRowDxfId="966" dataCellStyle="Currency">
      <calculatedColumnFormula>IF(G2="","",G2*24*HourlyRate*2*(1+Super))</calculatedColumnFormula>
    </tableColumn>
    <tableColumn id="11" xr3:uid="{942DE76B-F011-4570-8E3D-A5066BCFD856}" name="Profit" totalsRowFunction="sum" dataDxfId="965" totalsRowDxfId="964" dataCellStyle="Currency">
      <calculatedColumnFormula>IF(H2="","",IF(E2="","",IF(J2=0,0,H2-J2)))</calculatedColumnFormula>
    </tableColumn>
    <tableColumn id="12" xr3:uid="{C5F3BECF-CB64-4C83-BD20-AD315E08079A}" name="Quote/Wages" totalsRowFunction="custom" dataDxfId="963" totalsRowDxfId="962">
      <calculatedColumnFormula>IF(K2="","",IF(H2=0,1,J2/H2))</calculatedColumnFormula>
      <totalsRowFormula>IF(L2="","",SUBTOTAL(101,Table2261210141642[Quote/Wages]))</totalsRowFormula>
    </tableColumn>
  </tableColumns>
  <tableStyleInfo name="TableStyleMedium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B9AE8AE-0AC9-4DAC-9C55-FD49C306BB03}" name="Table4471311151743" displayName="Table4471311151743" ref="O2:T18" headerRowCount="0" headerRowDxfId="961" dataDxfId="960">
  <tableColumns count="6">
    <tableColumn id="1" xr3:uid="{C98AFEB1-9234-4631-9FB7-57A4C093D98E}" name="Column1" totalsRowFunction="sum" headerRowDxfId="959" dataDxfId="958" totalsRowDxfId="957">
      <calculatedColumnFormula>IF(N2="","",ROUND(SUMIFS($I:$I,$A:$A,O$1,$B:$B,"*"&amp;$N2&amp;"*"),2))</calculatedColumnFormula>
    </tableColumn>
    <tableColumn id="2" xr3:uid="{543D8FCB-464E-44A5-AF10-318B9785E913}" name="Column2" totalsRowFunction="sum" headerRowDxfId="956" dataDxfId="955" totalsRowDxfId="954">
      <calculatedColumnFormula>IF(O2="","",ROUND(SUMIFS($I:$I,$A:$A,P$1,$B:$B,"*"&amp;$N2&amp;"*"),2))</calculatedColumnFormula>
    </tableColumn>
    <tableColumn id="3" xr3:uid="{73CB554F-EA6A-4251-BC18-84F3B783BECC}" name="Column3" totalsRowFunction="sum" headerRowDxfId="953" dataDxfId="952" totalsRowDxfId="951">
      <calculatedColumnFormula>IF(P2="","",ROUND(SUMIFS($I:$I,$A:$A,Q$1,$B:$B,"*"&amp;$N2&amp;"*"),2))</calculatedColumnFormula>
    </tableColumn>
    <tableColumn id="4" xr3:uid="{8C084698-AAF9-4FF4-805C-27B0BB4FC122}" name="Column4" totalsRowFunction="sum" headerRowDxfId="950" dataDxfId="949" totalsRowDxfId="948">
      <calculatedColumnFormula>IF(Q2="","",ROUND(SUMIFS($I:$I,$A:$A,R$1,$B:$B,"*"&amp;$N2&amp;"*"),2))</calculatedColumnFormula>
    </tableColumn>
    <tableColumn id="5" xr3:uid="{02EFC79F-F486-466A-9D5D-2255747BEE4B}" name="Column5" totalsRowFunction="sum" headerRowDxfId="947" dataDxfId="946" totalsRowDxfId="945">
      <calculatedColumnFormula>IF(R2="","",ROUND(SUMIFS($I:$I,$A:$A,S$1,$B:$B,"*"&amp;$N2&amp;"*"),2))</calculatedColumnFormula>
    </tableColumn>
    <tableColumn id="6" xr3:uid="{F4089E78-DCA7-43B2-897D-B64D4E9FF820}" name="Column6" totalsRowFunction="sum" headerRowDxfId="944" dataDxfId="943" totalsRowDxfId="942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DEE3C4B-1385-41B2-ABBD-528D7E828E2B}" name="Table4471311151741" displayName="Table4471311151741" ref="O2:T18" headerRowCount="0" headerRowDxfId="926" dataDxfId="925">
  <tableColumns count="6">
    <tableColumn id="1" xr3:uid="{745BAEF6-9697-4547-809E-425384B7CB4E}" name="Column1" totalsRowFunction="sum" headerRowDxfId="924" dataDxfId="923" totalsRowDxfId="922">
      <calculatedColumnFormula>IF(N2="","",ROUND(SUMIFS($I:$I,$A:$A,O$1,$B:$B,"*"&amp;$N2&amp;"*"),2))</calculatedColumnFormula>
    </tableColumn>
    <tableColumn id="2" xr3:uid="{033F1C56-9576-4C2D-8F3E-55149103796B}" name="Column2" totalsRowFunction="sum" headerRowDxfId="921" dataDxfId="920" totalsRowDxfId="919">
      <calculatedColumnFormula>IF(O2="","",ROUND(SUMIFS($I:$I,$A:$A,P$1,$B:$B,"*"&amp;$N2&amp;"*"),2))</calculatedColumnFormula>
    </tableColumn>
    <tableColumn id="3" xr3:uid="{506A2944-888B-48C7-A03C-0253DAADE65C}" name="Column3" totalsRowFunction="sum" headerRowDxfId="918" dataDxfId="917" totalsRowDxfId="916">
      <calculatedColumnFormula>IF(P2="","",ROUND(SUMIFS($I:$I,$A:$A,Q$1,$B:$B,"*"&amp;$N2&amp;"*"),2))</calculatedColumnFormula>
    </tableColumn>
    <tableColumn id="4" xr3:uid="{BD853226-B1D1-47C9-8801-ECE7EE8360DA}" name="Column4" totalsRowFunction="sum" headerRowDxfId="915" dataDxfId="914" totalsRowDxfId="913">
      <calculatedColumnFormula>IF(Q2="","",ROUND(SUMIFS($I:$I,$A:$A,R$1,$B:$B,"*"&amp;$N2&amp;"*"),2))</calculatedColumnFormula>
    </tableColumn>
    <tableColumn id="5" xr3:uid="{19C462D1-103A-49E0-94B9-8B057573A3B9}" name="Column5" totalsRowFunction="sum" headerRowDxfId="912" dataDxfId="911" totalsRowDxfId="910">
      <calculatedColumnFormula>IF(R2="","",ROUND(SUMIFS($I:$I,$A:$A,S$1,$B:$B,"*"&amp;$N2&amp;"*"),2))</calculatedColumnFormula>
    </tableColumn>
    <tableColumn id="6" xr3:uid="{E9E238DC-E923-4918-AF0C-02A539A8E0BF}" name="Column6" totalsRowFunction="sum" headerRowDxfId="909" dataDxfId="908" totalsRowDxfId="907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E6AFDD4-B3EC-44C4-B02F-5D00AD226069}" name="Table2261210141640" displayName="Table2261210141640" ref="A1:L48" totalsRowCount="1" headerRowDxfId="941" dataDxfId="940" totalsRowDxfId="939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77E5F45B-6288-4119-B2DC-CB8D5563B2DE}" name="Date" dataDxfId="938" totalsRowDxfId="11"/>
    <tableColumn id="2" xr3:uid="{87952A6C-2EB1-4C81-B8CF-816C0253FD49}" name="Team" dataDxfId="937" totalsRowDxfId="10"/>
    <tableColumn id="3" xr3:uid="{858FF6E5-6631-471B-AC75-0800414350E4}" name="Client" dataDxfId="936" totalsRowDxfId="9"/>
    <tableColumn id="4" xr3:uid="{8B06283C-B615-4E34-91A4-4869A710531E}" name="Start" dataDxfId="935" totalsRowDxfId="8"/>
    <tableColumn id="5" xr3:uid="{A42B9A9F-857B-4E86-86D8-7FAEF26285D3}" name="Finish" dataDxfId="934" totalsRowDxfId="7"/>
    <tableColumn id="6" xr3:uid="{3F31F475-CCB2-4742-9CBE-56F8577225E0}" name="Lunch Break" dataDxfId="933" totalsRowDxfId="6">
      <calculatedColumnFormula>IF(E2="","","No")</calculatedColumnFormula>
    </tableColumn>
    <tableColumn id="7" xr3:uid="{74CFA288-BFB7-4D68-8F8D-16CDC284DCFE}" name="Duration (h:mm)" dataDxfId="932" totalsRowDxfId="5">
      <calculatedColumnFormula>IF(E2="","",IF(F2="Yes",(E2-D2)-TIME(0,30,0),E2-D2))</calculatedColumnFormula>
    </tableColumn>
    <tableColumn id="8" xr3:uid="{A7CBB95B-E28B-475E-B023-475A1A3FCA6E}" name="Quoted" totalsRowFunction="sum" dataDxfId="931" totalsRowDxfId="4" dataCellStyle="Currency">
      <calculatedColumnFormula>_xlfn.IFNA(VLOOKUP(C:C,'Active Jobs'!B:K,8,0),"")</calculatedColumnFormula>
    </tableColumn>
    <tableColumn id="9" xr3:uid="{0962388B-76FB-4630-A5A3-026DE6827799}" name="Hours Payable" totalsRowFunction="sum" dataDxfId="930" totalsRowDxfId="3">
      <calculatedColumnFormula>IF(F2="Yes",(E2-D2)*24-0.5,IF(F2="No",(E2-D2)*24,""))</calculatedColumnFormula>
    </tableColumn>
    <tableColumn id="10" xr3:uid="{1A6F3063-E792-49CB-96FE-BE7E86200872}" name="Wages (Incl. Super)" totalsRowFunction="sum" dataDxfId="929" totalsRowDxfId="2" dataCellStyle="Currency">
      <calculatedColumnFormula>IF(G2="","",G2*24*HourlyRate*2*(1+Super))</calculatedColumnFormula>
    </tableColumn>
    <tableColumn id="11" xr3:uid="{22EB9BC5-703E-4490-BD3F-6D327D72E54B}" name="Profit" totalsRowFunction="sum" dataDxfId="928" totalsRowDxfId="1" dataCellStyle="Currency">
      <calculatedColumnFormula>IF(H2="","",IF(E2="","",IF(J2=0,0,H2-J2)))</calculatedColumnFormula>
    </tableColumn>
    <tableColumn id="12" xr3:uid="{E38703A9-8052-45C6-87E5-1AFA453BCD98}" name="Quote/Wages" totalsRowFunction="custom" dataDxfId="927" totalsRowDxfId="0">
      <calculatedColumnFormula>IF(K2="","",IF(H2=0,1,J2/H2))</calculatedColumnFormula>
      <totalsRowFormula>IF(L2="","",SUBTOTAL(101,Table2261210141640[Quote/Wages]))</totalsRowFormula>
    </tableColumn>
  </tableColumns>
  <tableStyleInfo name="TableStyleMedium2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FE5727C-0204-4DCF-B471-46A634A65913}" name="Table2261210141638" displayName="Table2261210141638" ref="A1:L48" totalsRowCount="1" headerRowDxfId="906" dataDxfId="905" totalsRowDxfId="904" dataCellStyle="Currency">
  <autoFilter ref="A1:L47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FAD29A17-7A2F-4862-A35C-D9B61C0CC256}" name="Date" dataDxfId="903" totalsRowDxfId="902"/>
    <tableColumn id="2" xr3:uid="{C0A16E12-82CD-4CD5-92CD-CBDA1D38382C}" name="Team" dataDxfId="901" totalsRowDxfId="900"/>
    <tableColumn id="3" xr3:uid="{A39D5DD7-6599-4C97-AF40-2147ECA04E44}" name="Client" dataDxfId="899" totalsRowDxfId="898"/>
    <tableColumn id="4" xr3:uid="{C0B29B7B-84C4-4B54-A67B-73326362AF85}" name="Start" dataDxfId="897" totalsRowDxfId="896"/>
    <tableColumn id="5" xr3:uid="{698708AE-0DEE-405D-B476-FD3F0EE207DF}" name="Finish" dataDxfId="895" totalsRowDxfId="894"/>
    <tableColumn id="6" xr3:uid="{D3EE9331-59FC-4155-8472-10C54C0022B8}" name="Lunch Break" dataDxfId="893" totalsRowDxfId="892">
      <calculatedColumnFormula>IF(E2="","","No")</calculatedColumnFormula>
    </tableColumn>
    <tableColumn id="7" xr3:uid="{8029C43F-2077-4D67-A6C3-C806C8FF7EEA}" name="Duration (h:mm)" dataDxfId="891" totalsRowDxfId="890">
      <calculatedColumnFormula>IF(E2="","",IF(F2="Yes",(E2-D2)-TIME(0,30,0),E2-D2))</calculatedColumnFormula>
    </tableColumn>
    <tableColumn id="8" xr3:uid="{CA2A9D25-6930-4AFD-9B16-B6A76AA5D19B}" name="Quoted" totalsRowFunction="sum" dataDxfId="889" totalsRowDxfId="888" dataCellStyle="Currency">
      <calculatedColumnFormula>_xlfn.IFNA(VLOOKUP(C:C,'Active Jobs'!B:K,8,0),"")</calculatedColumnFormula>
    </tableColumn>
    <tableColumn id="9" xr3:uid="{476FC8A6-D89A-4FC7-9A03-976DC42265C5}" name="Hours Payable" totalsRowFunction="sum" dataDxfId="887" totalsRowDxfId="886">
      <calculatedColumnFormula>IF(F2="Yes",(E2-D2)*24-0.5,IF(F2="No",(E2-D2)*24,""))</calculatedColumnFormula>
    </tableColumn>
    <tableColumn id="10" xr3:uid="{F5FFA09E-F087-4F7B-851C-26D5A16FFD99}" name="Wages (Incl. Super)" totalsRowFunction="sum" dataDxfId="885" totalsRowDxfId="884" dataCellStyle="Currency">
      <calculatedColumnFormula>IF(G2="","",G2*24*HourlyRate*2*(1+Super))</calculatedColumnFormula>
    </tableColumn>
    <tableColumn id="11" xr3:uid="{DC6DE326-5F15-4450-BFDE-4017B2A1B632}" name="Profit" totalsRowFunction="sum" dataDxfId="883" totalsRowDxfId="882" dataCellStyle="Currency">
      <calculatedColumnFormula>IF(H2="","",IF(E2="","",IF(J2=0,0,H2-J2)))</calculatedColumnFormula>
    </tableColumn>
    <tableColumn id="12" xr3:uid="{C71E04F3-3A44-420A-AADA-C195A6A2A230}" name="Quote/Wages" totalsRowFunction="custom" dataDxfId="881" totalsRowDxfId="880">
      <calculatedColumnFormula>IF(K2="","",IF(H2=0,1,J2/H2))</calculatedColumnFormula>
      <totalsRowFormula>IF(L2="","",SUBTOTAL(101,Table2261210141638[Quote/Wages]))</totalsRowFormula>
    </tableColumn>
  </tableColumns>
  <tableStyleInfo name="TableStyleMedium20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29642D3-CA06-4817-9C4E-821D05607BE5}" name="Table4471311151739" displayName="Table4471311151739" ref="O2:T18" headerRowCount="0" headerRowDxfId="879" dataDxfId="878">
  <tableColumns count="6">
    <tableColumn id="1" xr3:uid="{C7299561-40BC-4332-86C2-0704A019CF03}" name="Column1" totalsRowFunction="sum" headerRowDxfId="877" dataDxfId="876" totalsRowDxfId="875">
      <calculatedColumnFormula>IF(N2="","",ROUND(SUMIFS($I:$I,$A:$A,O$1,$B:$B,"*"&amp;$N2&amp;"*"),2))</calculatedColumnFormula>
    </tableColumn>
    <tableColumn id="2" xr3:uid="{B81B287C-51F2-41EA-B1A1-567D100CA138}" name="Column2" totalsRowFunction="sum" headerRowDxfId="874" dataDxfId="873" totalsRowDxfId="872">
      <calculatedColumnFormula>IF(O2="","",ROUND(SUMIFS($I:$I,$A:$A,P$1,$B:$B,"*"&amp;$N2&amp;"*"),2))</calculatedColumnFormula>
    </tableColumn>
    <tableColumn id="3" xr3:uid="{A1B1C9AB-76D7-4DD4-8938-437C688D8B23}" name="Column3" totalsRowFunction="sum" headerRowDxfId="871" dataDxfId="870" totalsRowDxfId="869">
      <calculatedColumnFormula>IF(P2="","",ROUND(SUMIFS($I:$I,$A:$A,Q$1,$B:$B,"*"&amp;$N2&amp;"*"),2))</calculatedColumnFormula>
    </tableColumn>
    <tableColumn id="4" xr3:uid="{69B562BB-5B98-4473-A315-F4BADD13F43B}" name="Column4" totalsRowFunction="sum" headerRowDxfId="868" dataDxfId="867" totalsRowDxfId="866">
      <calculatedColumnFormula>IF(Q2="","",ROUND(SUMIFS($I:$I,$A:$A,R$1,$B:$B,"*"&amp;$N2&amp;"*"),2))</calculatedColumnFormula>
    </tableColumn>
    <tableColumn id="5" xr3:uid="{4EB78EA9-7CC5-415B-9974-34348BAE3354}" name="Column5" totalsRowFunction="sum" headerRowDxfId="865" dataDxfId="864" totalsRowDxfId="863">
      <calculatedColumnFormula>IF(R2="","",ROUND(SUMIFS($I:$I,$A:$A,S$1,$B:$B,"*"&amp;$N2&amp;"*"),2))</calculatedColumnFormula>
    </tableColumn>
    <tableColumn id="6" xr3:uid="{2313E404-56B0-4F86-B163-D54E2BFB0D4F}" name="Column6" totalsRowFunction="sum" headerRowDxfId="862" dataDxfId="861" totalsRowDxfId="86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7FDC59-226D-4514-8477-783CA39C8DA9}" name="Table2261210141636" displayName="Table2261210141636" ref="A1:L54" totalsRowCount="1" headerRowDxfId="859" dataDxfId="858" totalsRowDxfId="857" dataCellStyle="Currency">
  <autoFilter ref="A1:L53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438FBE5-F0EE-4539-8049-83F573304595}" name="Date" dataDxfId="856" totalsRowDxfId="855"/>
    <tableColumn id="2" xr3:uid="{1274608D-B9AC-43DA-B5F6-AFBC60EBAC0B}" name="Team" totalsRowDxfId="854"/>
    <tableColumn id="3" xr3:uid="{EEA16CE4-E98D-48D2-87DC-29A0070CEA7F}" name="Client" totalsRowDxfId="853"/>
    <tableColumn id="4" xr3:uid="{AE54D575-D468-42CF-997E-08ECD3685A47}" name="Start" dataDxfId="852" totalsRowDxfId="851"/>
    <tableColumn id="5" xr3:uid="{626E918C-7E13-4013-83D5-05FCDEA2019B}" name="Finish" dataDxfId="850" totalsRowDxfId="849"/>
    <tableColumn id="6" xr3:uid="{0DA05B9D-6DB1-4441-B8C4-3FB4F7CFC139}" name="Lunch Break" dataDxfId="848" totalsRowDxfId="847">
      <calculatedColumnFormula>IF(E2="","","No")</calculatedColumnFormula>
    </tableColumn>
    <tableColumn id="7" xr3:uid="{64775585-2F76-46F8-BCFF-B1444ECA9ED7}" name="Duration (h:mm)" dataDxfId="846" totalsRowDxfId="845">
      <calculatedColumnFormula>IF(E2="","",IF(F2="Yes",(E2-D2)-TIME(0,30,0),E2-D2))</calculatedColumnFormula>
    </tableColumn>
    <tableColumn id="8" xr3:uid="{82383F38-6739-4F45-916F-34B2F2CFB272}" name="Quoted" totalsRowFunction="sum" dataDxfId="844" totalsRowDxfId="843" dataCellStyle="Currency">
      <calculatedColumnFormula>_xlfn.IFNA(VLOOKUP(C:C,'Active Jobs'!B:K,8,0),"")</calculatedColumnFormula>
    </tableColumn>
    <tableColumn id="9" xr3:uid="{4CED0766-0CBD-4C9C-B74D-A380BBB88B21}" name="Hours Payable" totalsRowFunction="sum" dataDxfId="842" totalsRowDxfId="841">
      <calculatedColumnFormula>IF(F2="Yes",(E2-D2)*24-0.5,IF(F2="No",(E2-D2)*24,""))</calculatedColumnFormula>
    </tableColumn>
    <tableColumn id="10" xr3:uid="{CD688244-94F4-4582-8DE9-DE1E34E0A56A}" name="Wages (Incl. Super)" totalsRowFunction="sum" dataDxfId="840" totalsRowDxfId="839" dataCellStyle="Currency">
      <calculatedColumnFormula>IF(G2="","",G2*24*HourlyRate*2*(1+Super))</calculatedColumnFormula>
    </tableColumn>
    <tableColumn id="11" xr3:uid="{07BF4AD6-FE89-4236-BBB2-83899DF7C7FD}" name="Profit" totalsRowFunction="sum" dataDxfId="838" totalsRowDxfId="837" dataCellStyle="Currency">
      <calculatedColumnFormula>IF(H2="","",IF(E2="","",IF(J2=0,0,H2-J2)))</calculatedColumnFormula>
    </tableColumn>
    <tableColumn id="12" xr3:uid="{7F0AAEDB-F4B4-4002-A4C3-0929F3405F32}" name="Quote/Wages" totalsRowFunction="custom" dataDxfId="836" totalsRowDxfId="835">
      <calculatedColumnFormula>IF(K2="","",IF(H2=0,1,J2/H2))</calculatedColumnFormula>
      <totalsRowFormula>IF(L2="","",SUBTOTAL(101,Table2261210141636[Quote/Wages]))</totalsRowFormula>
    </tableColumn>
  </tableColumns>
  <tableStyleInfo name="TableStyleMedium20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0948500-EC3A-402E-B754-5A4FB198E9F3}" name="Table4471311151737" displayName="Table4471311151737" ref="O2:T6" headerRowCount="0" headerRowDxfId="834" dataDxfId="833">
  <tableColumns count="6">
    <tableColumn id="1" xr3:uid="{C6B09042-6127-4B3D-9867-59EAF40A9DDB}" name="Column1" totalsRowFunction="sum" headerRowDxfId="832" dataDxfId="831" totalsRowDxfId="830">
      <calculatedColumnFormula>IF(N2="","",ROUND(SUMIFS($I:$I,$A:$A,O$1,$B:$B,"*"&amp;$N2&amp;"*"),2))</calculatedColumnFormula>
    </tableColumn>
    <tableColumn id="2" xr3:uid="{44CA48B8-138C-4B58-8B0F-28CB1F7606CD}" name="Column2" totalsRowFunction="sum" headerRowDxfId="829" dataDxfId="828" totalsRowDxfId="827">
      <calculatedColumnFormula>IF(O2="","",ROUND(SUMIFS($I:$I,$A:$A,P$1,$B:$B,"*"&amp;$N2&amp;"*"),2))</calculatedColumnFormula>
    </tableColumn>
    <tableColumn id="3" xr3:uid="{91096B49-ABC3-49F5-BB02-7DE8CD6B1711}" name="Column3" totalsRowFunction="sum" headerRowDxfId="826" dataDxfId="825" totalsRowDxfId="824">
      <calculatedColumnFormula>IF(P2="","",ROUND(SUMIFS($I:$I,$A:$A,Q$1,$B:$B,"*"&amp;$N2&amp;"*"),2))</calculatedColumnFormula>
    </tableColumn>
    <tableColumn id="4" xr3:uid="{15C1265B-4EBD-430B-9BD4-F4C537212230}" name="Column4" totalsRowFunction="sum" headerRowDxfId="823" dataDxfId="822" totalsRowDxfId="821">
      <calculatedColumnFormula>IF(Q2="","",ROUND(SUMIFS($I:$I,$A:$A,R$1,$B:$B,"*"&amp;$N2&amp;"*"),2))</calculatedColumnFormula>
    </tableColumn>
    <tableColumn id="5" xr3:uid="{3924A187-7E0E-427F-A435-0F8398D8CC03}" name="Column5" totalsRowFunction="sum" headerRowDxfId="820" dataDxfId="819" totalsRowDxfId="818">
      <calculatedColumnFormula>IF(R2="","",ROUND(SUMIFS($I:$I,$A:$A,S$1,$B:$B,"*"&amp;$N2&amp;"*"),2))</calculatedColumnFormula>
    </tableColumn>
    <tableColumn id="6" xr3:uid="{94256487-9662-4F4C-A81E-E43359644DE8}" name="Column6" totalsRowFunction="sum" headerRowDxfId="817" dataDxfId="816" totalsRowDxfId="815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486A15C-6C8E-405A-BFAF-28EB19A18994}" name="Table2261210141634" displayName="Table2261210141634" ref="A1:L32" totalsRowCount="1" headerRowDxfId="814" dataDxfId="813" totalsRowDxfId="812" dataCellStyle="Currency">
  <autoFilter ref="A1:L31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7F461B3-3D66-43F8-9A3B-341511D50685}" name="Date" dataDxfId="811" totalsRowDxfId="810"/>
    <tableColumn id="2" xr3:uid="{C59C6284-42C1-49F6-A387-869FA89A7C33}" name="Team" totalsRowDxfId="809"/>
    <tableColumn id="3" xr3:uid="{504B1E63-2AF0-4DD6-9A92-D64303350ECC}" name="Client" totalsRowDxfId="808"/>
    <tableColumn id="4" xr3:uid="{63284DFC-8121-4392-92B4-0C62DEB3F7CF}" name="Start" dataDxfId="807" totalsRowDxfId="806"/>
    <tableColumn id="5" xr3:uid="{A3EA48F6-869F-48A2-9ECE-DC01C25A061A}" name="Finish" dataDxfId="805" totalsRowDxfId="804"/>
    <tableColumn id="6" xr3:uid="{ED279560-C6AA-4735-A5D8-EB03FB1FC572}" name="Lunch Break" dataDxfId="803" totalsRowDxfId="802">
      <calculatedColumnFormula>IF(E2="","","No")</calculatedColumnFormula>
    </tableColumn>
    <tableColumn id="7" xr3:uid="{4CEE477A-1D1D-4B44-96F2-A4485502B2DB}" name="Duration (h:mm)" dataDxfId="801" totalsRowDxfId="800">
      <calculatedColumnFormula>IF(E2="","",IF(F2="Yes",(E2-D2)-TIME(0,30,0),E2-D2))</calculatedColumnFormula>
    </tableColumn>
    <tableColumn id="8" xr3:uid="{C3036D4C-D274-4524-B5FF-BDC90F9E97AB}" name="Quoted" totalsRowFunction="sum" dataDxfId="799" totalsRowDxfId="798" dataCellStyle="Currency">
      <calculatedColumnFormula>_xlfn.IFNA(VLOOKUP(C:C,'Active Jobs'!B:K,8,0),"")</calculatedColumnFormula>
    </tableColumn>
    <tableColumn id="9" xr3:uid="{6D8729E0-ABB6-4801-83B5-6742F67EAC6D}" name="Hours Payable" totalsRowFunction="sum" dataDxfId="797" totalsRowDxfId="796">
      <calculatedColumnFormula>IF(F2="Yes",(E2-D2)*24-0.5,IF(F2="No",(E2-D2)*24,""))</calculatedColumnFormula>
    </tableColumn>
    <tableColumn id="10" xr3:uid="{7A2FBEAB-C3C9-4F69-B114-E0F8B4A2A553}" name="Wages (Incl. Super)" totalsRowFunction="sum" dataDxfId="795" totalsRowDxfId="794" dataCellStyle="Currency">
      <calculatedColumnFormula>IF(G2="","",G2*24*HourlyRate*2*(1+Super))</calculatedColumnFormula>
    </tableColumn>
    <tableColumn id="11" xr3:uid="{4D161526-6C46-4D79-B73F-071CF82C8FC0}" name="Profit" totalsRowFunction="sum" dataDxfId="793" totalsRowDxfId="792" dataCellStyle="Currency">
      <calculatedColumnFormula>IF(H2="","",IF(E2="","",IF(J2=0,0,H2-J2)))</calculatedColumnFormula>
    </tableColumn>
    <tableColumn id="12" xr3:uid="{D4829956-8CF8-4712-824D-AE2F02C28C8C}" name="Quote/Wages" totalsRowFunction="custom" dataDxfId="791" totalsRowDxfId="790">
      <calculatedColumnFormula>IF(K2="","",IF(H2=0,1,J2/H2))</calculatedColumnFormula>
      <totalsRowFormula>IF(L2="","",SUBTOTAL(101,Table2261210141634[Quote/Wages]))</totalsRowFormula>
    </tableColumn>
  </tableColumns>
  <tableStyleInfo name="TableStyleMedium20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D6EC506-D416-4E54-9CD7-E386018BBBA9}" name="Table4471311151735" displayName="Table4471311151735" ref="O2:T6" headerRowCount="0" headerRowDxfId="789" dataDxfId="788">
  <tableColumns count="6">
    <tableColumn id="1" xr3:uid="{32B60B70-099D-4AB3-9BB0-F901E1122B0C}" name="Column1" totalsRowFunction="sum" headerRowDxfId="787" dataDxfId="786" totalsRowDxfId="785">
      <calculatedColumnFormula>IF(N2="","",ROUND(SUMIFS($I:$I,$A:$A,O$1,$B:$B,"*"&amp;$N2&amp;"*"),2))</calculatedColumnFormula>
    </tableColumn>
    <tableColumn id="2" xr3:uid="{626049A6-02E8-46DB-905E-3ABB86299F44}" name="Column2" totalsRowFunction="sum" headerRowDxfId="784" dataDxfId="783" totalsRowDxfId="782">
      <calculatedColumnFormula>IF(O2="","",ROUND(SUMIFS($I:$I,$A:$A,P$1,$B:$B,"*"&amp;$N2&amp;"*"),2))</calculatedColumnFormula>
    </tableColumn>
    <tableColumn id="3" xr3:uid="{71B8E0FE-E2C7-4E60-A73B-4CB5149F362B}" name="Column3" totalsRowFunction="sum" headerRowDxfId="781" dataDxfId="780" totalsRowDxfId="779">
      <calculatedColumnFormula>IF(P2="","",ROUND(SUMIFS($I:$I,$A:$A,Q$1,$B:$B,"*"&amp;$N2&amp;"*"),2))</calculatedColumnFormula>
    </tableColumn>
    <tableColumn id="4" xr3:uid="{7BEA7EB2-5A64-4BB5-A85F-B815C77A0B44}" name="Column4" totalsRowFunction="sum" headerRowDxfId="778" dataDxfId="777" totalsRowDxfId="776">
      <calculatedColumnFormula>IF(Q2="","",ROUND(SUMIFS($I:$I,$A:$A,R$1,$B:$B,"*"&amp;$N2&amp;"*"),2))</calculatedColumnFormula>
    </tableColumn>
    <tableColumn id="5" xr3:uid="{83A4D1BE-4F6F-4EBD-B32D-DE7D9027D140}" name="Column5" totalsRowFunction="sum" headerRowDxfId="775" dataDxfId="774" totalsRowDxfId="773">
      <calculatedColumnFormula>IF(R2="","",ROUND(SUMIFS($I:$I,$A:$A,S$1,$B:$B,"*"&amp;$N2&amp;"*"),2))</calculatedColumnFormula>
    </tableColumn>
    <tableColumn id="6" xr3:uid="{02718F9A-5C38-42FF-B178-BDBDD62BDF5C}" name="Column6" totalsRowFunction="sum" headerRowDxfId="772" dataDxfId="771" totalsRowDxfId="77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8FE48D0-E20B-4B76-A0AB-A441FCBF89B4}" name="Table2261210141632" displayName="Table2261210141632" ref="A1:L35" totalsRowCount="1" headerRowDxfId="769" dataDxfId="768" totalsRowDxfId="767" dataCellStyle="Currency">
  <autoFilter ref="A1:L34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B8067EC3-9EF1-4B54-8C1C-6ABBA33B197A}" name="Date" dataDxfId="766" totalsRowDxfId="765"/>
    <tableColumn id="2" xr3:uid="{C114240B-3DA8-487E-9E2A-CD9AC3F69451}" name="Team" totalsRowDxfId="764"/>
    <tableColumn id="3" xr3:uid="{6769EF49-2B81-4FB2-881E-B8C6A82EBF7F}" name="Client" totalsRowDxfId="763"/>
    <tableColumn id="4" xr3:uid="{628B6A1D-8EF5-4423-ACE5-CDABC188E928}" name="Start" dataDxfId="762" totalsRowDxfId="761"/>
    <tableColumn id="5" xr3:uid="{ADE404F8-7254-4B34-97B3-9D829E8409FA}" name="Finish" dataDxfId="760" totalsRowDxfId="759"/>
    <tableColumn id="6" xr3:uid="{24CE7A68-A46F-4783-BD99-50936F036F9E}" name="Lunch Break" dataDxfId="758" totalsRowDxfId="757">
      <calculatedColumnFormula>IF(E2="","","No")</calculatedColumnFormula>
    </tableColumn>
    <tableColumn id="7" xr3:uid="{D1092B86-E2C3-48A7-9828-938D17B07C74}" name="Duration (h:mm)" dataDxfId="756" totalsRowDxfId="755">
      <calculatedColumnFormula>IF(E2="","",IF(F2="Yes",(E2-D2)-TIME(0,30,0),E2-D2))</calculatedColumnFormula>
    </tableColumn>
    <tableColumn id="8" xr3:uid="{C643DDB8-54DF-40C7-AE1D-F03DB1C084FA}" name="Quoted" totalsRowFunction="sum" dataDxfId="754" totalsRowDxfId="753" dataCellStyle="Currency">
      <calculatedColumnFormula>_xlfn.IFNA(VLOOKUP(C:C,'Active Jobs'!B:K,8,0),"")</calculatedColumnFormula>
    </tableColumn>
    <tableColumn id="9" xr3:uid="{A44B97E4-AAFF-4317-8B12-80EE49882068}" name="Hours Payable" totalsRowFunction="sum" dataDxfId="752" totalsRowDxfId="751">
      <calculatedColumnFormula>IF(F2="Yes",(E2-D2)*24-0.5,IF(F2="No",(E2-D2)*24,""))</calculatedColumnFormula>
    </tableColumn>
    <tableColumn id="10" xr3:uid="{ADA67039-55DB-4D44-A743-7CEF2556D8B2}" name="Wages (Incl. Super)" totalsRowFunction="sum" dataDxfId="750" totalsRowDxfId="749" dataCellStyle="Currency">
      <calculatedColumnFormula>IF(G2="","",G2*24*HourlyRate*2*(1+Super))</calculatedColumnFormula>
    </tableColumn>
    <tableColumn id="11" xr3:uid="{7F9A448E-15BD-4CCB-B4A6-B4C2F8408AB0}" name="Profit" totalsRowFunction="sum" dataDxfId="748" totalsRowDxfId="747" dataCellStyle="Currency">
      <calculatedColumnFormula>IF(H2="","",IF(E2="","",IF(J2=0,0,H2-J2)))</calculatedColumnFormula>
    </tableColumn>
    <tableColumn id="12" xr3:uid="{E4583211-370F-42C7-8513-404F566C46B1}" name="Quote/Wages" totalsRowFunction="custom" dataDxfId="746" totalsRowDxfId="745">
      <calculatedColumnFormula>IF(K2="","",IF(H2=0,1,J2/H2))</calculatedColumnFormula>
      <totalsRowFormula>IF(L2="","",SUBTOTAL(101,Table2261210141632[Quote/Wages]))</totalsRowFormula>
    </tableColumn>
  </tableColumns>
  <tableStyleInfo name="TableStyleMedium20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093C200-58F2-4396-9E87-FA81EE27F3F0}" name="Table4471311151733" displayName="Table4471311151733" ref="O2:T6" headerRowCount="0" headerRowDxfId="744" dataDxfId="743">
  <tableColumns count="6">
    <tableColumn id="1" xr3:uid="{3B0A0B5C-0B5D-4F50-ADF9-683B25F8DC36}" name="Column1" totalsRowFunction="sum" headerRowDxfId="742" dataDxfId="741" totalsRowDxfId="740">
      <calculatedColumnFormula>IF(N2="","",ROUND(SUMIFS($I:$I,$A:$A,O$1,$B:$B,"*"&amp;$N2&amp;"*"),2))</calculatedColumnFormula>
    </tableColumn>
    <tableColumn id="2" xr3:uid="{4BC74DCE-9F70-4276-9465-CCA30C092FAD}" name="Column2" totalsRowFunction="sum" headerRowDxfId="739" dataDxfId="738" totalsRowDxfId="737">
      <calculatedColumnFormula>IF(O2="","",ROUND(SUMIFS($I:$I,$A:$A,P$1,$B:$B,"*"&amp;$N2&amp;"*"),2))</calculatedColumnFormula>
    </tableColumn>
    <tableColumn id="3" xr3:uid="{44862197-4AE2-429E-884F-8650EF409F1C}" name="Column3" totalsRowFunction="sum" headerRowDxfId="736" dataDxfId="735" totalsRowDxfId="734">
      <calculatedColumnFormula>IF(P2="","",ROUND(SUMIFS($I:$I,$A:$A,Q$1,$B:$B,"*"&amp;$N2&amp;"*"),2))</calculatedColumnFormula>
    </tableColumn>
    <tableColumn id="4" xr3:uid="{792402FE-4186-4551-A815-C96474217583}" name="Column4" totalsRowFunction="sum" headerRowDxfId="733" dataDxfId="732" totalsRowDxfId="731">
      <calculatedColumnFormula>IF(Q2="","",ROUND(SUMIFS($I:$I,$A:$A,R$1,$B:$B,"*"&amp;$N2&amp;"*"),2))</calculatedColumnFormula>
    </tableColumn>
    <tableColumn id="5" xr3:uid="{31128753-18CD-45A1-8276-13D7E8CD2CDA}" name="Column5" totalsRowFunction="sum" headerRowDxfId="730" dataDxfId="729" totalsRowDxfId="728">
      <calculatedColumnFormula>IF(R2="","",ROUND(SUMIFS($I:$I,$A:$A,S$1,$B:$B,"*"&amp;$N2&amp;"*"),2))</calculatedColumnFormula>
    </tableColumn>
    <tableColumn id="6" xr3:uid="{E0C05B16-9C95-4B5E-AC95-3B25C473A60B}" name="Column6" totalsRowFunction="sum" headerRowDxfId="727" dataDxfId="726" totalsRowDxfId="725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384A126-B18C-4B1B-91C3-0A156DB68A04}" name="Table2261210141628" displayName="Table2261210141628" ref="A1:L35" totalsRowCount="1" headerRowDxfId="724" dataDxfId="723" totalsRowDxfId="722" dataCellStyle="Currency">
  <autoFilter ref="A1:L34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EC3B4AF-60A5-4235-AFD0-5392D65205E2}" name="Date" dataDxfId="721" totalsRowDxfId="720"/>
    <tableColumn id="2" xr3:uid="{6BC0B5FE-CBAB-4C01-AE6D-865659D964BC}" name="Team" totalsRowDxfId="719"/>
    <tableColumn id="3" xr3:uid="{2CBA4415-DB36-415A-BBB4-993C65B51745}" name="Client" totalsRowDxfId="718"/>
    <tableColumn id="4" xr3:uid="{9760F57C-514E-4AD6-87E3-EDC31C1993F0}" name="Start" dataDxfId="717" totalsRowDxfId="716"/>
    <tableColumn id="5" xr3:uid="{5224200E-2155-475B-B4D0-738104A707F0}" name="Finish" dataDxfId="715" totalsRowDxfId="714"/>
    <tableColumn id="6" xr3:uid="{7B698A40-1B1A-45D8-87BF-F18B47EE9BC5}" name="Lunch Break" dataDxfId="713" totalsRowDxfId="712">
      <calculatedColumnFormula>IF(E2="","","No")</calculatedColumnFormula>
    </tableColumn>
    <tableColumn id="7" xr3:uid="{24229B13-D1E6-4C5E-9ACD-6E2CCBFBDA50}" name="Duration (h:mm)" dataDxfId="711" totalsRowDxfId="710">
      <calculatedColumnFormula>IF(E2="","",IF(F2="Yes",(E2-D2)-TIME(0,30,0),E2-D2))</calculatedColumnFormula>
    </tableColumn>
    <tableColumn id="8" xr3:uid="{8A0BA350-0C82-40FC-AD5A-E936CB928B8D}" name="Quoted" totalsRowFunction="sum" dataDxfId="709" totalsRowDxfId="708" dataCellStyle="Currency">
      <calculatedColumnFormula>_xlfn.IFNA(VLOOKUP(C:C,'Active Jobs'!B:K,8,0),"")</calculatedColumnFormula>
    </tableColumn>
    <tableColumn id="9" xr3:uid="{D09286A0-DFA9-4D6B-85B5-184FA8A0D02B}" name="Hours Payable" totalsRowFunction="sum" dataDxfId="707" totalsRowDxfId="706">
      <calculatedColumnFormula>IF(F2="Yes",(E2-D2)*24-0.5,IF(F2="No",(E2-D2)*24,""))</calculatedColumnFormula>
    </tableColumn>
    <tableColumn id="10" xr3:uid="{767DB3E1-6DD9-4904-A224-6F10BEA8FF1F}" name="Wages (Incl. Super)" totalsRowFunction="sum" dataDxfId="705" totalsRowDxfId="704" dataCellStyle="Currency">
      <calculatedColumnFormula>IF(G2="","",G2*24*HourlyRate*2*(1+Super))</calculatedColumnFormula>
    </tableColumn>
    <tableColumn id="11" xr3:uid="{8576A6E6-9751-41C3-BB41-A1BEC0D2E085}" name="Profit" totalsRowFunction="sum" dataDxfId="703" totalsRowDxfId="702" dataCellStyle="Currency">
      <calculatedColumnFormula>IF(H2="","",IF(E2="","",IF(J2=0,0,H2-J2)))</calculatedColumnFormula>
    </tableColumn>
    <tableColumn id="12" xr3:uid="{13ED7510-A5D8-4C79-AE1D-5EA0810DFE00}" name="Quote/Wages" totalsRowFunction="custom" dataDxfId="701" totalsRowDxfId="700">
      <calculatedColumnFormula>IF(K2="","",IF(H2=0,1,J2/H2))</calculatedColumnFormula>
      <totalsRowFormula>IF(L2="","",SUBTOTAL(101,Table2261210141628[Quote/Wages]))</totalsRowFormula>
    </tableColumn>
  </tableColumns>
  <tableStyleInfo name="TableStyleMedium20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3B1DFB5-926E-4F4F-9FB3-07C05FA47D10}" name="Table4471311151729" displayName="Table4471311151729" ref="O2:T6" headerRowCount="0" headerRowDxfId="699" dataDxfId="698">
  <tableColumns count="6">
    <tableColumn id="1" xr3:uid="{38FA7C1F-8698-4CFA-98E5-7AC327747D83}" name="Column1" totalsRowFunction="sum" headerRowDxfId="697" dataDxfId="696" totalsRowDxfId="695">
      <calculatedColumnFormula>IF(N2="","",ROUND(SUMIFS($I:$I,$A:$A,O$1,$B:$B,"*"&amp;$N2&amp;"*"),2))</calculatedColumnFormula>
    </tableColumn>
    <tableColumn id="2" xr3:uid="{252D4812-46E6-4D68-8A53-763B0B611831}" name="Column2" totalsRowFunction="sum" headerRowDxfId="694" dataDxfId="693" totalsRowDxfId="692">
      <calculatedColumnFormula>IF(O2="","",ROUND(SUMIFS($I:$I,$A:$A,P$1,$B:$B,"*"&amp;$N2&amp;"*"),2))</calculatedColumnFormula>
    </tableColumn>
    <tableColumn id="3" xr3:uid="{AF7BCC2D-998C-4148-BD08-D7B413324B45}" name="Column3" totalsRowFunction="sum" headerRowDxfId="691" dataDxfId="690" totalsRowDxfId="689">
      <calculatedColumnFormula>IF(P2="","",ROUND(SUMIFS($I:$I,$A:$A,Q$1,$B:$B,"*"&amp;$N2&amp;"*"),2))</calculatedColumnFormula>
    </tableColumn>
    <tableColumn id="4" xr3:uid="{08B185BD-B5AB-4C3C-BCE6-2F12ACB81C5B}" name="Column4" totalsRowFunction="sum" headerRowDxfId="688" dataDxfId="687" totalsRowDxfId="686">
      <calculatedColumnFormula>IF(Q2="","",ROUND(SUMIFS($I:$I,$A:$A,R$1,$B:$B,"*"&amp;$N2&amp;"*"),2))</calculatedColumnFormula>
    </tableColumn>
    <tableColumn id="5" xr3:uid="{F9CE0C84-EF52-421C-87E8-EFAF0E55E6BD}" name="Column5" totalsRowFunction="sum" headerRowDxfId="685" dataDxfId="684" totalsRowDxfId="683">
      <calculatedColumnFormula>IF(R2="","",ROUND(SUMIFS($I:$I,$A:$A,S$1,$B:$B,"*"&amp;$N2&amp;"*"),2))</calculatedColumnFormula>
    </tableColumn>
    <tableColumn id="6" xr3:uid="{9230B177-7D4E-4B13-8C23-3276A5B4F447}" name="Column6" totalsRowFunction="sum" headerRowDxfId="682" dataDxfId="681" totalsRowDxfId="68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488F6EA-D554-4601-9628-241D969337F8}" name="Table2261210141630" displayName="Table2261210141630" ref="A1:L36" totalsRowCount="1" headerRowDxfId="679" dataDxfId="678" totalsRowDxfId="677" dataCellStyle="Currency">
  <autoFilter ref="A1:L35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5C1EC4F-256C-4A33-8945-4123F734AEC3}" name="Date" dataDxfId="676" totalsRowDxfId="675"/>
    <tableColumn id="2" xr3:uid="{1C3FE1C4-4976-4506-B367-A5C612C59207}" name="Team" totalsRowDxfId="674"/>
    <tableColumn id="3" xr3:uid="{04DB4C25-8097-4F21-917C-221CE262AF3E}" name="Client" totalsRowDxfId="673"/>
    <tableColumn id="4" xr3:uid="{FC37A6CD-9184-4ADE-927C-0A23FC987C68}" name="Start" dataDxfId="672" totalsRowDxfId="671"/>
    <tableColumn id="5" xr3:uid="{B73501A4-9788-4A4E-BF0C-84FEB29923F7}" name="Finish" dataDxfId="670" totalsRowDxfId="669"/>
    <tableColumn id="6" xr3:uid="{996FBF27-D9FE-4CB1-A8FF-88EAFFD4E3CC}" name="Lunch Break" dataDxfId="668" totalsRowDxfId="667">
      <calculatedColumnFormula>IF(E2="","","No")</calculatedColumnFormula>
    </tableColumn>
    <tableColumn id="7" xr3:uid="{7E22E2DC-495C-4E47-A5DE-049870FE25C5}" name="Duration (h:mm)" dataDxfId="666" totalsRowDxfId="665">
      <calculatedColumnFormula>IF(E2="","",IF(F2="Yes",(E2-D2)-TIME(0,30,0),E2-D2))</calculatedColumnFormula>
    </tableColumn>
    <tableColumn id="8" xr3:uid="{3B5A4BDE-BC78-42DE-95CF-49238CD0303A}" name="Quoted" totalsRowFunction="sum" dataDxfId="664" totalsRowDxfId="663" dataCellStyle="Currency">
      <calculatedColumnFormula>_xlfn.IFNA(VLOOKUP(C:C,'Active Jobs'!B:K,8,0),"")</calculatedColumnFormula>
    </tableColumn>
    <tableColumn id="9" xr3:uid="{0528A139-3C2A-4F8F-8AEE-FE881B5AFE2D}" name="Hours Payable" totalsRowFunction="sum" dataDxfId="662" totalsRowDxfId="661">
      <calculatedColumnFormula>IF(F2="Yes",(E2-D2)*24-0.5,IF(F2="No",(E2-D2)*24,""))</calculatedColumnFormula>
    </tableColumn>
    <tableColumn id="10" xr3:uid="{A901FB95-B504-400C-B640-D6AD140C4CA5}" name="Wages (Incl. Super)" totalsRowFunction="sum" dataDxfId="660" totalsRowDxfId="659" dataCellStyle="Currency">
      <calculatedColumnFormula>IF(G2="","",G2*24*HourlyRate*2*(1+Super))</calculatedColumnFormula>
    </tableColumn>
    <tableColumn id="11" xr3:uid="{36E3837E-5EFB-434F-97B5-992FF5B35AD1}" name="Profit" totalsRowFunction="sum" dataDxfId="658" totalsRowDxfId="657" dataCellStyle="Currency">
      <calculatedColumnFormula>IF(H2="","",IF(E2="","",IF(J2=0,0,H2-J2)))</calculatedColumnFormula>
    </tableColumn>
    <tableColumn id="12" xr3:uid="{C58FDEA9-7445-41D9-A8DF-BA50936312A3}" name="Quote/Wages" totalsRowFunction="custom" dataDxfId="656" totalsRowDxfId="655">
      <calculatedColumnFormula>IF(K2="","",IF(H2=0,1,J2/H2))</calculatedColumnFormula>
      <totalsRowFormula>IF(L2="","",SUBTOTAL(101,Table2261210141630[Quote/Wages]))</totalsRowFormula>
    </tableColumn>
  </tableColumns>
  <tableStyleInfo name="TableStyleMedium20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C1EEFCB-13C5-448E-B9DD-677E6B2C91EA}" name="Table4471311151731" displayName="Table4471311151731" ref="O2:T6" headerRowCount="0" headerRowDxfId="654" dataDxfId="653">
  <tableColumns count="6">
    <tableColumn id="1" xr3:uid="{0094759D-EE90-4D86-89BE-FC57CE5AD69D}" name="Column1" totalsRowFunction="sum" headerRowDxfId="652" dataDxfId="651" totalsRowDxfId="650">
      <calculatedColumnFormula>IF(N2="","",ROUND(SUMIFS($I:$I,$A:$A,O$1,$B:$B,"*"&amp;$N2&amp;"*"),2))</calculatedColumnFormula>
    </tableColumn>
    <tableColumn id="2" xr3:uid="{B1054B30-24DD-406B-8F84-3FDDB2250298}" name="Column2" totalsRowFunction="sum" headerRowDxfId="649" dataDxfId="648" totalsRowDxfId="647">
      <calculatedColumnFormula>IF(O2="","",ROUND(SUMIFS($I:$I,$A:$A,P$1,$B:$B,"*"&amp;$N2&amp;"*"),2))</calculatedColumnFormula>
    </tableColumn>
    <tableColumn id="3" xr3:uid="{28CF43F6-C42F-4423-B628-FF19410F4963}" name="Column3" totalsRowFunction="sum" headerRowDxfId="646" dataDxfId="645" totalsRowDxfId="644">
      <calculatedColumnFormula>IF(P2="","",ROUND(SUMIFS($I:$I,$A:$A,Q$1,$B:$B,"*"&amp;$N2&amp;"*"),2))</calculatedColumnFormula>
    </tableColumn>
    <tableColumn id="4" xr3:uid="{908588AC-E912-48B5-9B79-15622FCBFAD4}" name="Column4" totalsRowFunction="sum" headerRowDxfId="643" dataDxfId="642" totalsRowDxfId="641">
      <calculatedColumnFormula>IF(Q2="","",ROUND(SUMIFS($I:$I,$A:$A,R$1,$B:$B,"*"&amp;$N2&amp;"*"),2))</calculatedColumnFormula>
    </tableColumn>
    <tableColumn id="5" xr3:uid="{48E162B9-B506-4A74-9623-F5CC155573B3}" name="Column5" totalsRowFunction="sum" headerRowDxfId="640" dataDxfId="639" totalsRowDxfId="638">
      <calculatedColumnFormula>IF(R2="","",ROUND(SUMIFS($I:$I,$A:$A,S$1,$B:$B,"*"&amp;$N2&amp;"*"),2))</calculatedColumnFormula>
    </tableColumn>
    <tableColumn id="6" xr3:uid="{34D8C6DE-1423-4039-94EF-6ADF62AB7C7D}" name="Column6" totalsRowFunction="sum" headerRowDxfId="637" dataDxfId="636" totalsRowDxfId="635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D290407-ABD9-4F17-BCAC-8F090C7779EF}" name="Table2261210141626" displayName="Table2261210141626" ref="A1:L34" totalsRowCount="1" headerRowDxfId="634" dataDxfId="633" totalsRowDxfId="632" dataCellStyle="Currency">
  <autoFilter ref="A1:L33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68EB14-16B7-4446-9D82-B9D8B9C5FD18}" name="Date" dataDxfId="631" totalsRowDxfId="630"/>
    <tableColumn id="2" xr3:uid="{46DA2AA7-D912-4BF3-A4C8-7373CDDDB5F2}" name="Team" totalsRowDxfId="629"/>
    <tableColumn id="3" xr3:uid="{37200B5C-9B85-4440-849F-C68B2B66E37D}" name="Client" totalsRowDxfId="628"/>
    <tableColumn id="4" xr3:uid="{713F49D6-73A1-4CA4-9E45-8CEB2618BF19}" name="Start" dataDxfId="627" totalsRowDxfId="626"/>
    <tableColumn id="5" xr3:uid="{CA55515F-6DD8-4D7E-9AD9-E8AED640580B}" name="Finish" dataDxfId="625" totalsRowDxfId="624"/>
    <tableColumn id="6" xr3:uid="{CE5E56A6-60C2-42E0-BDBA-62F36775F7E6}" name="Lunch Break" dataDxfId="623" totalsRowDxfId="622">
      <calculatedColumnFormula>IF(E2="","","No")</calculatedColumnFormula>
    </tableColumn>
    <tableColumn id="7" xr3:uid="{E3AD5555-4B78-4F89-90FE-52661B20D2EF}" name="Duration (h:mm)" dataDxfId="621" totalsRowDxfId="620">
      <calculatedColumnFormula>IF(E2="","",IF(F2="Yes",(E2-D2)-TIME(0,30,0),E2-D2))</calculatedColumnFormula>
    </tableColumn>
    <tableColumn id="8" xr3:uid="{B2C193D9-E613-4AA3-BE65-E404A7102E8F}" name="Quoted" totalsRowFunction="sum" dataDxfId="619" totalsRowDxfId="618" dataCellStyle="Currency">
      <calculatedColumnFormula>_xlfn.IFNA(VLOOKUP(C:C,'Active Jobs'!B:K,8,0),"")</calculatedColumnFormula>
    </tableColumn>
    <tableColumn id="9" xr3:uid="{757C9EED-D33D-41AA-9004-C2ECFBDDA0BD}" name="Hours Payable" totalsRowFunction="sum" dataDxfId="617" totalsRowDxfId="616">
      <calculatedColumnFormula>IF(F2="Yes",(E2-D2)*24-0.5,IF(F2="No",(E2-D2)*24,""))</calculatedColumnFormula>
    </tableColumn>
    <tableColumn id="10" xr3:uid="{877B7F6C-B165-44B5-A050-928600A2774C}" name="Wages (Incl. Super)" totalsRowFunction="sum" dataDxfId="615" totalsRowDxfId="614" dataCellStyle="Currency">
      <calculatedColumnFormula>IF(G2="","",G2*24*HourlyRate*2*(1+Super))</calculatedColumnFormula>
    </tableColumn>
    <tableColumn id="11" xr3:uid="{E9BABFA6-1EB3-4DFB-B767-B69E01CDB12A}" name="Profit" totalsRowFunction="sum" dataDxfId="613" totalsRowDxfId="612" dataCellStyle="Currency">
      <calculatedColumnFormula>IF(H2="","",IF(J2=0,0,H2-J2))</calculatedColumnFormula>
    </tableColumn>
    <tableColumn id="12" xr3:uid="{642461B9-4B90-4884-B5A8-F30062FE8D9D}" name="Quote/Wages" totalsRowFunction="custom" dataDxfId="611" totalsRowDxfId="610">
      <calculatedColumnFormula>IF(K2="","",IF(H2=0,1,J2/H2))</calculatedColumnFormula>
      <totalsRowFormula>IF(L2="","",SUBTOTAL(101,Table2261210141626[Quote/Wages]))</totalsRowFormula>
    </tableColumn>
  </tableColumns>
  <tableStyleInfo name="TableStyleMedium20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C11E188-F304-43E9-BE80-133D9660B896}" name="Table4471311151727" displayName="Table4471311151727" ref="O2:T6" headerRowCount="0" headerRowDxfId="609" dataDxfId="608">
  <tableColumns count="6">
    <tableColumn id="1" xr3:uid="{2D6A97CB-3401-4CED-9084-F91AB020002C}" name="Column1" totalsRowFunction="sum" headerRowDxfId="607" dataDxfId="606" totalsRowDxfId="605">
      <calculatedColumnFormula>IF(N2="","",ROUND(SUMIFS($I:$I,$A:$A,O$1,$B:$B,"*"&amp;$N2&amp;"*"),2))</calculatedColumnFormula>
    </tableColumn>
    <tableColumn id="2" xr3:uid="{29EA4867-621E-4AB2-98E8-75395349CD22}" name="Column2" totalsRowFunction="sum" headerRowDxfId="604" dataDxfId="603" totalsRowDxfId="602">
      <calculatedColumnFormula>IF(O2="","",ROUND(SUMIFS($I:$I,$A:$A,P$1,$B:$B,"*"&amp;$N2&amp;"*"),2))</calculatedColumnFormula>
    </tableColumn>
    <tableColumn id="3" xr3:uid="{94C0DC5C-69E6-4373-9BD2-F298511A5B14}" name="Column3" totalsRowFunction="sum" headerRowDxfId="601" dataDxfId="600" totalsRowDxfId="599">
      <calculatedColumnFormula>IF(P2="","",ROUND(SUMIFS($I:$I,$A:$A,Q$1,$B:$B,"*"&amp;$N2&amp;"*"),2))</calculatedColumnFormula>
    </tableColumn>
    <tableColumn id="4" xr3:uid="{81B56A96-294F-4049-B8FC-02B02E0BC92E}" name="Column4" totalsRowFunction="sum" headerRowDxfId="598" dataDxfId="597" totalsRowDxfId="596">
      <calculatedColumnFormula>IF(Q2="","",ROUND(SUMIFS($I:$I,$A:$A,R$1,$B:$B,"*"&amp;$N2&amp;"*"),2))</calculatedColumnFormula>
    </tableColumn>
    <tableColumn id="5" xr3:uid="{480B5F7E-8C02-40E6-BD18-B5D346AF903F}" name="Column5" totalsRowFunction="sum" headerRowDxfId="595" dataDxfId="594" totalsRowDxfId="593">
      <calculatedColumnFormula>IF(R2="","",ROUND(SUMIFS($I:$I,$A:$A,S$1,$B:$B,"*"&amp;$N2&amp;"*"),2))</calculatedColumnFormula>
    </tableColumn>
    <tableColumn id="6" xr3:uid="{E8ED8E96-33B8-46DA-9D2D-A821BC3ADAE6}" name="Column6" totalsRowFunction="sum" headerRowDxfId="592" dataDxfId="591" totalsRowDxfId="59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CCC4015-C153-4657-B966-D77531F1E0BD}" name="Table2261210141624" displayName="Table2261210141624" ref="A1:L32" totalsRowCount="1" headerRowDxfId="589" dataDxfId="588" totalsRowDxfId="587" dataCellStyle="Currency">
  <autoFilter ref="A1:L31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867AC280-BDDE-4F5C-AB87-95A508260F63}" name="Date" dataDxfId="586" totalsRowDxfId="585"/>
    <tableColumn id="2" xr3:uid="{430E464A-66ED-4189-BEA7-3A49D2211299}" name="Team" totalsRowDxfId="584"/>
    <tableColumn id="3" xr3:uid="{5533FBB6-C1D3-4F4A-B83D-CD94246185EC}" name="Client" totalsRowDxfId="583"/>
    <tableColumn id="4" xr3:uid="{85C12DCD-CA0E-48E7-928F-04C0EE74B587}" name="Start" dataDxfId="582" totalsRowDxfId="581"/>
    <tableColumn id="5" xr3:uid="{4B6FA4E8-D85A-4F13-9E4E-7B3AF6D2005F}" name="Finish" dataDxfId="580" totalsRowDxfId="579"/>
    <tableColumn id="6" xr3:uid="{4CB67310-F46F-44BB-ADE3-D6825672B709}" name="Lunch Break" dataDxfId="578" totalsRowDxfId="577">
      <calculatedColumnFormula>IF(E2="","","No")</calculatedColumnFormula>
    </tableColumn>
    <tableColumn id="7" xr3:uid="{6FC64FE4-24B6-4E6B-AF2A-CBC78C066C59}" name="Duration (h:mm)" dataDxfId="576" totalsRowDxfId="575">
      <calculatedColumnFormula>IF(E2="","",IF(F2="Yes",(E2-D2)-TIME(0,30,0),E2-D2))</calculatedColumnFormula>
    </tableColumn>
    <tableColumn id="8" xr3:uid="{5DDB402A-0596-448B-A569-81896528D8E4}" name="Quoted" totalsRowFunction="sum" dataDxfId="574" totalsRowDxfId="573" dataCellStyle="Currency">
      <calculatedColumnFormula>_xlfn.IFNA(VLOOKUP(C:C,'Active Jobs'!B:K,8,0),"")</calculatedColumnFormula>
    </tableColumn>
    <tableColumn id="9" xr3:uid="{3D247654-AA29-4809-9235-34A465E4BF46}" name="Hours Payable" totalsRowFunction="sum" dataDxfId="572" totalsRowDxfId="571">
      <calculatedColumnFormula>IF(F2="Yes",(E2-D2)*24-0.5,IF(F2="No",(E2-D2)*24,""))</calculatedColumnFormula>
    </tableColumn>
    <tableColumn id="10" xr3:uid="{441F866B-476B-4B25-A794-2A97B518AA97}" name="Wages (Incl. Super)" totalsRowFunction="sum" dataDxfId="570" totalsRowDxfId="569" dataCellStyle="Currency">
      <calculatedColumnFormula>IF(G2="","",G2*24*HourlyRate*2*(1+Super))</calculatedColumnFormula>
    </tableColumn>
    <tableColumn id="11" xr3:uid="{C668D6A1-D723-4F4D-B375-857FC5B79220}" name="Profit" totalsRowFunction="sum" dataDxfId="568" totalsRowDxfId="567" dataCellStyle="Currency">
      <calculatedColumnFormula>IF(H2="","",IF(J2=0,0,H2-J2))</calculatedColumnFormula>
    </tableColumn>
    <tableColumn id="12" xr3:uid="{3002D627-80A2-424B-B1DF-798B595551DE}" name="Quote/Wages" totalsRowFunction="custom" dataDxfId="566" totalsRowDxfId="565">
      <calculatedColumnFormula>IF(K2="","",IF(H2=0,1,J2/H2))</calculatedColumnFormula>
      <totalsRowFormula>IF(L2="","",SUBTOTAL(101,Table2261210141624[Quote/Wages]))</totalsRowFormula>
    </tableColumn>
  </tableColumns>
  <tableStyleInfo name="TableStyleMedium20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220CD55-63EA-45A7-9FD8-4DAAD7412FC0}" name="Table4471311151725" displayName="Table4471311151725" ref="O2:T6" headerRowCount="0" headerRowDxfId="564" dataDxfId="563">
  <tableColumns count="6">
    <tableColumn id="1" xr3:uid="{8D3507AE-D596-4F27-811B-77E83B1A069B}" name="Column1" totalsRowFunction="sum" headerRowDxfId="562" dataDxfId="561" totalsRowDxfId="560">
      <calculatedColumnFormula>IF(N2="","",ROUND(SUMIFS($I:$I,$A:$A,O$1,$B:$B,"*"&amp;$N2&amp;"*"),2))</calculatedColumnFormula>
    </tableColumn>
    <tableColumn id="2" xr3:uid="{437820F5-7386-4078-895E-AB616A429AAF}" name="Column2" totalsRowFunction="sum" headerRowDxfId="559" dataDxfId="558" totalsRowDxfId="557">
      <calculatedColumnFormula>IF(O2="","",ROUND(SUMIFS($I:$I,$A:$A,P$1,$B:$B,"*"&amp;$N2&amp;"*"),2))</calculatedColumnFormula>
    </tableColumn>
    <tableColumn id="3" xr3:uid="{E51B77BB-6BE6-4F29-8D40-205A5E766C37}" name="Column3" totalsRowFunction="sum" headerRowDxfId="556" dataDxfId="555" totalsRowDxfId="554">
      <calculatedColumnFormula>IF(P2="","",ROUND(SUMIFS($I:$I,$A:$A,Q$1,$B:$B,"*"&amp;$N2&amp;"*"),2))</calculatedColumnFormula>
    </tableColumn>
    <tableColumn id="4" xr3:uid="{AB4AEF45-9190-4A5A-AD88-BC104988B4BE}" name="Column4" totalsRowFunction="sum" headerRowDxfId="553" dataDxfId="552" totalsRowDxfId="551">
      <calculatedColumnFormula>IF(Q2="","",ROUND(SUMIFS($I:$I,$A:$A,R$1,$B:$B,"*"&amp;$N2&amp;"*"),2))</calculatedColumnFormula>
    </tableColumn>
    <tableColumn id="5" xr3:uid="{2BB3FA44-22E3-4926-B11C-A985766D2CB7}" name="Column5" totalsRowFunction="sum" headerRowDxfId="550" dataDxfId="549" totalsRowDxfId="548">
      <calculatedColumnFormula>IF(R2="","",ROUND(SUMIFS($I:$I,$A:$A,S$1,$B:$B,"*"&amp;$N2&amp;"*"),2))</calculatedColumnFormula>
    </tableColumn>
    <tableColumn id="6" xr3:uid="{71100E21-AA7C-4B23-87E7-409B6D2DF44B}" name="Column6" totalsRowFunction="sum" headerRowDxfId="547" dataDxfId="546" totalsRowDxfId="545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F31EE12-5614-0F4B-9995-B94D87DC0FB1}" name="Table2261210141622" displayName="Table2261210141622" ref="A1:L31" totalsRowCount="1" headerRowDxfId="544" dataDxfId="543" totalsRowDxfId="542" dataCellStyle="Currency">
  <autoFilter ref="A1:L30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581E9B9-DF8F-8C48-8D7F-CAAA1CE89884}" name="Date" dataDxfId="541" totalsRowDxfId="540"/>
    <tableColumn id="2" xr3:uid="{27D066CF-C4B1-FF4A-AD13-95293949A3AD}" name="Team" totalsRowDxfId="539"/>
    <tableColumn id="3" xr3:uid="{BE4E5E8B-F4A8-9842-9632-8F7EEA32D55F}" name="Client" totalsRowDxfId="538"/>
    <tableColumn id="4" xr3:uid="{E320FD7E-75C4-BA46-AEFD-1BCED566BBF5}" name="Start" dataDxfId="537" totalsRowDxfId="536"/>
    <tableColumn id="5" xr3:uid="{0621DDF6-A897-C14B-90C3-DA26DC98E690}" name="Finish" dataDxfId="535" totalsRowDxfId="534"/>
    <tableColumn id="6" xr3:uid="{7F8B6427-F027-5745-B828-B39D0177D562}" name="Lunch Break" dataDxfId="533" totalsRowDxfId="532">
      <calculatedColumnFormula>IF(E2="","","No")</calculatedColumnFormula>
    </tableColumn>
    <tableColumn id="7" xr3:uid="{F06A159C-2316-3947-B73A-CFE8F1C24D47}" name="Duration (h:mm)" dataDxfId="531" totalsRowDxfId="530">
      <calculatedColumnFormula>IF(E2="","",IF(F2="Yes",(E2-D2)-TIME(0,30,0),E2-D2))</calculatedColumnFormula>
    </tableColumn>
    <tableColumn id="8" xr3:uid="{144B3455-6F76-DC40-AAD2-0A890E1BE442}" name="Quoted" totalsRowFunction="sum" dataDxfId="529" totalsRowDxfId="528" dataCellStyle="Currency">
      <calculatedColumnFormula>_xlfn.IFNA(VLOOKUP(C:C,'Active Jobs'!B:K,8,0),"")</calculatedColumnFormula>
    </tableColumn>
    <tableColumn id="9" xr3:uid="{6555DCB9-A5F4-5C46-BE2A-2A8493AD1F36}" name="Hours Payable" totalsRowFunction="sum" dataDxfId="527" totalsRowDxfId="526">
      <calculatedColumnFormula>IF(F2="Yes",(E2-D2)*24-0.5,IF(F2="No",(E2-D2)*24,""))</calculatedColumnFormula>
    </tableColumn>
    <tableColumn id="10" xr3:uid="{0B30D0D6-225A-4B48-A90C-9B7FC02A128B}" name="Wages (Incl. Super)" totalsRowFunction="sum" dataDxfId="525" totalsRowDxfId="524" dataCellStyle="Currency">
      <calculatedColumnFormula>IF(G2="","",G2*24*HourlyRate*2*(1+Super))</calculatedColumnFormula>
    </tableColumn>
    <tableColumn id="11" xr3:uid="{0697ACC6-5CDA-AD45-8090-6594A8FC4C14}" name="Profit" totalsRowFunction="sum" dataDxfId="523" totalsRowDxfId="522" dataCellStyle="Currency">
      <calculatedColumnFormula>IF(H2="","",IF(J2=0,0,H2-J2))</calculatedColumnFormula>
    </tableColumn>
    <tableColumn id="12" xr3:uid="{6E32F116-1017-574F-95C0-1D95256C090A}" name="Quote/Wages" totalsRowFunction="custom" dataDxfId="521" totalsRowDxfId="520">
      <calculatedColumnFormula>IF(K2="","",IF(H2=0,1,J2/H2))</calculatedColumnFormula>
      <totalsRowFormula>IF(L2="","",SUBTOTAL(101,Table2261210141622[Quote/Wages]))</totalsRowFormula>
    </tableColumn>
  </tableColumns>
  <tableStyleInfo name="TableStyleMedium20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03FA332-9605-5647-9D3C-561CFF7DFF80}" name="Table4471311151723" displayName="Table4471311151723" ref="O2:T6" headerRowCount="0" headerRowDxfId="519" dataDxfId="518">
  <tableColumns count="6">
    <tableColumn id="1" xr3:uid="{62A2C29D-90F5-DB42-A3C5-AE3007E6602E}" name="Column1" totalsRowFunction="sum" headerRowDxfId="517" dataDxfId="516" totalsRowDxfId="515">
      <calculatedColumnFormula>IF(N2="","",ROUND(SUMIFS($I:$I,$A:$A,O$1,$B:$B,"*"&amp;$N2&amp;"*"),2))</calculatedColumnFormula>
    </tableColumn>
    <tableColumn id="2" xr3:uid="{40D0B5F2-429C-7B44-8254-CF919020769B}" name="Column2" totalsRowFunction="sum" headerRowDxfId="514" dataDxfId="513" totalsRowDxfId="512">
      <calculatedColumnFormula>IF(O2="","",ROUND(SUMIFS($I:$I,$A:$A,P$1,$B:$B,"*"&amp;$N2&amp;"*"),2))</calculatedColumnFormula>
    </tableColumn>
    <tableColumn id="3" xr3:uid="{8A8F185A-0E6C-1744-907A-652930705027}" name="Column3" totalsRowFunction="sum" headerRowDxfId="511" dataDxfId="510" totalsRowDxfId="509">
      <calculatedColumnFormula>IF(P2="","",ROUND(SUMIFS($I:$I,$A:$A,Q$1,$B:$B,"*"&amp;$N2&amp;"*"),2))</calculatedColumnFormula>
    </tableColumn>
    <tableColumn id="4" xr3:uid="{44AE9A82-6738-FA40-81A1-5518457F5931}" name="Column4" totalsRowFunction="sum" headerRowDxfId="508" dataDxfId="507" totalsRowDxfId="506">
      <calculatedColumnFormula>IF(Q2="","",ROUND(SUMIFS($I:$I,$A:$A,R$1,$B:$B,"*"&amp;$N2&amp;"*"),2))</calculatedColumnFormula>
    </tableColumn>
    <tableColumn id="5" xr3:uid="{120EF974-9A8D-A44B-8451-62B4AE97F8C9}" name="Column5" totalsRowFunction="sum" headerRowDxfId="505" dataDxfId="504" totalsRowDxfId="503">
      <calculatedColumnFormula>IF(R2="","",ROUND(SUMIFS($I:$I,$A:$A,S$1,$B:$B,"*"&amp;$N2&amp;"*"),2))</calculatedColumnFormula>
    </tableColumn>
    <tableColumn id="6" xr3:uid="{DC506A24-499B-2B45-9EA3-21480EF2471A}" name="Column6" totalsRowFunction="sum" headerRowDxfId="502" dataDxfId="501" totalsRowDxfId="500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D91140D-D075-49AF-A513-6C0A8B9B94A1}" name="Table2261210141620" displayName="Table2261210141620" ref="A1:L32" totalsRowCount="1" headerRowDxfId="499" dataDxfId="498" totalsRowDxfId="497" dataCellStyle="Currency">
  <autoFilter ref="A1:L31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8F8A01FF-A2F6-449D-9FFC-1809A4BA75AC}" name="Date" dataDxfId="496" totalsRowDxfId="145"/>
    <tableColumn id="2" xr3:uid="{0BA0AFF7-3575-4798-A887-7DFA973A5430}" name="Team" totalsRowDxfId="144"/>
    <tableColumn id="3" xr3:uid="{127A9B42-C27B-4818-B769-81B834CFEAE3}" name="Client" totalsRowDxfId="143"/>
    <tableColumn id="4" xr3:uid="{5767079E-C29B-435E-86D1-084B490B9866}" name="Start" dataDxfId="495" totalsRowDxfId="142"/>
    <tableColumn id="5" xr3:uid="{1773175B-C422-455F-A970-87C13163246A}" name="Finish" dataDxfId="494" totalsRowDxfId="141"/>
    <tableColumn id="6" xr3:uid="{F799D854-CCAF-43E4-9217-A3AA0C2ED376}" name="Lunch Break" dataDxfId="493" totalsRowDxfId="140">
      <calculatedColumnFormula>IF(E2="","","No")</calculatedColumnFormula>
    </tableColumn>
    <tableColumn id="7" xr3:uid="{B65306D0-8B48-46FC-B412-EB1424B838DC}" name="Duration (h:mm)" dataDxfId="492" totalsRowDxfId="139">
      <calculatedColumnFormula>IF(E2="","",IF(F2="Yes",(E2-D2)-TIME(0,30,0),E2-D2))</calculatedColumnFormula>
    </tableColumn>
    <tableColumn id="8" xr3:uid="{E52598FF-85A2-456C-BDD9-684453B65179}" name="Quoted" totalsRowFunction="sum" dataDxfId="491" totalsRowDxfId="138" dataCellStyle="Currency">
      <calculatedColumnFormula>_xlfn.IFNA(VLOOKUP(C:C,'Active Jobs'!B:K,8,0),"")</calculatedColumnFormula>
    </tableColumn>
    <tableColumn id="9" xr3:uid="{A14DE902-EE77-4951-B179-7EB4535D1ADF}" name="Hours Payable" totalsRowFunction="sum" dataDxfId="490" totalsRowDxfId="137">
      <calculatedColumnFormula>IF(F2="Yes",(E2-D2)*24-0.5,IF(F2="No",(E2-D2)*24,""))</calculatedColumnFormula>
    </tableColumn>
    <tableColumn id="10" xr3:uid="{1CCB2E6F-A10C-4996-950D-D3CB4B27CD05}" name="Wages (Incl. Super)" totalsRowFunction="sum" dataDxfId="489" totalsRowDxfId="136" dataCellStyle="Currency">
      <calculatedColumnFormula>IF(G2="","",G2*24*HourlyRate*2*(1+Super))</calculatedColumnFormula>
    </tableColumn>
    <tableColumn id="11" xr3:uid="{E09CC902-E295-4AD0-822A-4BA0B8496986}" name="Profit" totalsRowFunction="sum" dataDxfId="488" totalsRowDxfId="135" dataCellStyle="Currency">
      <calculatedColumnFormula>IF(H2="","",IF(J2=0,0,H2-J2))</calculatedColumnFormula>
    </tableColumn>
    <tableColumn id="12" xr3:uid="{9CB06092-2090-45E9-89F8-D901113CB442}" name="Quote/Wages" totalsRowFunction="custom" dataDxfId="487" totalsRowDxfId="134">
      <calculatedColumnFormula>IF(K2="","",IF(H2=0,1,J2/H2))</calculatedColumnFormula>
      <totalsRowFormula>IF(L2="","",SUBTOTAL(101,Table2261210141620[Quote/Wages]))</totalsRowFormula>
    </tableColumn>
  </tableColumns>
  <tableStyleInfo name="TableStyleMedium20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76AC98-E731-4A0F-A1C9-E56A9FBE16F7}" name="Table4471311151721" displayName="Table4471311151721" ref="O2:T6" headerRowCount="0" headerRowDxfId="486" dataDxfId="485">
  <tableColumns count="6">
    <tableColumn id="1" xr3:uid="{FDBBFD0F-A62D-4291-80A7-F22D691030FE}" name="Column1" totalsRowFunction="sum" headerRowDxfId="484" dataDxfId="483" totalsRowDxfId="482">
      <calculatedColumnFormula>IF(N2="","",ROUND(SUMIFS($I:$I,$A:$A,O$1,$B:$B,"*"&amp;$N2&amp;"*"),2))</calculatedColumnFormula>
    </tableColumn>
    <tableColumn id="2" xr3:uid="{723F9F72-1C2D-4B47-84FF-849BA45DDF37}" name="Column2" totalsRowFunction="sum" headerRowDxfId="481" dataDxfId="480" totalsRowDxfId="479">
      <calculatedColumnFormula>IF(O2="","",ROUND(SUMIFS($I:$I,$A:$A,P$1,$B:$B,"*"&amp;$N2&amp;"*"),2))</calculatedColumnFormula>
    </tableColumn>
    <tableColumn id="3" xr3:uid="{2A3E56EF-D524-49EE-90A7-BD7717F18008}" name="Column3" totalsRowFunction="sum" headerRowDxfId="478" dataDxfId="477" totalsRowDxfId="476">
      <calculatedColumnFormula>IF(P2="","",ROUND(SUMIFS($I:$I,$A:$A,Q$1,$B:$B,"*"&amp;$N2&amp;"*"),2))</calculatedColumnFormula>
    </tableColumn>
    <tableColumn id="4" xr3:uid="{0502B161-6EF5-4B39-BE8C-8222F0CF8031}" name="Column4" totalsRowFunction="sum" headerRowDxfId="475" dataDxfId="474" totalsRowDxfId="473">
      <calculatedColumnFormula>IF(Q2="","",ROUND(SUMIFS($I:$I,$A:$A,R$1,$B:$B,"*"&amp;$N2&amp;"*"),2))</calculatedColumnFormula>
    </tableColumn>
    <tableColumn id="5" xr3:uid="{19BD18C8-2B98-4809-82BE-F1A6D588EA0F}" name="Column5" totalsRowFunction="sum" headerRowDxfId="472" dataDxfId="471" totalsRowDxfId="470">
      <calculatedColumnFormula>IF(R2="","",ROUND(SUMIFS($I:$I,$A:$A,S$1,$B:$B,"*"&amp;$N2&amp;"*"),2))</calculatedColumnFormula>
    </tableColumn>
    <tableColumn id="6" xr3:uid="{8375D10E-556A-4FBC-8719-E48680A8E79E}" name="Column6" totalsRowFunction="sum" headerRowDxfId="469" dataDxfId="468" totalsRowDxfId="467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D30FAA2-64C9-4488-8579-58031498C347}" name="Table4471311151719" displayName="Table4471311151719" ref="O2:T6" headerRowCount="0" headerRowDxfId="466" dataDxfId="465">
  <tableColumns count="6">
    <tableColumn id="1" xr3:uid="{AA11877E-F278-44E1-B9C1-324BC20AD201}" name="Column1" totalsRowFunction="sum" headerRowDxfId="464" dataDxfId="463" totalsRowDxfId="462">
      <calculatedColumnFormula>IF(N2="","",ROUND(SUMIFS($I:$I,$A:$A,O$1,$B:$B,"*"&amp;$N2&amp;"*"),2))</calculatedColumnFormula>
    </tableColumn>
    <tableColumn id="2" xr3:uid="{F41385AD-4796-4409-846A-E84B7C26A043}" name="Column2" totalsRowFunction="sum" headerRowDxfId="461" dataDxfId="460" totalsRowDxfId="459">
      <calculatedColumnFormula>IF(O2="","",ROUND(SUMIFS($I:$I,$A:$A,P$1,$B:$B,"*"&amp;$N2&amp;"*"),2))</calculatedColumnFormula>
    </tableColumn>
    <tableColumn id="3" xr3:uid="{796C646C-E1E9-4DEA-9DDF-F69F40E70AA3}" name="Column3" totalsRowFunction="sum" headerRowDxfId="458" dataDxfId="457" totalsRowDxfId="456">
      <calculatedColumnFormula>IF(P2="","",ROUND(SUMIFS($I:$I,$A:$A,Q$1,$B:$B,"*"&amp;$N2&amp;"*"),2))</calculatedColumnFormula>
    </tableColumn>
    <tableColumn id="4" xr3:uid="{CFBD7BFD-C448-4A6F-9F5A-7362FE72AD64}" name="Column4" totalsRowFunction="sum" headerRowDxfId="455" dataDxfId="454" totalsRowDxfId="453">
      <calculatedColumnFormula>IF(Q2="","",ROUND(SUMIFS($I:$I,$A:$A,R$1,$B:$B,"*"&amp;$N2&amp;"*"),2))</calculatedColumnFormula>
    </tableColumn>
    <tableColumn id="5" xr3:uid="{1DA7E774-F077-4CD6-9CE7-7DD4009D8ACB}" name="Column5" totalsRowFunction="sum" headerRowDxfId="452" dataDxfId="451" totalsRowDxfId="450">
      <calculatedColumnFormula>IF(R2="","",ROUND(SUMIFS($I:$I,$A:$A,S$1,$B:$B,"*"&amp;$N2&amp;"*"),2))</calculatedColumnFormula>
    </tableColumn>
    <tableColumn id="6" xr3:uid="{B6AC6439-BF16-4404-B747-5483DEB3A3BB}" name="Column6" totalsRowFunction="sum" headerRowDxfId="449" dataDxfId="448" totalsRowDxfId="447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8E4B9F8-E6A0-4184-B479-2B41AA28D3C2}" name="Table2261210141618" displayName="Table2261210141618" ref="A1:L34" totalsRowCount="1" headerRowDxfId="446" dataDxfId="445" totalsRowDxfId="444" dataCellStyle="Currency">
  <autoFilter ref="A1:L33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C12D6CC-DCE8-4103-ADA0-3428EA3DBE42}" name="Date" dataDxfId="443" totalsRowDxfId="442"/>
    <tableColumn id="2" xr3:uid="{6993CC6A-77FE-411A-B5A3-4B590923BF32}" name="Team" totalsRowDxfId="441"/>
    <tableColumn id="3" xr3:uid="{ED4E9AD6-97F0-46F3-9EA2-21B541B1D787}" name="Client" totalsRowDxfId="440"/>
    <tableColumn id="4" xr3:uid="{74EA99CA-631E-4D06-B2F9-3EACE23AEED4}" name="Start" dataDxfId="439" totalsRowDxfId="438"/>
    <tableColumn id="5" xr3:uid="{5BAE0657-9631-487E-A6D4-D0F9BB8BF335}" name="Finish" dataDxfId="437" totalsRowDxfId="436"/>
    <tableColumn id="6" xr3:uid="{BE90670C-88A9-4E4C-B5F7-3CD4E4294BD6}" name="Lunch Break" dataDxfId="435" totalsRowDxfId="434">
      <calculatedColumnFormula>IF(E2="","","No")</calculatedColumnFormula>
    </tableColumn>
    <tableColumn id="7" xr3:uid="{CE923662-693F-421F-8FC4-E52317BABF1C}" name="Duration (h:mm)" dataDxfId="433" totalsRowDxfId="432">
      <calculatedColumnFormula>IF(E2="","",IF(F2="Yes",(E2-D2)-TIME(0,30,0),E2-D2))</calculatedColumnFormula>
    </tableColumn>
    <tableColumn id="8" xr3:uid="{B2F2D4A4-ACA6-49AB-AD61-C1F9DDF493BA}" name="Quoted" totalsRowFunction="sum" dataDxfId="431" totalsRowDxfId="430" dataCellStyle="Currency">
      <calculatedColumnFormula>_xlfn.IFNA(VLOOKUP(C:C,'Active Jobs'!B:K,8,0),"")</calculatedColumnFormula>
    </tableColumn>
    <tableColumn id="9" xr3:uid="{E1495548-E8A9-4A82-AB17-6E9D8151498A}" name="Hours Payable" totalsRowFunction="sum" dataDxfId="429" totalsRowDxfId="428">
      <calculatedColumnFormula>IF(F2="Yes",(E2-D2)*24-0.5,IF(F2="No",(E2-D2)*24,""))</calculatedColumnFormula>
    </tableColumn>
    <tableColumn id="10" xr3:uid="{00C645E2-0764-4E94-A4FE-A234FFD6CB8A}" name="Wages (Incl. Super)" totalsRowFunction="sum" dataDxfId="427" totalsRowDxfId="426" dataCellStyle="Currency">
      <calculatedColumnFormula>IF(G2="","",G2*24*HourlyRate*2*(1+Super))</calculatedColumnFormula>
    </tableColumn>
    <tableColumn id="11" xr3:uid="{908D8EB1-7A2D-49A1-8113-A2CD94132826}" name="Profit" totalsRowFunction="sum" dataDxfId="425" totalsRowDxfId="424" dataCellStyle="Currency">
      <calculatedColumnFormula>IF(H2="","",H2-J2)</calculatedColumnFormula>
    </tableColumn>
    <tableColumn id="12" xr3:uid="{318B213F-A5FD-4F1A-B13C-FE06EFA1328F}" name="Quote/Wages" totalsRowFunction="custom" dataDxfId="423" totalsRowDxfId="422">
      <calculatedColumnFormula>IF(K2="","",IF(H2=0,1,J2/H2))</calculatedColumnFormula>
      <totalsRowFormula>IF(L2="","",SUBTOTAL(101,Table2261210141618[Quote/Wages]))</totalsRowFormula>
    </tableColumn>
  </tableColumns>
  <tableStyleInfo name="TableStyleMedium20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1C35C5-8140-6F4E-B7BF-3434E081CEF5}" name="Table226121014" displayName="Table226121014" ref="A1:L35" totalsRowCount="1" headerRowDxfId="421" dataDxfId="420" totalsRowDxfId="419" dataCellStyle="Currency">
  <autoFilter ref="A1:L34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3A00113-FBBD-DE4B-8C01-0DB16A5AC3C3}" name="Date" dataDxfId="418" totalsRowDxfId="157"/>
    <tableColumn id="2" xr3:uid="{D482216F-B491-1744-B8FE-46DBCDD6E091}" name="Team" totalsRowDxfId="156"/>
    <tableColumn id="3" xr3:uid="{CC741798-D9D5-3E48-B1F5-3384C87087B8}" name="Client" totalsRowDxfId="155"/>
    <tableColumn id="4" xr3:uid="{C17C90D0-3B73-9345-9F5E-4C702D0DBEA5}" name="Start" dataDxfId="417" totalsRowDxfId="154"/>
    <tableColumn id="5" xr3:uid="{343A0047-AB66-D844-8EB4-3091CFBD2901}" name="Finish" dataDxfId="416" totalsRowDxfId="153"/>
    <tableColumn id="6" xr3:uid="{F85E4343-8264-0D47-88F5-9F3DFFF2D1AF}" name="Lunch Break" dataDxfId="415" totalsRowDxfId="152">
      <calculatedColumnFormula>IF(E2="","","No")</calculatedColumnFormula>
    </tableColumn>
    <tableColumn id="7" xr3:uid="{EC8988C5-CE48-C14B-8BFB-72383A253B62}" name="Duration (h:mm)" dataDxfId="414" totalsRowDxfId="151">
      <calculatedColumnFormula>IF(E2="","",IF(F2="Yes",(E2-D2)-TIME(0,30,0),E2-D2))</calculatedColumnFormula>
    </tableColumn>
    <tableColumn id="8" xr3:uid="{9C028054-1853-F44A-B078-88520F3FF0B7}" name="Quoted" totalsRowFunction="sum" dataDxfId="413" totalsRowDxfId="150" dataCellStyle="Currency">
      <calculatedColumnFormula>_xlfn.IFNA(VLOOKUP(C:C,'Active Jobs'!B:K,8,0),"")</calculatedColumnFormula>
    </tableColumn>
    <tableColumn id="9" xr3:uid="{9F01753E-2B66-1C43-9146-26DB91E31A62}" name="Hours Payable" totalsRowFunction="sum" dataDxfId="412" totalsRowDxfId="149">
      <calculatedColumnFormula>IF(F2="Yes",(E2-D2)*24-0.5,IF(F2="No",(E2-D2)*24,""))</calculatedColumnFormula>
    </tableColumn>
    <tableColumn id="10" xr3:uid="{890284AD-7101-3D42-ADB7-12157897E715}" name="Wages (Incl. Super)" totalsRowFunction="sum" dataDxfId="411" totalsRowDxfId="148" dataCellStyle="Currency">
      <calculatedColumnFormula>IF(G2="","",G2*24*HourlyRate*2*(1+Super))</calculatedColumnFormula>
    </tableColumn>
    <tableColumn id="11" xr3:uid="{9D90F1BE-C64A-7F4D-82B1-D373CDB6AF13}" name="Profit" totalsRowFunction="sum" dataDxfId="410" totalsRowDxfId="147" dataCellStyle="Currency">
      <calculatedColumnFormula>IF(H2="","",H2-J2)</calculatedColumnFormula>
    </tableColumn>
    <tableColumn id="12" xr3:uid="{361E24CE-0CFB-3A4D-858C-777EDDC295FE}" name="Quote/Wages" totalsRowFunction="custom" dataDxfId="409" totalsRowDxfId="146">
      <calculatedColumnFormula>IF(K2="","",IF(H2=0,1,J2/H2))</calculatedColumnFormula>
      <totalsRowFormula>IF(L2="","",SUBTOTAL(101,Table226121014[Quote/Wages]))</totalsRowFormula>
    </tableColumn>
  </tableColumns>
  <tableStyleInfo name="TableStyleMedium20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540BAB6-7A16-7A49-986D-9FC7BB447103}" name="Table447131115" displayName="Table447131115" ref="O2:T6" headerRowCount="0" headerRowDxfId="408" dataDxfId="407">
  <tableColumns count="6">
    <tableColumn id="1" xr3:uid="{FEBB9333-D412-1643-9D3A-694E7AC01AE9}" name="Column1" totalsRowFunction="sum" headerRowDxfId="406" dataDxfId="405" totalsRowDxfId="404">
      <calculatedColumnFormula>IF(N2="","",ROUND(SUMIFS($I:$I,$A:$A,O$1,$B:$B,"*"&amp;$N2&amp;"*"),2))</calculatedColumnFormula>
    </tableColumn>
    <tableColumn id="2" xr3:uid="{C4718FA3-AC83-4440-977A-734D46DDD1E2}" name="Column2" totalsRowFunction="sum" headerRowDxfId="403" dataDxfId="402" totalsRowDxfId="401">
      <calculatedColumnFormula>IF(O2="","",ROUND(SUMIFS($I:$I,$A:$A,P$1,$B:$B,"*"&amp;$N2&amp;"*"),2))</calculatedColumnFormula>
    </tableColumn>
    <tableColumn id="3" xr3:uid="{4263BCDC-7A1F-ED46-AE37-60222EB686F2}" name="Column3" totalsRowFunction="sum" headerRowDxfId="400" dataDxfId="399" totalsRowDxfId="398">
      <calculatedColumnFormula>IF(P2="","",ROUND(SUMIFS($I:$I,$A:$A,Q$1,$B:$B,"*"&amp;$N2&amp;"*"),2))</calculatedColumnFormula>
    </tableColumn>
    <tableColumn id="4" xr3:uid="{FAE10D01-1259-B744-8548-923309F1061A}" name="Column4" totalsRowFunction="sum" headerRowDxfId="397" dataDxfId="396" totalsRowDxfId="395">
      <calculatedColumnFormula>IF(Q2="","",ROUND(SUMIFS($I:$I,$A:$A,R$1,$B:$B,"*"&amp;$N2&amp;"*"),2))</calculatedColumnFormula>
    </tableColumn>
    <tableColumn id="5" xr3:uid="{0E0F75B5-F8CB-1C47-9B1C-D6D4657E4AB6}" name="Column5" totalsRowFunction="sum" headerRowDxfId="394" dataDxfId="393" totalsRowDxfId="392">
      <calculatedColumnFormula>IF(R2="","",ROUND(SUMIFS($I:$I,$A:$A,S$1,$B:$B,"*"&amp;$N2&amp;"*"),2))</calculatedColumnFormula>
    </tableColumn>
    <tableColumn id="6" xr3:uid="{017B6ED8-345C-2149-9D14-646C0DB00CF9}" name="Column6" totalsRowFunction="sum" headerRowDxfId="391" dataDxfId="390" totalsRowDxfId="389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2C9695-3855-294C-9F03-229594933722}" name="Table2261210" displayName="Table2261210" ref="A1:L31" totalsRowCount="1" headerRowDxfId="388" dataDxfId="387" totalsRowDxfId="386" dataCellStyle="Currency">
  <autoFilter ref="A1:L30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393D55A6-D1B5-2A44-9D0B-3FE6F9A0CBF7}" name="Date" dataDxfId="133" totalsRowDxfId="132"/>
    <tableColumn id="2" xr3:uid="{BD798826-AFFA-1445-964F-FE1D0728403A}" name="Team" totalsRowDxfId="131"/>
    <tableColumn id="3" xr3:uid="{28A31DBA-146B-294D-852D-D99AB95565DF}" name="Client" totalsRowDxfId="130"/>
    <tableColumn id="4" xr3:uid="{5FA54161-6CA5-B641-90E2-07B7EE2050C8}" name="Start" dataDxfId="129" totalsRowDxfId="128"/>
    <tableColumn id="5" xr3:uid="{22EE664B-396B-1140-9113-56D1E848DEA2}" name="Finish" dataDxfId="127" totalsRowDxfId="126"/>
    <tableColumn id="6" xr3:uid="{8B5CC7E0-A1AD-4C4C-AA5F-D9920E94FFE4}" name="Lunch Break" dataDxfId="125" totalsRowDxfId="124">
      <calculatedColumnFormula>IF(E2="","","No")</calculatedColumnFormula>
    </tableColumn>
    <tableColumn id="7" xr3:uid="{5A4430CD-5C7E-0644-8C0A-715D1C433B1B}" name="Duration (h:mm)" dataDxfId="123" totalsRowDxfId="122">
      <calculatedColumnFormula>IF(E2="","",IF(F2="Yes",(E2-D2)-TIME(0,30,0),E2-D2))</calculatedColumnFormula>
    </tableColumn>
    <tableColumn id="8" xr3:uid="{6CA684C1-7335-134B-8D1C-2B9C37AAD3F9}" name="Quoted" totalsRowFunction="sum" dataDxfId="121" totalsRowDxfId="120" dataCellStyle="Currency">
      <calculatedColumnFormula>_xlfn.IFNA(VLOOKUP(C:C,'Active Jobs'!B:K,8,0),"")</calculatedColumnFormula>
    </tableColumn>
    <tableColumn id="9" xr3:uid="{D4EE18C9-2D9C-3C41-8F81-2AD30061840C}" name="Hours Payable" totalsRowFunction="sum" dataDxfId="119" totalsRowDxfId="118">
      <calculatedColumnFormula>IF(F2="Yes",(E2-D2)*24-0.5,IF(F2="No",(E2-D2)*24,""))</calculatedColumnFormula>
    </tableColumn>
    <tableColumn id="10" xr3:uid="{FDCE2BEC-516C-024D-BA0D-325F95571464}" name="Wages (Incl. Super)" totalsRowFunction="sum" dataDxfId="117" totalsRowDxfId="116" dataCellStyle="Currency">
      <calculatedColumnFormula>IF(G2="","",G2*24*HourlyRate*2*(1+Super))</calculatedColumnFormula>
    </tableColumn>
    <tableColumn id="11" xr3:uid="{B28EAB3B-C425-FA44-B024-E8ED99D0375B}" name="Profit" totalsRowFunction="sum" dataDxfId="115" totalsRowDxfId="114" dataCellStyle="Currency">
      <calculatedColumnFormula>IF(H2="","",H2-J2)</calculatedColumnFormula>
    </tableColumn>
    <tableColumn id="12" xr3:uid="{D54170CD-E967-F744-9E3C-E21D70DEED08}" name="Quote/Wages" totalsRowFunction="average" dataDxfId="113" totalsRowDxfId="112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120D0B-8F24-C543-884A-DC66D0E27157}" name="Table4471311" displayName="Table4471311" ref="O2:T5" headerRowCount="0" headerRowDxfId="385" dataDxfId="384">
  <tableColumns count="6">
    <tableColumn id="1" xr3:uid="{C749F0A0-3B01-0747-83B8-74F0D84F3E04}" name="Column1" totalsRowFunction="sum" headerRowDxfId="383" dataDxfId="382" totalsRowDxfId="381">
      <calculatedColumnFormula>IF(N2="","",ROUND(SUMIFS($I:$I,$A:$A,O$1,$B:$B,"*"&amp;$N2&amp;"*"),2))</calculatedColumnFormula>
    </tableColumn>
    <tableColumn id="2" xr3:uid="{9D4D4E01-253A-DF45-8A34-CD1546FC7866}" name="Column2" totalsRowFunction="sum" headerRowDxfId="380" dataDxfId="379" totalsRowDxfId="378">
      <calculatedColumnFormula>IF(O2="","",ROUND(SUMIFS($I:$I,$A:$A,P$1,$B:$B,"*"&amp;$N2&amp;"*"),2))</calculatedColumnFormula>
    </tableColumn>
    <tableColumn id="3" xr3:uid="{29AC5D6B-5BEE-5746-989D-C6687EF8B78C}" name="Column3" totalsRowFunction="sum" headerRowDxfId="377" dataDxfId="376" totalsRowDxfId="375">
      <calculatedColumnFormula>IF(P2="","",ROUND(SUMIFS($I:$I,$A:$A,Q$1,$B:$B,"*"&amp;$N2&amp;"*"),2))</calculatedColumnFormula>
    </tableColumn>
    <tableColumn id="4" xr3:uid="{76B83EC1-E90A-5740-BF54-9A74DE8A8F5A}" name="Column4" totalsRowFunction="sum" headerRowDxfId="374" dataDxfId="373" totalsRowDxfId="372">
      <calculatedColumnFormula>IF(Q2="","",ROUND(SUMIFS($I:$I,$A:$A,R$1,$B:$B,"*"&amp;$N2&amp;"*"),2))</calculatedColumnFormula>
    </tableColumn>
    <tableColumn id="5" xr3:uid="{4B491475-1249-EC4D-9A44-1DC9CCD6D0BF}" name="Column5" totalsRowFunction="sum" headerRowDxfId="371" dataDxfId="370" totalsRowDxfId="369">
      <calculatedColumnFormula>IF(R2="","",ROUND(SUMIFS($I:$I,$A:$A,S$1,$B:$B,"*"&amp;$N2&amp;"*"),2))</calculatedColumnFormula>
    </tableColumn>
    <tableColumn id="6" xr3:uid="{9BA45B3D-90FA-3842-8D06-07967A7FF047}" name="Column6" totalsRowFunction="sum" headerRowDxfId="368" dataDxfId="367" totalsRowDxfId="366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8FD647-560E-BC4B-8CF9-8AA650191C3E}" name="Table22612" displayName="Table22612" ref="A1:L31" totalsRowCount="1" headerRowDxfId="365" dataDxfId="364" totalsRowDxfId="363" dataCellStyle="Currency">
  <autoFilter ref="A1:L30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25F35BC-412B-554B-A259-A5FECCAD425D}" name="Date" dataDxfId="362" totalsRowDxfId="361"/>
    <tableColumn id="2" xr3:uid="{DA8455F1-B104-624B-B41D-6FC26D0861E7}" name="Team" totalsRowDxfId="360"/>
    <tableColumn id="3" xr3:uid="{49CB63EA-E33C-5847-854F-4ADE80A93B96}" name="Client" totalsRowDxfId="359"/>
    <tableColumn id="4" xr3:uid="{00D974BC-E0C9-174C-A44C-FA59B2CEF4C3}" name="Start" dataDxfId="358" totalsRowDxfId="357"/>
    <tableColumn id="5" xr3:uid="{43CFDD0C-60A3-A841-9D8B-6129691F9F3B}" name="Finish" dataDxfId="356" totalsRowDxfId="355"/>
    <tableColumn id="6" xr3:uid="{6E0AC313-7394-554A-B593-C2350DA00DEF}" name="Lunch Break" dataDxfId="354" totalsRowDxfId="353">
      <calculatedColumnFormula>IF(E2="","","No")</calculatedColumnFormula>
    </tableColumn>
    <tableColumn id="7" xr3:uid="{4BBC21EE-2DE5-7F4C-BD72-64C105FBA730}" name="Duration (h:mm)" dataDxfId="352" totalsRowDxfId="351">
      <calculatedColumnFormula>IF(E2="","",IF(F2="Yes",(E2-D2)-TIME(0,30,0),E2-D2))</calculatedColumnFormula>
    </tableColumn>
    <tableColumn id="8" xr3:uid="{D58E094B-F3A2-7F48-B451-00A95B07F770}" name="Quoted" totalsRowFunction="sum" dataDxfId="350" totalsRowDxfId="349" dataCellStyle="Currency">
      <calculatedColumnFormula>_xlfn.IFNA(VLOOKUP(C:C,'Active Jobs'!B:K,8,0),"")</calculatedColumnFormula>
    </tableColumn>
    <tableColumn id="9" xr3:uid="{DD22DD1D-372C-0C4E-865D-4F7AE9BD90CE}" name="Hours Payable" totalsRowFunction="sum" dataDxfId="348" totalsRowDxfId="347">
      <calculatedColumnFormula>IF(F2="Yes",(E2-D2)*24-0.5,IF(F2="No",(E2-D2)*24,""))</calculatedColumnFormula>
    </tableColumn>
    <tableColumn id="10" xr3:uid="{E12A50ED-E56C-844D-8F78-73917E50A1CD}" name="Wages (Incl. Super)" totalsRowFunction="sum" dataDxfId="346" totalsRowDxfId="345" dataCellStyle="Currency">
      <calculatedColumnFormula>IF(G2="","",G2*24*HourlyRate*2*(1+Super))</calculatedColumnFormula>
    </tableColumn>
    <tableColumn id="11" xr3:uid="{14A01C62-CD90-8344-BB93-EB4BC9DE2E8B}" name="Profit" totalsRowFunction="sum" dataDxfId="344" totalsRowDxfId="343" dataCellStyle="Currency">
      <calculatedColumnFormula>IF(H2="","",H2-J2)</calculatedColumnFormula>
    </tableColumn>
    <tableColumn id="12" xr3:uid="{290FF5CF-C3DC-3443-9203-45C2799EDF84}" name="Quote/Wages" totalsRowFunction="average" dataDxfId="342" totalsRowDxfId="341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D566238-9D0F-5847-9944-02544002BD6E}" name="Table44713" displayName="Table44713" ref="O2:T5" headerRowCount="0" headerRowDxfId="340" dataDxfId="339">
  <tableColumns count="6">
    <tableColumn id="1" xr3:uid="{941C81A6-7A4F-1B41-95A7-131364707020}" name="Column1" totalsRowFunction="sum" headerRowDxfId="338" dataDxfId="337" totalsRowDxfId="336">
      <calculatedColumnFormula>IF(N2="","",ROUND(SUMIFS($I:$I,$A:$A,O$1,$B:$B,"*"&amp;$N2&amp;"*"),2))</calculatedColumnFormula>
    </tableColumn>
    <tableColumn id="2" xr3:uid="{50BC3498-414C-884C-AD2C-834FA87A6EE7}" name="Column2" totalsRowFunction="sum" headerRowDxfId="335" dataDxfId="334" totalsRowDxfId="333">
      <calculatedColumnFormula>IF(O2="","",ROUND(SUMIFS($I:$I,$A:$A,P$1,$B:$B,"*"&amp;$N2&amp;"*"),2))</calculatedColumnFormula>
    </tableColumn>
    <tableColumn id="3" xr3:uid="{AEA4D8DB-991C-6B4F-8927-6D0D71E078C9}" name="Column3" totalsRowFunction="sum" headerRowDxfId="332" dataDxfId="331" totalsRowDxfId="330">
      <calculatedColumnFormula>IF(P2="","",ROUND(SUMIFS($I:$I,$A:$A,Q$1,$B:$B,"*"&amp;$N2&amp;"*"),2))</calculatedColumnFormula>
    </tableColumn>
    <tableColumn id="4" xr3:uid="{65B89EE9-ADFC-AD42-9BE6-8E5F29C579D7}" name="Column4" totalsRowFunction="sum" headerRowDxfId="329" dataDxfId="328" totalsRowDxfId="327">
      <calculatedColumnFormula>IF(Q2="","",ROUND(SUMIFS($I:$I,$A:$A,R$1,$B:$B,"*"&amp;$N2&amp;"*"),2))</calculatedColumnFormula>
    </tableColumn>
    <tableColumn id="5" xr3:uid="{09396F0E-686F-B84A-9211-8B3B17D69FE7}" name="Column5" totalsRowFunction="sum" headerRowDxfId="326" dataDxfId="325" totalsRowDxfId="324">
      <calculatedColumnFormula>IF(R2="","",ROUND(SUMIFS($I:$I,$A:$A,S$1,$B:$B,"*"&amp;$N2&amp;"*"),2))</calculatedColumnFormula>
    </tableColumn>
    <tableColumn id="6" xr3:uid="{18AAB3F5-5E2F-9948-A03D-D14BF3F664C0}" name="Column6" totalsRowFunction="sum" headerRowDxfId="323" dataDxfId="322" totalsRowDxfId="321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9EF863C-EC06-6740-BFB9-AD08EBCA7070}" name="Table2268" displayName="Table2268" ref="A1:L31" totalsRowCount="1" headerRowDxfId="320" dataDxfId="319" totalsRowDxfId="318" dataCellStyle="Currency">
  <autoFilter ref="A1:L30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1A8868C-C75D-4044-A5CE-2A43F49BAF7B}" name="Date" dataDxfId="317" totalsRowDxfId="316"/>
    <tableColumn id="2" xr3:uid="{4EB33C7D-6A36-D747-B07C-250F11D980E8}" name="Team" totalsRowDxfId="315"/>
    <tableColumn id="3" xr3:uid="{49D86A33-FC76-0E44-AACB-AE9BAB02C186}" name="Client" totalsRowDxfId="314"/>
    <tableColumn id="4" xr3:uid="{D630A391-5B5A-074D-9205-F39E75864A3F}" name="Start" dataDxfId="313" totalsRowDxfId="312"/>
    <tableColumn id="5" xr3:uid="{59D61AD5-FF12-0A4F-9E92-20AA7A2BFFA4}" name="Finish" dataDxfId="311" totalsRowDxfId="310"/>
    <tableColumn id="6" xr3:uid="{193969CF-D306-7342-A44F-7937A73C23C5}" name="Lunch Break" dataDxfId="309" totalsRowDxfId="308">
      <calculatedColumnFormula>IF(E2="","","No")</calculatedColumnFormula>
    </tableColumn>
    <tableColumn id="7" xr3:uid="{31D93073-E837-AF40-B71C-1BC529F73FE6}" name="Duration (h:mm)" dataDxfId="307" totalsRowDxfId="306">
      <calculatedColumnFormula>IF(E2="","",IF(F2="Yes",(E2-D2)-TIME(0,30,0),E2-D2))</calculatedColumnFormula>
    </tableColumn>
    <tableColumn id="8" xr3:uid="{45472EF7-9388-F24A-BC00-55E52040B5EF}" name="Quoted" totalsRowFunction="sum" dataDxfId="305" totalsRowDxfId="304" dataCellStyle="Currency">
      <calculatedColumnFormula>_xlfn.IFNA(VLOOKUP(C:C,'Active Jobs'!B:K,8,0),"")</calculatedColumnFormula>
    </tableColumn>
    <tableColumn id="9" xr3:uid="{E07666BC-C646-174D-94EC-DD0C55840CDE}" name="Hours Payable" totalsRowFunction="sum" dataDxfId="303" totalsRowDxfId="302">
      <calculatedColumnFormula>IF(F2="Yes",(E2-D2)*24-0.5,IF(F2="No",(E2-D2)*24,""))</calculatedColumnFormula>
    </tableColumn>
    <tableColumn id="10" xr3:uid="{2258F605-9CB1-3A43-BC87-0348DA57A3BA}" name="Wages (Incl. Super)" totalsRowFunction="sum" dataDxfId="301" totalsRowDxfId="300" dataCellStyle="Currency">
      <calculatedColumnFormula>IF(G2="","",G2*24*HourlyRate*2*(1+Super))</calculatedColumnFormula>
    </tableColumn>
    <tableColumn id="11" xr3:uid="{01CE76FD-58A8-B941-9372-247CE1717FE7}" name="Profit" totalsRowFunction="sum" dataDxfId="299" totalsRowDxfId="298" dataCellStyle="Currency">
      <calculatedColumnFormula>IF(H2="","",H2-J2)</calculatedColumnFormula>
    </tableColumn>
    <tableColumn id="12" xr3:uid="{2D5A0E70-3145-5C49-B4F1-04DA28A9D278}" name="Quote/Wages" totalsRowFunction="average" dataDxfId="297" totalsRowDxfId="296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9EAC49-AA61-FF49-B64A-CFF0CFB104D7}" name="Table4479" displayName="Table4479" ref="O2:T5" headerRowCount="0" headerRowDxfId="295" dataDxfId="294">
  <tableColumns count="6">
    <tableColumn id="1" xr3:uid="{8AB7A6F4-BA95-254D-902D-DCF3346C24D1}" name="Column1" totalsRowFunction="sum" headerRowDxfId="293" dataDxfId="292" totalsRowDxfId="291">
      <calculatedColumnFormula>IF(N2="","",ROUND(SUMIFS($I:$I,$A:$A,O$1,$B:$B,"*"&amp;$N2&amp;"*"),2))</calculatedColumnFormula>
    </tableColumn>
    <tableColumn id="2" xr3:uid="{294FBE02-7AA4-0E41-B9EF-B577BFF42133}" name="Column2" totalsRowFunction="sum" headerRowDxfId="290" dataDxfId="289" totalsRowDxfId="288">
      <calculatedColumnFormula>IF(O2="","",ROUND(SUMIFS($I:$I,$A:$A,P$1,$B:$B,"*"&amp;$N2&amp;"*"),2))</calculatedColumnFormula>
    </tableColumn>
    <tableColumn id="3" xr3:uid="{3374B6AB-AD76-C44B-BF47-44AA62D446E9}" name="Column3" totalsRowFunction="sum" headerRowDxfId="287" dataDxfId="286" totalsRowDxfId="285">
      <calculatedColumnFormula>IF(P2="","",ROUND(SUMIFS($I:$I,$A:$A,Q$1,$B:$B,"*"&amp;$N2&amp;"*"),2))</calculatedColumnFormula>
    </tableColumn>
    <tableColumn id="4" xr3:uid="{641D2506-AC8C-EE42-8569-E59D48FDD2CD}" name="Column4" totalsRowFunction="sum" headerRowDxfId="284" dataDxfId="283" totalsRowDxfId="282">
      <calculatedColumnFormula>IF(Q2="","",ROUND(SUMIFS($I:$I,$A:$A,R$1,$B:$B,"*"&amp;$N2&amp;"*"),2))</calculatedColumnFormula>
    </tableColumn>
    <tableColumn id="5" xr3:uid="{82A65986-6AB4-A24C-AC30-364744B8D99A}" name="Column5" totalsRowFunction="sum" headerRowDxfId="281" dataDxfId="280" totalsRowDxfId="279">
      <calculatedColumnFormula>IF(R2="","",ROUND(SUMIFS($I:$I,$A:$A,S$1,$B:$B,"*"&amp;$N2&amp;"*"),2))</calculatedColumnFormula>
    </tableColumn>
    <tableColumn id="6" xr3:uid="{449D0AC0-4734-CC46-9D5A-AA5E4BE108F8}" name="Column6" totalsRowFunction="sum" headerRowDxfId="278" dataDxfId="277" totalsRowDxfId="276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11EA08-3A1B-8146-B483-3B4F72EBFDFF}" name="Table226" displayName="Table226" ref="A1:L32" totalsRowCount="1" headerRowDxfId="275" dataDxfId="274" totalsRowDxfId="273" dataCellStyle="Currency">
  <autoFilter ref="A1:L31" xr:uid="{3FF5C01B-C6A4-F243-A272-09AAAA18F8BD}"/>
  <tableColumns count="12">
    <tableColumn id="1" xr3:uid="{7615C45D-FC18-2D4C-BE11-BFD3F0B9B7E5}" name="Date" dataDxfId="272" totalsRowDxfId="271"/>
    <tableColumn id="2" xr3:uid="{78DBF780-04F8-CD48-9130-BB198DA71E77}" name="Team" totalsRowDxfId="270"/>
    <tableColumn id="3" xr3:uid="{CBF62824-4620-6D45-9A92-6B58B9A04F91}" name="Client" totalsRowDxfId="269"/>
    <tableColumn id="4" xr3:uid="{7B7AEDAA-9754-8241-BF4A-23BCC61A8849}" name="Start" dataDxfId="268" totalsRowDxfId="267"/>
    <tableColumn id="5" xr3:uid="{8B27E5E0-4136-A347-ABFF-7ABDDA4E411D}" name="Finish" dataDxfId="266" totalsRowDxfId="265"/>
    <tableColumn id="6" xr3:uid="{6A4571CD-2932-0B47-93B4-0B6280FD0186}" name="Lunch Break" dataDxfId="264" totalsRowDxfId="263">
      <calculatedColumnFormula>IF(E2="","","No")</calculatedColumnFormula>
    </tableColumn>
    <tableColumn id="7" xr3:uid="{150B1976-3941-794B-8978-51419CDBB326}" name="Duration (h:mm)" dataDxfId="262" totalsRowDxfId="261">
      <calculatedColumnFormula>IF(E2="","",IF(F2="Yes",(E2-D2)-TIME(0,30,0),E2-D2))</calculatedColumnFormula>
    </tableColumn>
    <tableColumn id="8" xr3:uid="{C8E71CA7-A4BC-E045-B55C-941EAB1FD32B}" name="Quoted" totalsRowFunction="sum" dataDxfId="260" totalsRowDxfId="259" dataCellStyle="Currency">
      <calculatedColumnFormula>_xlfn.IFNA(VLOOKUP(C:C,'Active Jobs'!B:K,8,0),"")</calculatedColumnFormula>
    </tableColumn>
    <tableColumn id="9" xr3:uid="{AF9F806A-08CE-1B48-AADF-DA3F3D1A8690}" name="Hours Payable" totalsRowFunction="sum" dataDxfId="258" totalsRowDxfId="257">
      <calculatedColumnFormula>IF(F2="Yes",(E2-D2)*24-0.5,IF(F2="No",(E2-D2)*24,""))</calculatedColumnFormula>
    </tableColumn>
    <tableColumn id="10" xr3:uid="{D1A45A34-B9B6-B34B-8FCC-CD5D3D7AB692}" name="Wages (Incl. Super)" totalsRowFunction="sum" dataDxfId="256" totalsRowDxfId="255" dataCellStyle="Currency">
      <calculatedColumnFormula>IF(G2="","",G2*24*HourlyRate*2*(1+Super))</calculatedColumnFormula>
    </tableColumn>
    <tableColumn id="11" xr3:uid="{D9B7CD9E-0E5A-0649-8F1A-D99E0DC9EEA7}" name="Profit" totalsRowFunction="sum" dataDxfId="254" totalsRowDxfId="253" dataCellStyle="Currency">
      <calculatedColumnFormula>IF(H2="","",IF(J2=0,0,H2-J2))</calculatedColumnFormula>
    </tableColumn>
    <tableColumn id="12" xr3:uid="{430FB323-10C6-EC44-A0B3-20424194DD56}" name="Quote/Wages" totalsRowFunction="average" dataDxfId="252" totalsRowDxfId="251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27BB8B-B593-B245-82B7-463FC89EE4E3}" name="Table447" displayName="Table447" ref="O2:T5" headerRowCount="0" headerRowDxfId="250" dataDxfId="249">
  <tableColumns count="6">
    <tableColumn id="1" xr3:uid="{C9C473AE-4655-3F43-9F02-F9426199598F}" name="Column1" totalsRowFunction="sum" headerRowDxfId="248" dataDxfId="247" totalsRowDxfId="246">
      <calculatedColumnFormula>IF(N2="","",ROUND(SUMIFS($I:$I,$A:$A,O$1,$B:$B,"*"&amp;$N2&amp;"*"),2))</calculatedColumnFormula>
    </tableColumn>
    <tableColumn id="2" xr3:uid="{C165B927-8DF6-A24D-A3E7-CD3B13002036}" name="Column2" totalsRowFunction="sum" headerRowDxfId="245" dataDxfId="244" totalsRowDxfId="243">
      <calculatedColumnFormula>IF(O2="","",ROUND(SUMIFS($I:$I,$A:$A,P$1,$B:$B,"*"&amp;$N2&amp;"*"),2))</calculatedColumnFormula>
    </tableColumn>
    <tableColumn id="3" xr3:uid="{A5B7C662-6121-274B-A1DF-3E4DF27A66FF}" name="Column3" totalsRowFunction="sum" headerRowDxfId="242" dataDxfId="241" totalsRowDxfId="240">
      <calculatedColumnFormula>IF(P2="","",ROUND(SUMIFS($I:$I,$A:$A,Q$1,$B:$B,"*"&amp;$N2&amp;"*"),2))</calculatedColumnFormula>
    </tableColumn>
    <tableColumn id="4" xr3:uid="{83F430A4-8DA5-AC41-A801-E04CB49B2061}" name="Column4" totalsRowFunction="sum" headerRowDxfId="239" dataDxfId="238" totalsRowDxfId="237">
      <calculatedColumnFormula>IF(Q2="","",ROUND(SUMIFS($I:$I,$A:$A,R$1,$B:$B,"*"&amp;$N2&amp;"*"),2))</calculatedColumnFormula>
    </tableColumn>
    <tableColumn id="5" xr3:uid="{7EE5F796-D7DD-184C-A401-0A8B7883CF1D}" name="Column5" totalsRowFunction="sum" headerRowDxfId="236" dataDxfId="235" totalsRowDxfId="234">
      <calculatedColumnFormula>IF(R2="","",ROUND(SUMIFS($I:$I,$A:$A,S$1,$B:$B,"*"&amp;$N2&amp;"*"),2))</calculatedColumnFormula>
    </tableColumn>
    <tableColumn id="6" xr3:uid="{7EB2CDAF-473B-B147-82E0-820870787193}" name="Column6" totalsRowFunction="sum" headerRowDxfId="233" dataDxfId="232" totalsRowDxfId="231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CC16DD-CF8A-C944-A1BB-3B2A356F99B1}" name="Table22" displayName="Table22" ref="A1:L33" totalsRowCount="1" headerRowDxfId="230" dataDxfId="229" totalsRowDxfId="228" dataCellStyle="Currency">
  <autoFilter ref="A1:L32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CBC706E-223F-E641-87F7-D334E117B4F8}" name="Date" dataDxfId="227" totalsRowDxfId="226"/>
    <tableColumn id="2" xr3:uid="{FE754334-7991-4347-A9EC-1B14FFE27E83}" name="Team" totalsRowDxfId="225"/>
    <tableColumn id="3" xr3:uid="{5A62E4DE-F18A-F148-A566-D60F57482DC4}" name="Client" totalsRowDxfId="224"/>
    <tableColumn id="4" xr3:uid="{9CBB5D21-385D-6C4E-9C45-7BAEF182BFC1}" name="Start" totalsRowDxfId="223"/>
    <tableColumn id="5" xr3:uid="{BE110EDD-565A-6745-8A5A-8055363825ED}" name="Finish" totalsRowDxfId="222"/>
    <tableColumn id="6" xr3:uid="{699894FA-3824-0941-B5AF-CFAA9D99DE57}" name="Lunch Break" totalsRowDxfId="221">
      <calculatedColumnFormula>IF(E2="","","No")</calculatedColumnFormula>
    </tableColumn>
    <tableColumn id="7" xr3:uid="{812FC4A0-83AA-AB4B-8991-21D03261C409}" name="Duration (h:mm)" totalsRowDxfId="220">
      <calculatedColumnFormula>IF(E2="","",IF(F2="Yes",(E2-D2)-TIME(0,30,0),E2-D2))</calculatedColumnFormula>
    </tableColumn>
    <tableColumn id="8" xr3:uid="{FD1F335E-DBDA-D14D-857E-3EEA93CEB504}" name="Quoted" totalsRowFunction="sum" totalsRowDxfId="219" dataCellStyle="Currency">
      <calculatedColumnFormula>_xlfn.IFNA(VLOOKUP(C:C,'Active Jobs'!B:K,8,0),"")</calculatedColumnFormula>
    </tableColumn>
    <tableColumn id="9" xr3:uid="{2570A965-165B-4D4C-AE85-5E0B759988FE}" name="Hours Payable" totalsRowFunction="sum" totalsRowDxfId="218">
      <calculatedColumnFormula>IF(F2="Yes",(E2-D2)*24-0.5,IF(F2="No",(E2-D2)*24,""))</calculatedColumnFormula>
    </tableColumn>
    <tableColumn id="10" xr3:uid="{6FD8D6C1-A381-1F4E-AB67-70A4161EEB12}" name="Wages (Incl. Super)" totalsRowFunction="sum" totalsRowDxfId="217" dataCellStyle="Currency">
      <calculatedColumnFormula>IF(G2="","",G2*24*HourlyRate*2*(1+Super))</calculatedColumnFormula>
    </tableColumn>
    <tableColumn id="11" xr3:uid="{E9B25DA1-781A-AB48-8D57-BF22144123C0}" name="Profit" totalsRowFunction="sum" dataDxfId="216" totalsRowDxfId="215" dataCellStyle="Currency">
      <calculatedColumnFormula>IF(H2="","",IF(J2=0,0,H2-J2))</calculatedColumnFormula>
    </tableColumn>
    <tableColumn id="12" xr3:uid="{703A0268-4995-4740-96EF-91A9AEAFA0B7}" name="Quote/Wages" totalsRowFunction="average" totalsRowDxfId="214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4E1C-873A-954C-BF8D-3493B0D728B4}" name="Table44" displayName="Table44" ref="O2:T5" headerRowCount="0" headerRowDxfId="213" dataDxfId="212">
  <tableColumns count="6">
    <tableColumn id="1" xr3:uid="{A2B1909E-0AE1-484B-A44D-CF4E9D95748C}" name="Column1" totalsRowFunction="sum" headerRowDxfId="211" dataDxfId="210" totalsRowDxfId="209">
      <calculatedColumnFormula>IF(N2="","",ROUND(SUMIFS($I:$I,$A:$A,O$1,$B:$B,"*"&amp;$N2&amp;"*"),2))</calculatedColumnFormula>
    </tableColumn>
    <tableColumn id="2" xr3:uid="{F954E3D7-C1CE-AD4E-9A70-35CC4A4EDAB4}" name="Column2" totalsRowFunction="sum" headerRowDxfId="208" dataDxfId="207" totalsRowDxfId="206">
      <calculatedColumnFormula>IF(O2="","",ROUND(SUMIFS($I:$I,$A:$A,P$1,$B:$B,"*"&amp;$N2&amp;"*"),2))</calculatedColumnFormula>
    </tableColumn>
    <tableColumn id="3" xr3:uid="{DB94BA4A-9841-DA45-9B24-20509357CF43}" name="Column3" totalsRowFunction="sum" headerRowDxfId="205" dataDxfId="204" totalsRowDxfId="203">
      <calculatedColumnFormula>IF(P2="","",ROUND(SUMIFS($I:$I,$A:$A,Q$1,$B:$B,"*"&amp;$N2&amp;"*"),2))</calculatedColumnFormula>
    </tableColumn>
    <tableColumn id="4" xr3:uid="{13CBFA3B-B9D0-BE46-8D09-8508B88FCDF6}" name="Column4" totalsRowFunction="sum" headerRowDxfId="202" dataDxfId="201" totalsRowDxfId="200">
      <calculatedColumnFormula>IF(Q2="","",ROUND(SUMIFS($I:$I,$A:$A,R$1,$B:$B,"*"&amp;$N2&amp;"*"),2))</calculatedColumnFormula>
    </tableColumn>
    <tableColumn id="5" xr3:uid="{CA2FDC2F-3A14-2241-B5C5-9144D6836F0E}" name="Column5" totalsRowFunction="sum" headerRowDxfId="199" dataDxfId="198" totalsRowDxfId="197">
      <calculatedColumnFormula>IF(R2="","",ROUND(SUMIFS($I:$I,$A:$A,S$1,$B:$B,"*"&amp;$N2&amp;"*"),2))</calculatedColumnFormula>
    </tableColumn>
    <tableColumn id="6" xr3:uid="{620080C3-0AEC-F540-A117-73DBA92B505B}" name="Column6" totalsRowFunction="sum" headerRowDxfId="196" dataDxfId="195" totalsRowDxfId="194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F5C01B-C6A4-F243-A272-09AAAA18F8BD}" name="Table2" displayName="Table2" ref="A1:L22" totalsRowCount="1" headerRowDxfId="193" dataDxfId="192" totalsRowDxfId="191" dataCellStyle="Currency">
  <autoFilter ref="A1:L21" xr:uid="{3FF5C01B-C6A4-F243-A272-09AAAA18F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316F436-11CB-E14F-BFEB-30C6A2032DAE}" name="Date" dataDxfId="190" totalsRowDxfId="189"/>
    <tableColumn id="2" xr3:uid="{33F82E34-3200-B541-AB90-A98FC3D8F7A8}" name="Team" totalsRowDxfId="188"/>
    <tableColumn id="3" xr3:uid="{A9C63797-E165-2147-9545-BC72BE17C543}" name="Client" totalsRowDxfId="187"/>
    <tableColumn id="4" xr3:uid="{F1DA3619-3E3E-AA46-BE9A-D03C6BAAF9D3}" name="Start" totalsRowDxfId="186"/>
    <tableColumn id="5" xr3:uid="{8F376C3C-4E2C-604C-A8CC-C86368E45DC7}" name="Finish" totalsRowDxfId="185"/>
    <tableColumn id="6" xr3:uid="{C599A01D-0845-B546-B265-87AB42BC510B}" name="Lunch Break" totalsRowDxfId="184"/>
    <tableColumn id="7" xr3:uid="{CB05A6DF-AEC7-7345-9414-507D872A570F}" name="Duration (h:mm)" totalsRowDxfId="183">
      <calculatedColumnFormula>IF(E2="","",IF(F2="Yes",(E2-D2)-TIME(0,30,0),E2-D2))</calculatedColumnFormula>
    </tableColumn>
    <tableColumn id="8" xr3:uid="{040A7D96-084A-4E4A-A07F-F51A5349693E}" name="Quoted" totalsRowFunction="sum" totalsRowDxfId="182" dataCellStyle="Currency"/>
    <tableColumn id="9" xr3:uid="{0E333D50-63E7-F342-8C36-78F4D041A110}" name="Hours Payable" totalsRowFunction="sum" totalsRowDxfId="181">
      <calculatedColumnFormula>IF(F2="Yes",(E2-D2)*24-0.5,IF(F2="No",(E2-D2)*24,""))</calculatedColumnFormula>
    </tableColumn>
    <tableColumn id="10" xr3:uid="{F2E33EA5-FB99-A04C-8675-4DCAAC1E843F}" name="Wages (Incl. Super)" totalsRowFunction="sum" totalsRowDxfId="180" dataCellStyle="Currency">
      <calculatedColumnFormula>IF(G2="","",G2*24*HourlyRate*2*(1+Super))</calculatedColumnFormula>
    </tableColumn>
    <tableColumn id="11" xr3:uid="{914A8224-FF4C-C84B-A60D-770F68DCD70A}" name="Profit" totalsRowFunction="sum" totalsRowDxfId="179" dataCellStyle="Currency">
      <calculatedColumnFormula>IF(H2="","",H2-J2)</calculatedColumnFormula>
    </tableColumn>
    <tableColumn id="12" xr3:uid="{004CEB2E-05CE-7F42-A55C-6DBD7C48EE08}" name="Quote/Wages" totalsRowFunction="average" totalsRowDxfId="178">
      <calculatedColumnFormula>IF(K2="","",IF(H2=0,1,J2/H2))</calculatedColumnFormula>
    </tableColumn>
  </tableColumns>
  <tableStyleInfo name="TableStyleMedium20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D0B248-231E-7543-B831-C99E4604BFFF}" name="Table4" displayName="Table4" ref="O2:T5" headerRowCount="0" headerRowDxfId="177" dataDxfId="176">
  <tableColumns count="6">
    <tableColumn id="1" xr3:uid="{72728AD8-D5DB-AE4D-BBDB-68927D8D35B1}" name="Column1" totalsRowFunction="sum" headerRowDxfId="175" dataDxfId="174" totalsRowDxfId="173">
      <calculatedColumnFormula>IF(N2="","",ROUND(SUMIFS($I:$I,$A:$A,O$1,$B:$B,"*"&amp;$N2&amp;"*"),2))</calculatedColumnFormula>
    </tableColumn>
    <tableColumn id="2" xr3:uid="{CD4CB7DB-1B0E-C94F-BA1D-15A75503C697}" name="Column2" totalsRowFunction="sum" headerRowDxfId="172" dataDxfId="171" totalsRowDxfId="170">
      <calculatedColumnFormula>IF(O2="","",ROUND(SUMIFS($I:$I,$A:$A,P$1,$B:$B,"*"&amp;$N2&amp;"*"),2))</calculatedColumnFormula>
    </tableColumn>
    <tableColumn id="3" xr3:uid="{EEBD9ADF-90D6-634B-8A21-22B2ED8E7BE1}" name="Column3" totalsRowFunction="sum" headerRowDxfId="169" dataDxfId="168" totalsRowDxfId="167">
      <calculatedColumnFormula>IF(P2="","",ROUND(SUMIFS($I:$I,$A:$A,Q$1,$B:$B,"*"&amp;$N2&amp;"*"),2))</calculatedColumnFormula>
    </tableColumn>
    <tableColumn id="4" xr3:uid="{6A0FD0A5-14F9-AD44-8CD3-BCDFED09429B}" name="Column4" totalsRowFunction="sum" headerRowDxfId="166" dataDxfId="165" totalsRowDxfId="164">
      <calculatedColumnFormula>IF(Q2="","",ROUND(SUMIFS($I:$I,$A:$A,R$1,$B:$B,"*"&amp;$N2&amp;"*"),2))</calculatedColumnFormula>
    </tableColumn>
    <tableColumn id="5" xr3:uid="{0A0C7798-0E08-0246-9373-C84C2803298A}" name="Column5" totalsRowFunction="sum" headerRowDxfId="163" dataDxfId="162" totalsRowDxfId="161">
      <calculatedColumnFormula>IF(R2="","",ROUND(SUMIFS($I:$I,$A:$A,S$1,$B:$B,"*"&amp;$N2&amp;"*"),2))</calculatedColumnFormula>
    </tableColumn>
    <tableColumn id="6" xr3:uid="{205EA008-9F08-EF4F-B800-6B12D7E3BBCD}" name="Column6" totalsRowFunction="sum" headerRowDxfId="160" dataDxfId="159" totalsRowDxfId="158" headerRowCellStyle="Comma" dataCellStyle="Comma">
      <calculatedColumnFormula>IF(N2="","",SUM(O2:S2))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9A09-E6AC-0146-B44C-E35D77949998}">
  <sheetPr codeName="Sheet3"/>
  <dimension ref="A1:G52"/>
  <sheetViews>
    <sheetView zoomScale="130" zoomScaleNormal="130" workbookViewId="0">
      <selection activeCell="E5" sqref="B3:E5"/>
    </sheetView>
  </sheetViews>
  <sheetFormatPr baseColWidth="10" defaultColWidth="17" defaultRowHeight="25" customHeight="1"/>
  <cols>
    <col min="1" max="4" width="17" style="68"/>
    <col min="5" max="5" width="17" style="66"/>
    <col min="6" max="16384" width="17" style="68"/>
  </cols>
  <sheetData>
    <row r="1" spans="1:5" ht="25" customHeight="1" thickBot="1">
      <c r="A1" s="67" t="s">
        <v>0</v>
      </c>
      <c r="B1" s="72">
        <f t="shared" ref="B1:D1" ca="1" si="0">AVERAGE(B3:B103)</f>
        <v>4959.0328124999996</v>
      </c>
      <c r="C1" s="72">
        <f t="shared" ca="1" si="0"/>
        <v>3646.732044375</v>
      </c>
      <c r="D1" s="72">
        <f t="shared" ca="1" si="0"/>
        <v>1899.019529375</v>
      </c>
      <c r="E1" s="73">
        <f ca="1">AVERAGE(E3:E103)</f>
        <v>65.008669128460966</v>
      </c>
    </row>
    <row r="2" spans="1:5" ht="25" customHeight="1" thickBot="1">
      <c r="A2" s="69" t="s">
        <v>1</v>
      </c>
      <c r="B2" s="69" t="s">
        <v>2</v>
      </c>
      <c r="C2" s="70" t="s">
        <v>3</v>
      </c>
      <c r="D2" s="70" t="s">
        <v>4</v>
      </c>
      <c r="E2" s="71" t="s">
        <v>5</v>
      </c>
    </row>
    <row r="3" spans="1:5" ht="25" customHeight="1">
      <c r="A3" s="68" t="str" cm="1">
        <f t="array" ref="A3:A34">SheetNamesNumbersOnly()</f>
        <v>11 July 25</v>
      </c>
      <c r="B3" s="65">
        <f ca="1">IF($A3&lt;&gt;"", LOOKUP(9^9, INDIRECT("'" &amp; $A3 &amp; "'!" &amp; ADDRESS(1, MATCH(B$2, INDIRECT("'" &amp; $A3 &amp; "'!1:1"), 0), 4) &amp; ":" &amp; ADDRESS(1048576, MATCH(B$2, INDIRECT("'" &amp; $A3 &amp; "'!1:1"), 0), 4))), "")</f>
        <v>0</v>
      </c>
      <c r="C3" s="65">
        <f ca="1">IF($A3&lt;&gt;"", LOOKUP(9^9, INDIRECT("'" &amp; $A3 &amp; "'!" &amp; ADDRESS(1, MATCH(C$2, INDIRECT("'" &amp; $A3 &amp; "'!1:1"), 0), 4) &amp; ":" &amp; ADDRESS(1048576, MATCH(C$2, INDIRECT("'" &amp; $A3 &amp; "'!1:1"), 0), 4))), "")</f>
        <v>0</v>
      </c>
      <c r="D3" s="65">
        <f t="shared" ref="C3:D18" ca="1" si="1">IF($A3&lt;&gt;"", LOOKUP(9^9, INDIRECT("'" &amp; $A3 &amp; "'!" &amp; ADDRESS(1, MATCH(D$2, INDIRECT("'" &amp; $A3 &amp; "'!1:1"), 0), 4) &amp; ":" &amp; ADDRESS(1048576, MATCH(D$2, INDIRECT("'" &amp; $A3 &amp; "'!1:1"), 0), 4))), "")</f>
        <v>0</v>
      </c>
      <c r="E3" s="66" t="str">
        <f t="shared" ref="E3:E6" ca="1" si="2">_xlfn.IFNA(IF($A3&lt;&gt;"", LOOKUP(9^9, INDIRECT("'" &amp; $A3 &amp; "'!" &amp; ADDRESS(1, MATCH(E$2, INDIRECT("'" &amp; $A3 &amp; "'!1:1"), 0), 4) &amp; ":" &amp; ADDRESS(1048576, MATCH(E$2, INDIRECT("'" &amp; $A3 &amp; "'!1:1"), 0), 4))), ""),"-")</f>
        <v>-</v>
      </c>
    </row>
    <row r="4" spans="1:5" ht="25" customHeight="1">
      <c r="A4" s="68" t="str">
        <v xml:space="preserve">4 July 25 </v>
      </c>
      <c r="B4" s="65">
        <f t="shared" ref="B4:D19" ca="1" si="3">IF($A4&lt;&gt;"", LOOKUP(9^9, INDIRECT("'" &amp; $A4 &amp; "'!" &amp; ADDRESS(1, MATCH(B$2, INDIRECT("'" &amp; $A4 &amp; "'!1:1"), 0), 4) &amp; ":" &amp; ADDRESS(1048576, MATCH(B$2, INDIRECT("'" &amp; $A4 &amp; "'!1:1"), 0), 4))), "")</f>
        <v>8785</v>
      </c>
      <c r="C4" s="65">
        <f t="shared" ca="1" si="1"/>
        <v>6390.2233299999989</v>
      </c>
      <c r="D4" s="65">
        <f t="shared" ca="1" si="1"/>
        <v>2995.3279350000003</v>
      </c>
      <c r="E4" s="66">
        <f t="shared" ca="1" si="2"/>
        <v>0.7124444123202841</v>
      </c>
    </row>
    <row r="5" spans="1:5" ht="25" customHeight="1">
      <c r="A5" s="68" t="str">
        <v>27 June 25</v>
      </c>
      <c r="B5" s="65">
        <f t="shared" ca="1" si="3"/>
        <v>8960</v>
      </c>
      <c r="C5" s="65">
        <f t="shared" ca="1" si="1"/>
        <v>6852.0998149999987</v>
      </c>
      <c r="D5" s="65">
        <f t="shared" ca="1" si="1"/>
        <v>3055.1384000000007</v>
      </c>
      <c r="E5" s="66">
        <f t="shared" ca="1" si="2"/>
        <v>0.67763105566300497</v>
      </c>
    </row>
    <row r="6" spans="1:5" ht="25" customHeight="1">
      <c r="A6" s="68" t="str">
        <v>20 June 25</v>
      </c>
      <c r="B6" s="65">
        <f t="shared" ca="1" si="3"/>
        <v>0</v>
      </c>
      <c r="C6" s="65">
        <f t="shared" ca="1" si="1"/>
        <v>7404.5622450000001</v>
      </c>
      <c r="D6" s="65">
        <f t="shared" ca="1" si="1"/>
        <v>0</v>
      </c>
      <c r="E6" s="66" t="str">
        <f t="shared" ca="1" si="2"/>
        <v>-</v>
      </c>
    </row>
    <row r="7" spans="1:5" ht="25" customHeight="1">
      <c r="A7" s="68" t="str">
        <v>13 June 25</v>
      </c>
      <c r="B7" s="65">
        <f t="shared" ca="1" si="3"/>
        <v>7085</v>
      </c>
      <c r="C7" s="65">
        <f t="shared" ca="1" si="1"/>
        <v>4322.4034249999995</v>
      </c>
      <c r="D7" s="65">
        <f t="shared" ca="1" si="1"/>
        <v>2896.7979750000013</v>
      </c>
      <c r="E7" s="66">
        <f ca="1">_xlfn.IFNA(IF($A7&lt;&gt;"", LOOKUP(9^9, INDIRECT("'" &amp; $A7 &amp; "'!" &amp; ADDRESS(1, MATCH(E$2, INDIRECT("'" &amp; $A7 &amp; "'!1:1"), 0), 4) &amp; ":" &amp; ADDRESS(1048576, MATCH(E$2, INDIRECT("'" &amp; $A7 &amp; "'!1:1"), 0), 4))), ""),"-")</f>
        <v>0.61852204144755651</v>
      </c>
    </row>
    <row r="8" spans="1:5" ht="25" customHeight="1">
      <c r="A8" s="68" t="str">
        <v>6 June 25</v>
      </c>
      <c r="B8" s="65">
        <f t="shared" ca="1" si="3"/>
        <v>2035</v>
      </c>
      <c r="C8" s="65">
        <f t="shared" ca="1" si="1"/>
        <v>1866.5178049999997</v>
      </c>
      <c r="D8" s="65">
        <f t="shared" ca="1" si="1"/>
        <v>565.49467000000027</v>
      </c>
      <c r="E8" s="66">
        <f t="shared" ref="E8:E52" ca="1" si="4">_xlfn.IFNA(IF($A8&lt;&gt;"", LOOKUP(9^9, INDIRECT("'" &amp; $A8 &amp; "'!" &amp; ADDRESS(1, MATCH(E$2, INDIRECT("'" &amp; $A8 &amp; "'!1:1"), 0), 4) &amp; ":" &amp; ADDRESS(1048576, MATCH(E$2, INDIRECT("'" &amp; $A8 &amp; "'!1:1"), 0), 4))), ""),"-")</f>
        <v>0.71848937518498934</v>
      </c>
    </row>
    <row r="9" spans="1:5" ht="25" customHeight="1">
      <c r="A9" s="68" t="str">
        <v>23 May 25</v>
      </c>
      <c r="B9" s="65">
        <f t="shared" ca="1" si="3"/>
        <v>137.32</v>
      </c>
      <c r="C9" s="65">
        <f t="shared" ca="1" si="1"/>
        <v>1103.72</v>
      </c>
      <c r="D9" s="65">
        <f t="shared" ca="1" si="1"/>
        <v>731.8</v>
      </c>
      <c r="E9" s="66">
        <f t="shared" ca="1" si="4"/>
        <v>395.98</v>
      </c>
    </row>
    <row r="10" spans="1:5" ht="25" customHeight="1">
      <c r="A10" s="68" t="str">
        <v>30 May 25</v>
      </c>
      <c r="B10" s="65">
        <f t="shared" ca="1" si="3"/>
        <v>161.82999999999998</v>
      </c>
      <c r="C10" s="65">
        <f t="shared" ca="1" si="1"/>
        <v>992.96</v>
      </c>
      <c r="D10" s="65">
        <f t="shared" ca="1" si="1"/>
        <v>942.4</v>
      </c>
      <c r="E10" s="66">
        <f t="shared" ca="1" si="4"/>
        <v>401.4</v>
      </c>
    </row>
    <row r="11" spans="1:5" ht="25" customHeight="1">
      <c r="A11" s="68" t="str">
        <v>17 May 25</v>
      </c>
      <c r="B11" s="65">
        <f t="shared" ca="1" si="3"/>
        <v>269.89999999999998</v>
      </c>
      <c r="C11" s="65">
        <f t="shared" ca="1" si="1"/>
        <v>1605.6399999999999</v>
      </c>
      <c r="D11" s="65">
        <f t="shared" ca="1" si="1"/>
        <v>1299.3</v>
      </c>
      <c r="E11" s="66">
        <f t="shared" ca="1" si="4"/>
        <v>878.04</v>
      </c>
    </row>
    <row r="12" spans="1:5" ht="25" customHeight="1">
      <c r="A12" s="68" t="str">
        <v>9 May 25</v>
      </c>
      <c r="B12" s="65">
        <f t="shared" ca="1" si="3"/>
        <v>0</v>
      </c>
      <c r="C12" s="65">
        <f t="shared" ca="1" si="1"/>
        <v>0</v>
      </c>
      <c r="D12" s="65">
        <f t="shared" ca="1" si="1"/>
        <v>0</v>
      </c>
      <c r="E12" s="66" t="str">
        <f t="shared" ca="1" si="4"/>
        <v>-</v>
      </c>
    </row>
    <row r="13" spans="1:5" ht="25" customHeight="1">
      <c r="A13" s="68" t="str">
        <v>2 May 25</v>
      </c>
      <c r="B13" s="65">
        <f t="shared" ca="1" si="3"/>
        <v>0</v>
      </c>
      <c r="C13" s="65">
        <f t="shared" ca="1" si="1"/>
        <v>0</v>
      </c>
      <c r="D13" s="65">
        <f t="shared" ca="1" si="1"/>
        <v>0</v>
      </c>
      <c r="E13" s="66" t="str">
        <f t="shared" ca="1" si="4"/>
        <v>-</v>
      </c>
    </row>
    <row r="14" spans="1:5" ht="25" customHeight="1">
      <c r="A14" s="68" t="str">
        <v>25 April 25</v>
      </c>
      <c r="B14" s="65">
        <f t="shared" ca="1" si="3"/>
        <v>0</v>
      </c>
      <c r="C14" s="65">
        <f t="shared" ca="1" si="1"/>
        <v>0</v>
      </c>
      <c r="D14" s="65">
        <f t="shared" ca="1" si="1"/>
        <v>0</v>
      </c>
      <c r="E14" s="66" t="str">
        <f t="shared" ca="1" si="4"/>
        <v>-</v>
      </c>
    </row>
    <row r="15" spans="1:5" ht="25" customHeight="1">
      <c r="A15" s="68" t="str">
        <v>18 April 25</v>
      </c>
      <c r="B15" s="65">
        <f t="shared" ca="1" si="3"/>
        <v>9085</v>
      </c>
      <c r="C15" s="65">
        <f t="shared" ca="1" si="1"/>
        <v>5779.6069599999983</v>
      </c>
      <c r="D15" s="65">
        <f t="shared" ca="1" si="1"/>
        <v>3305.3930399999999</v>
      </c>
      <c r="E15" s="66">
        <f t="shared" ca="1" si="4"/>
        <v>0.6375151556504095</v>
      </c>
    </row>
    <row r="16" spans="1:5" ht="25" customHeight="1">
      <c r="A16" s="68" t="str">
        <v>4 April 25</v>
      </c>
      <c r="B16" s="65">
        <f t="shared" ca="1" si="3"/>
        <v>10670</v>
      </c>
      <c r="C16" s="65">
        <f t="shared" ca="1" si="1"/>
        <v>6691.0581349999993</v>
      </c>
      <c r="D16" s="65">
        <f t="shared" ca="1" si="1"/>
        <v>3978.9418649999993</v>
      </c>
      <c r="E16" s="66">
        <f t="shared" ca="1" si="4"/>
        <v>0.63590879392376209</v>
      </c>
    </row>
    <row r="17" spans="1:7" ht="25" customHeight="1">
      <c r="A17" s="68" t="str">
        <v>11 April 25</v>
      </c>
      <c r="B17" s="65">
        <f t="shared" ca="1" si="3"/>
        <v>11745</v>
      </c>
      <c r="C17" s="65">
        <f t="shared" ca="1" si="1"/>
        <v>7245.7572550000004</v>
      </c>
      <c r="D17" s="65">
        <f t="shared" ca="1" si="1"/>
        <v>4499.2427450000014</v>
      </c>
      <c r="E17" s="66">
        <f t="shared" ca="1" si="4"/>
        <v>0.62974164870813243</v>
      </c>
      <c r="G17" s="66"/>
    </row>
    <row r="18" spans="1:7" ht="25" customHeight="1">
      <c r="A18" s="68" t="str">
        <v>28 March 25</v>
      </c>
      <c r="B18" s="65">
        <f t="shared" ca="1" si="3"/>
        <v>11935</v>
      </c>
      <c r="C18" s="65">
        <f t="shared" ca="1" si="1"/>
        <v>7017.6148749999984</v>
      </c>
      <c r="D18" s="65">
        <f t="shared" ca="1" si="1"/>
        <v>5029.2196250000025</v>
      </c>
      <c r="E18" s="66">
        <f t="shared" ca="1" si="4"/>
        <v>0.59318226519279882</v>
      </c>
    </row>
    <row r="19" spans="1:7" ht="25" customHeight="1">
      <c r="A19" s="68" t="str">
        <v>21 March 25</v>
      </c>
      <c r="B19" s="65">
        <f t="shared" ca="1" si="3"/>
        <v>6245</v>
      </c>
      <c r="C19" s="65">
        <f t="shared" ca="1" si="3"/>
        <v>3903.0240499999991</v>
      </c>
      <c r="D19" s="65">
        <f t="shared" ca="1" si="3"/>
        <v>2341.9759500000009</v>
      </c>
      <c r="E19" s="66">
        <f t="shared" ca="1" si="4"/>
        <v>0.64917264502889993</v>
      </c>
    </row>
    <row r="20" spans="1:7" ht="25" customHeight="1">
      <c r="A20" s="68" t="str">
        <v>14 March 25</v>
      </c>
      <c r="B20" s="65">
        <f t="shared" ref="B20:D52" ca="1" si="5">IF($A20&lt;&gt;"", LOOKUP(9^9, INDIRECT("'" &amp; $A20 &amp; "'!" &amp; ADDRESS(1, MATCH(B$2, INDIRECT("'" &amp; $A20 &amp; "'!1:1"), 0), 4) &amp; ":" &amp; ADDRESS(1048576, MATCH(B$2, INDIRECT("'" &amp; $A20 &amp; "'!1:1"), 0), 4))), "")</f>
        <v>7270</v>
      </c>
      <c r="C20" s="65">
        <f t="shared" ca="1" si="5"/>
        <v>4402.9242649999987</v>
      </c>
      <c r="D20" s="65">
        <f t="shared" ca="1" si="5"/>
        <v>2867.0757350000013</v>
      </c>
      <c r="E20" s="66">
        <f t="shared" ca="1" si="4"/>
        <v>0.60882117176301997</v>
      </c>
    </row>
    <row r="21" spans="1:7" ht="25" customHeight="1">
      <c r="A21" s="68" t="str">
        <v>07 March 25</v>
      </c>
      <c r="B21" s="65">
        <f t="shared" ca="1" si="5"/>
        <v>7605</v>
      </c>
      <c r="C21" s="65">
        <f t="shared" ca="1" si="5"/>
        <v>4741.782799999999</v>
      </c>
      <c r="D21" s="65">
        <f t="shared" ca="1" si="5"/>
        <v>2863.217200000001</v>
      </c>
      <c r="E21" s="66">
        <f t="shared" ca="1" si="4"/>
        <v>0.61887435210891106</v>
      </c>
    </row>
    <row r="22" spans="1:7" ht="25" customHeight="1">
      <c r="A22" s="68" t="str">
        <v>28 Feb 25</v>
      </c>
      <c r="B22" s="65">
        <f t="shared" ca="1" si="5"/>
        <v>7650</v>
      </c>
      <c r="C22" s="65">
        <f t="shared" ca="1" si="5"/>
        <v>4926.3097250000001</v>
      </c>
      <c r="D22" s="65">
        <f t="shared" ca="1" si="5"/>
        <v>2723.6902749999999</v>
      </c>
      <c r="E22" s="66">
        <f t="shared" ca="1" si="4"/>
        <v>0.63788330042668173</v>
      </c>
    </row>
    <row r="23" spans="1:7" ht="25" customHeight="1">
      <c r="A23" s="68" t="str">
        <v>21 Feb 25</v>
      </c>
      <c r="B23" s="65">
        <f t="shared" ca="1" si="5"/>
        <v>6525</v>
      </c>
      <c r="C23" s="65">
        <f t="shared" ca="1" si="5"/>
        <v>4352.5987399999995</v>
      </c>
      <c r="D23" s="65">
        <f t="shared" ca="1" si="5"/>
        <v>2172.4012600000001</v>
      </c>
      <c r="E23" s="66">
        <f t="shared" ca="1" si="4"/>
        <v>0.66696486856177484</v>
      </c>
    </row>
    <row r="24" spans="1:7" ht="25" customHeight="1">
      <c r="A24" s="68" t="str">
        <v>14 Feb 25</v>
      </c>
      <c r="B24" s="65">
        <f t="shared" ca="1" si="5"/>
        <v>0</v>
      </c>
      <c r="C24" s="65">
        <f t="shared" ca="1" si="5"/>
        <v>0</v>
      </c>
      <c r="D24" s="65">
        <f t="shared" ca="1" si="5"/>
        <v>0</v>
      </c>
      <c r="E24" s="66" t="str">
        <f t="shared" ca="1" si="4"/>
        <v>-</v>
      </c>
    </row>
    <row r="25" spans="1:7" ht="25" customHeight="1">
      <c r="A25" s="68" t="str">
        <v>07 Feb 25</v>
      </c>
      <c r="B25" s="65">
        <f t="shared" ca="1" si="5"/>
        <v>3920</v>
      </c>
      <c r="C25" s="65">
        <f t="shared" ca="1" si="5"/>
        <v>5492.1922949999998</v>
      </c>
      <c r="D25" s="65">
        <f ca="1">IF($A25&lt;&gt;"", LOOKUP(9^9, INDIRECT("'" &amp; $A25 &amp; "'!" &amp; ADDRESS(1, MATCH(D$2, INDIRECT("'" &amp; $A25 &amp; "'!1:1"), 0), 4) &amp; ":" &amp; ADDRESS(1048576, MATCH(D$2, INDIRECT("'" &amp; $A25 &amp; "'!1:1"), 0), 4))), "")</f>
        <v>1273.9957300000005</v>
      </c>
      <c r="E25" s="66">
        <f t="shared" ca="1" si="4"/>
        <v>0.68059141893290831</v>
      </c>
    </row>
    <row r="26" spans="1:7" ht="25" customHeight="1">
      <c r="A26" s="68" t="str">
        <v>31 Jan 25</v>
      </c>
      <c r="B26" s="65">
        <f t="shared" ca="1" si="5"/>
        <v>6105</v>
      </c>
      <c r="C26" s="65">
        <f t="shared" ca="1" si="5"/>
        <v>3894.0772899999997</v>
      </c>
      <c r="D26" s="65">
        <f t="shared" ca="1" si="5"/>
        <v>2333.9406599999998</v>
      </c>
      <c r="E26" s="66">
        <f t="shared" ca="1" si="4"/>
        <v>0.63472648222855432</v>
      </c>
    </row>
    <row r="27" spans="1:7" ht="25" customHeight="1">
      <c r="A27" s="68" t="str">
        <v>24 Jan 25</v>
      </c>
      <c r="B27" s="65">
        <f t="shared" ca="1" si="5"/>
        <v>4580</v>
      </c>
      <c r="C27" s="65">
        <f t="shared" ca="1" si="5"/>
        <v>3969.0064049999992</v>
      </c>
      <c r="D27" s="65">
        <f t="shared" ca="1" si="5"/>
        <v>1079.5801500000007</v>
      </c>
      <c r="E27" s="66">
        <f t="shared" ca="1" si="4"/>
        <v>0.6674355441586276</v>
      </c>
    </row>
    <row r="28" spans="1:7" ht="25" customHeight="1">
      <c r="A28" s="68" t="str">
        <v>17 Jan 25</v>
      </c>
      <c r="B28" s="65">
        <f t="shared" ca="1" si="5"/>
        <v>7675</v>
      </c>
      <c r="C28" s="65">
        <f t="shared" ca="1" si="5"/>
        <v>5192.4758349999993</v>
      </c>
      <c r="D28" s="65">
        <f t="shared" ca="1" si="5"/>
        <v>2784.4773150000001</v>
      </c>
      <c r="E28" s="66">
        <f t="shared" ca="1" si="4"/>
        <v>0.64378766479574656</v>
      </c>
    </row>
    <row r="29" spans="1:7" ht="25" customHeight="1">
      <c r="A29" s="68" t="str">
        <v>10 Jan 25</v>
      </c>
      <c r="B29" s="65">
        <f t="shared" ca="1" si="5"/>
        <v>6240</v>
      </c>
      <c r="C29" s="65">
        <f t="shared" ca="1" si="5"/>
        <v>4476.7350349999988</v>
      </c>
      <c r="D29" s="65">
        <f t="shared" ca="1" si="5"/>
        <v>2031.6677650000001</v>
      </c>
      <c r="E29" s="66">
        <f t="shared" ca="1" si="4"/>
        <v>0.69087904427065316</v>
      </c>
    </row>
    <row r="30" spans="1:7" ht="25" customHeight="1">
      <c r="A30" s="68" t="str">
        <v>03 Jan 25</v>
      </c>
      <c r="B30" s="65">
        <f t="shared" ca="1" si="5"/>
        <v>2290</v>
      </c>
      <c r="C30" s="65">
        <f t="shared" ca="1" si="5"/>
        <v>1385.629455</v>
      </c>
      <c r="D30" s="65">
        <f t="shared" ca="1" si="5"/>
        <v>904.37054499999988</v>
      </c>
      <c r="E30" s="66">
        <f t="shared" ca="1" si="4"/>
        <v>0.60412996900000004</v>
      </c>
    </row>
    <row r="31" spans="1:7" ht="25" customHeight="1">
      <c r="A31" s="68" t="str">
        <v>27 Dec 24</v>
      </c>
      <c r="B31" s="65">
        <f t="shared" ca="1" si="5"/>
        <v>1500</v>
      </c>
      <c r="C31" s="65">
        <f t="shared" ca="1" si="5"/>
        <v>1081.439615</v>
      </c>
      <c r="D31" s="65">
        <f t="shared" ca="1" si="5"/>
        <v>556.11681999999996</v>
      </c>
      <c r="E31" s="66">
        <f t="shared" ca="1" si="4"/>
        <v>0.66656651249999999</v>
      </c>
    </row>
    <row r="32" spans="1:7" ht="25" customHeight="1">
      <c r="A32" s="68" t="str">
        <v>20 Dec 24</v>
      </c>
      <c r="B32" s="65">
        <f t="shared" ca="1" si="5"/>
        <v>8080</v>
      </c>
      <c r="C32" s="65">
        <f t="shared" ca="1" si="5"/>
        <v>4527.0605599999999</v>
      </c>
      <c r="D32" s="65">
        <f t="shared" ca="1" si="5"/>
        <v>2787.6674600000006</v>
      </c>
      <c r="E32" s="66">
        <f t="shared" ca="1" si="4"/>
        <v>0.61889897779018266</v>
      </c>
    </row>
    <row r="33" spans="1:5" ht="25" customHeight="1">
      <c r="A33" s="68" t="str">
        <v>13 Dec 24</v>
      </c>
      <c r="B33" s="65">
        <f t="shared" ca="1" si="5"/>
        <v>6955</v>
      </c>
      <c r="C33" s="65">
        <f t="shared" ca="1" si="5"/>
        <v>3964.5330249999988</v>
      </c>
      <c r="D33" s="65">
        <f t="shared" ca="1" si="5"/>
        <v>2568.793110000001</v>
      </c>
      <c r="E33" s="66">
        <f t="shared" ca="1" si="4"/>
        <v>0.57183375037775741</v>
      </c>
    </row>
    <row r="34" spans="1:5" ht="25" customHeight="1">
      <c r="A34" s="68" t="str">
        <v>06 Dec 24</v>
      </c>
      <c r="B34" s="65">
        <f t="shared" ca="1" si="5"/>
        <v>5180</v>
      </c>
      <c r="C34" s="65">
        <f t="shared" ca="1" si="5"/>
        <v>3113.4724800000004</v>
      </c>
      <c r="D34" s="65">
        <f t="shared" ca="1" si="5"/>
        <v>2180.5987099999998</v>
      </c>
      <c r="E34" s="66">
        <f t="shared" ca="1" si="4"/>
        <v>0.62139688995027165</v>
      </c>
    </row>
    <row r="35" spans="1:5" ht="25" customHeight="1">
      <c r="B35" s="65" t="str">
        <f t="shared" ca="1" si="5"/>
        <v/>
      </c>
      <c r="C35" s="65" t="str">
        <f t="shared" ca="1" si="5"/>
        <v/>
      </c>
      <c r="D35" s="65" t="str">
        <f t="shared" ca="1" si="5"/>
        <v/>
      </c>
      <c r="E35" s="66" t="str">
        <f t="shared" ca="1" si="4"/>
        <v/>
      </c>
    </row>
    <row r="36" spans="1:5" ht="25" customHeight="1">
      <c r="B36" s="65" t="str">
        <f t="shared" ca="1" si="5"/>
        <v/>
      </c>
      <c r="C36" s="65" t="str">
        <f t="shared" ca="1" si="5"/>
        <v/>
      </c>
      <c r="D36" s="65" t="str">
        <f t="shared" ca="1" si="5"/>
        <v/>
      </c>
      <c r="E36" s="66" t="str">
        <f t="shared" ca="1" si="4"/>
        <v/>
      </c>
    </row>
    <row r="37" spans="1:5" ht="25" customHeight="1">
      <c r="B37" s="65" t="str">
        <f t="shared" ca="1" si="5"/>
        <v/>
      </c>
      <c r="C37" s="65" t="str">
        <f t="shared" ca="1" si="5"/>
        <v/>
      </c>
      <c r="D37" s="65" t="str">
        <f t="shared" ca="1" si="5"/>
        <v/>
      </c>
      <c r="E37" s="66" t="str">
        <f t="shared" ca="1" si="4"/>
        <v/>
      </c>
    </row>
    <row r="38" spans="1:5" ht="25" customHeight="1">
      <c r="B38" s="65" t="str">
        <f t="shared" ca="1" si="5"/>
        <v/>
      </c>
      <c r="C38" s="65" t="str">
        <f t="shared" ca="1" si="5"/>
        <v/>
      </c>
      <c r="D38" s="65" t="str">
        <f t="shared" ca="1" si="5"/>
        <v/>
      </c>
      <c r="E38" s="66" t="str">
        <f t="shared" ca="1" si="4"/>
        <v/>
      </c>
    </row>
    <row r="39" spans="1:5" ht="25" customHeight="1">
      <c r="B39" s="65" t="str">
        <f t="shared" ca="1" si="5"/>
        <v/>
      </c>
      <c r="C39" s="65" t="str">
        <f t="shared" ca="1" si="5"/>
        <v/>
      </c>
      <c r="D39" s="65" t="str">
        <f t="shared" ca="1" si="5"/>
        <v/>
      </c>
      <c r="E39" s="66" t="str">
        <f t="shared" ca="1" si="4"/>
        <v/>
      </c>
    </row>
    <row r="40" spans="1:5" ht="25" customHeight="1">
      <c r="B40" s="65" t="str">
        <f t="shared" ca="1" si="5"/>
        <v/>
      </c>
      <c r="C40" s="65" t="str">
        <f t="shared" ca="1" si="5"/>
        <v/>
      </c>
      <c r="D40" s="65" t="str">
        <f t="shared" ca="1" si="5"/>
        <v/>
      </c>
      <c r="E40" s="66" t="str">
        <f t="shared" ca="1" si="4"/>
        <v/>
      </c>
    </row>
    <row r="41" spans="1:5" ht="25" customHeight="1">
      <c r="B41" s="65" t="str">
        <f t="shared" ca="1" si="5"/>
        <v/>
      </c>
      <c r="C41" s="65" t="str">
        <f t="shared" ca="1" si="5"/>
        <v/>
      </c>
      <c r="D41" s="65" t="str">
        <f t="shared" ca="1" si="5"/>
        <v/>
      </c>
      <c r="E41" s="66" t="str">
        <f t="shared" ca="1" si="4"/>
        <v/>
      </c>
    </row>
    <row r="42" spans="1:5" ht="25" customHeight="1">
      <c r="B42" s="65" t="str">
        <f t="shared" ca="1" si="5"/>
        <v/>
      </c>
      <c r="C42" s="65" t="str">
        <f t="shared" ca="1" si="5"/>
        <v/>
      </c>
      <c r="D42" s="65" t="str">
        <f t="shared" ca="1" si="5"/>
        <v/>
      </c>
      <c r="E42" s="66" t="str">
        <f t="shared" ca="1" si="4"/>
        <v/>
      </c>
    </row>
    <row r="43" spans="1:5" ht="25" customHeight="1">
      <c r="B43" s="65" t="str">
        <f t="shared" ca="1" si="5"/>
        <v/>
      </c>
      <c r="C43" s="65" t="str">
        <f t="shared" ca="1" si="5"/>
        <v/>
      </c>
      <c r="D43" s="65" t="str">
        <f t="shared" ca="1" si="5"/>
        <v/>
      </c>
      <c r="E43" s="66" t="str">
        <f t="shared" ca="1" si="4"/>
        <v/>
      </c>
    </row>
    <row r="44" spans="1:5" ht="25" customHeight="1">
      <c r="B44" s="65" t="str">
        <f t="shared" ca="1" si="5"/>
        <v/>
      </c>
      <c r="C44" s="65" t="str">
        <f t="shared" ca="1" si="5"/>
        <v/>
      </c>
      <c r="D44" s="65" t="str">
        <f t="shared" ca="1" si="5"/>
        <v/>
      </c>
      <c r="E44" s="66" t="str">
        <f t="shared" ca="1" si="4"/>
        <v/>
      </c>
    </row>
    <row r="45" spans="1:5" ht="25" customHeight="1">
      <c r="B45" s="65" t="str">
        <f t="shared" ca="1" si="5"/>
        <v/>
      </c>
      <c r="C45" s="65" t="str">
        <f t="shared" ca="1" si="5"/>
        <v/>
      </c>
      <c r="D45" s="65" t="str">
        <f t="shared" ca="1" si="5"/>
        <v/>
      </c>
      <c r="E45" s="66" t="str">
        <f t="shared" ca="1" si="4"/>
        <v/>
      </c>
    </row>
    <row r="46" spans="1:5" ht="25" customHeight="1">
      <c r="B46" s="65" t="str">
        <f t="shared" ca="1" si="5"/>
        <v/>
      </c>
      <c r="C46" s="65" t="str">
        <f t="shared" ca="1" si="5"/>
        <v/>
      </c>
      <c r="D46" s="65" t="str">
        <f t="shared" ca="1" si="5"/>
        <v/>
      </c>
      <c r="E46" s="66" t="str">
        <f t="shared" ca="1" si="4"/>
        <v/>
      </c>
    </row>
    <row r="47" spans="1:5" ht="25" customHeight="1">
      <c r="B47" s="65" t="str">
        <f t="shared" ca="1" si="5"/>
        <v/>
      </c>
      <c r="C47" s="65" t="str">
        <f t="shared" ca="1" si="5"/>
        <v/>
      </c>
      <c r="D47" s="65" t="str">
        <f t="shared" ca="1" si="5"/>
        <v/>
      </c>
      <c r="E47" s="66" t="str">
        <f t="shared" ca="1" si="4"/>
        <v/>
      </c>
    </row>
    <row r="48" spans="1:5" ht="25" customHeight="1">
      <c r="B48" s="65" t="str">
        <f t="shared" ca="1" si="5"/>
        <v/>
      </c>
      <c r="C48" s="65" t="str">
        <f t="shared" ca="1" si="5"/>
        <v/>
      </c>
      <c r="D48" s="65" t="str">
        <f t="shared" ca="1" si="5"/>
        <v/>
      </c>
      <c r="E48" s="66" t="str">
        <f t="shared" ca="1" si="4"/>
        <v/>
      </c>
    </row>
    <row r="49" spans="2:5" ht="25" customHeight="1">
      <c r="B49" s="65" t="str">
        <f t="shared" ca="1" si="5"/>
        <v/>
      </c>
      <c r="C49" s="65" t="str">
        <f t="shared" ca="1" si="5"/>
        <v/>
      </c>
      <c r="D49" s="65" t="str">
        <f t="shared" ca="1" si="5"/>
        <v/>
      </c>
      <c r="E49" s="66" t="str">
        <f t="shared" ca="1" si="4"/>
        <v/>
      </c>
    </row>
    <row r="50" spans="2:5" ht="25" customHeight="1">
      <c r="B50" s="65" t="str">
        <f t="shared" ca="1" si="5"/>
        <v/>
      </c>
      <c r="C50" s="65" t="str">
        <f t="shared" ca="1" si="5"/>
        <v/>
      </c>
      <c r="D50" s="65" t="str">
        <f t="shared" ca="1" si="5"/>
        <v/>
      </c>
      <c r="E50" s="66" t="str">
        <f t="shared" ca="1" si="4"/>
        <v/>
      </c>
    </row>
    <row r="51" spans="2:5" ht="25" customHeight="1">
      <c r="B51" s="65" t="str">
        <f t="shared" ca="1" si="5"/>
        <v/>
      </c>
      <c r="C51" s="65" t="str">
        <f t="shared" ca="1" si="5"/>
        <v/>
      </c>
      <c r="D51" s="65" t="str">
        <f t="shared" ca="1" si="5"/>
        <v/>
      </c>
      <c r="E51" s="66" t="str">
        <f t="shared" ca="1" si="4"/>
        <v/>
      </c>
    </row>
    <row r="52" spans="2:5" ht="25" customHeight="1">
      <c r="B52" s="65" t="str">
        <f t="shared" ca="1" si="5"/>
        <v/>
      </c>
      <c r="C52" s="65" t="str">
        <f t="shared" ca="1" si="5"/>
        <v/>
      </c>
      <c r="D52" s="65" t="str">
        <f t="shared" ca="1" si="5"/>
        <v/>
      </c>
      <c r="E52" s="66" t="str">
        <f t="shared" ca="1" si="4"/>
        <v/>
      </c>
    </row>
  </sheetData>
  <pageMargins left="0.7" right="0.7" top="0.75" bottom="0.75" header="0.3" footer="0.3"/>
  <pageSetup paperSize="256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CB4A-F048-F24F-B1C8-6A0C6BCA71B9}">
  <sheetPr codeName="Sheet35"/>
  <dimension ref="A1:W48"/>
  <sheetViews>
    <sheetView zoomScale="125" zoomScaleNormal="125" workbookViewId="0">
      <selection activeCell="M2" sqref="M2:M23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str" cm="1">
        <f t="array" ref="O1">IF(B2="","",TRANSPOSE(_xlfn._xlws.FILTER(_xlfn.UNIQUE(A2:A219), _xlfn.UNIQUE(A2:A219)&lt;&gt;"")))</f>
        <v/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/>
      <c r="B2" s="15"/>
      <c r="D2" s="5"/>
      <c r="E2" s="5"/>
      <c r="F2" s="6" t="str">
        <f t="shared" ref="F2:F17" si="0">IF(E2="","","No")</f>
        <v/>
      </c>
      <c r="G2" s="6" t="str">
        <f>IF(E2="","",IF(F2="Yes",(E2-D2)-TIME(0,30,0),E2-D2))</f>
        <v/>
      </c>
      <c r="H2" s="50" t="str">
        <f>_xlfn.IFNA(VLOOKUP(C:C,'Active Jobs'!B:K,8,0),"")</f>
        <v/>
      </c>
      <c r="I2" s="8" t="str">
        <f>IF(F2="Yes",(E2-D2)*24-0.5,IF(F2="No",(E2-D2)*24,""))</f>
        <v/>
      </c>
      <c r="J2" s="50" t="str">
        <f t="shared" ref="J2:J47" si="1">IF(G2="","",G2*24*HourlyRate*2*(1+Super))</f>
        <v/>
      </c>
      <c r="K2" s="50" t="str">
        <f t="shared" ref="K2:K47" si="2">IF(H2="","",IF(E2="","",IF(J2=0,0,H2-J2)))</f>
        <v/>
      </c>
      <c r="L2" s="9" t="str">
        <f>IF(K2="","",IF(H2=0,1,J2/H2))</f>
        <v/>
      </c>
      <c r="N2" s="41" t="str" cm="1">
        <f t="array" ref="N2">IF(B2="","",_xlfn.UNIQUE(TRANSPOSE(_xlfn.TEXTSPLIT(_xlfn.TEXTJOIN(" &amp; ", TRUE, TRIM(B2:B219)), " &amp; "))))</f>
        <v/>
      </c>
      <c r="O2" s="23" t="str">
        <f>IF(N2="","",ROUND(SUMIFS($I:$I,$A:$A,O$1,$B:$B,"*"&amp;$N2&amp;"*"),2))</f>
        <v/>
      </c>
      <c r="P2" s="23" t="str">
        <f>IF(O2="","",ROUND(SUMIFS($I:$I,$A:$A,P$1,$B:$B,"*"&amp;$N2&amp;"*"),2))</f>
        <v/>
      </c>
      <c r="Q2" s="23" t="str">
        <f>IF(P2="","",ROUND(SUMIFS($I:$I,$A:$A,Q$1,$B:$B,"*"&amp;$N2&amp;"*"),2))</f>
        <v/>
      </c>
      <c r="R2" s="23" t="str">
        <f>IF(Q2="","",ROUND(SUMIFS($I:$I,$A:$A,R$1,$B:$B,"*"&amp;$N2&amp;"*"),2))</f>
        <v/>
      </c>
      <c r="S2" s="23" t="str">
        <f>IF(R2="","",ROUND(SUMIFS($I:$I,$A:$A,S$1,$B:$B,"*"&amp;$N2&amp;"*"),2))</f>
        <v/>
      </c>
      <c r="T2" s="10" t="str">
        <f t="shared" ref="T2:T42" si="3">IF(N2="","",SUM(O2:S2))</f>
        <v/>
      </c>
      <c r="U2" s="24"/>
      <c r="V2" s="24" t="str">
        <f t="shared" ref="V2:V18" si="4">IF(N2="","",T2*HourlyRate)</f>
        <v/>
      </c>
      <c r="W2" s="25" t="str">
        <f t="shared" ref="W2:W18" si="5">IF(N2="","",V2*Super)</f>
        <v/>
      </c>
    </row>
    <row r="3" spans="1:23" ht="25" customHeight="1">
      <c r="A3" s="37"/>
      <c r="B3" s="15"/>
      <c r="D3" s="5"/>
      <c r="E3" s="5"/>
      <c r="F3" s="6" t="str">
        <f t="shared" si="0"/>
        <v/>
      </c>
      <c r="G3" s="6" t="str">
        <f t="shared" ref="G3:G47" si="6">IF(E3="","",IF(F3="Yes",(E3-D3)-TIME(0,30,0),E3-D3))</f>
        <v/>
      </c>
      <c r="H3" s="50" t="str">
        <f>_xlfn.IFNA(VLOOKUP(C:C,'Active Jobs'!B:K,8,0),"")</f>
        <v/>
      </c>
      <c r="I3" s="8" t="str">
        <f t="shared" ref="I3:I47" si="7">IF(F3="Yes",(E3-D3)*24-0.5,IF(F3="No",(E3-D3)*24,""))</f>
        <v/>
      </c>
      <c r="J3" s="50" t="str">
        <f t="shared" si="1"/>
        <v/>
      </c>
      <c r="K3" s="50" t="str">
        <f t="shared" si="2"/>
        <v/>
      </c>
      <c r="L3" s="9" t="str">
        <f t="shared" ref="L3:L47" si="8">IF(K3="","",IF(H3=0,1,J3/H3))</f>
        <v/>
      </c>
      <c r="N3" s="42"/>
      <c r="O3" s="23" t="str">
        <f t="shared" ref="O3:S18" si="9">IF(N3="","",ROUND(SUMIFS($I:$I,$A:$A,O$1,$B:$B,"*"&amp;$N3&amp;"*"),2))</f>
        <v/>
      </c>
      <c r="P3" s="23" t="str">
        <f t="shared" si="9"/>
        <v/>
      </c>
      <c r="Q3" s="23" t="str">
        <f t="shared" si="9"/>
        <v/>
      </c>
      <c r="R3" s="23" t="str">
        <f t="shared" si="9"/>
        <v/>
      </c>
      <c r="S3" s="23" t="str">
        <f t="shared" si="9"/>
        <v/>
      </c>
      <c r="T3" s="10" t="str">
        <f t="shared" si="3"/>
        <v/>
      </c>
      <c r="U3" s="21"/>
      <c r="V3" s="24" t="str">
        <f t="shared" si="4"/>
        <v/>
      </c>
      <c r="W3" s="25" t="str">
        <f t="shared" si="5"/>
        <v/>
      </c>
    </row>
    <row r="4" spans="1:23" ht="25" customHeight="1">
      <c r="A4" s="37"/>
      <c r="B4" s="15"/>
      <c r="D4" s="5"/>
      <c r="E4" s="5"/>
      <c r="F4" s="6" t="str">
        <f t="shared" si="0"/>
        <v/>
      </c>
      <c r="G4" s="6" t="str">
        <f t="shared" si="6"/>
        <v/>
      </c>
      <c r="H4" s="50" t="str">
        <f>_xlfn.IFNA(VLOOKUP(C:C,'Active Jobs'!B:K,8,0),"")</f>
        <v/>
      </c>
      <c r="I4" s="8" t="str">
        <f t="shared" si="7"/>
        <v/>
      </c>
      <c r="J4" s="50" t="str">
        <f t="shared" si="1"/>
        <v/>
      </c>
      <c r="K4" s="50" t="str">
        <f t="shared" si="2"/>
        <v/>
      </c>
      <c r="L4" s="9" t="str">
        <f t="shared" si="8"/>
        <v/>
      </c>
      <c r="N4" s="42"/>
      <c r="O4" s="23" t="str">
        <f t="shared" si="9"/>
        <v/>
      </c>
      <c r="P4" s="23" t="str">
        <f t="shared" si="9"/>
        <v/>
      </c>
      <c r="Q4" s="23" t="str">
        <f t="shared" si="9"/>
        <v/>
      </c>
      <c r="R4" s="23" t="str">
        <f t="shared" si="9"/>
        <v/>
      </c>
      <c r="S4" s="23" t="str">
        <f t="shared" si="9"/>
        <v/>
      </c>
      <c r="T4" s="10" t="str">
        <f t="shared" si="3"/>
        <v/>
      </c>
      <c r="U4" s="21"/>
      <c r="V4" s="24" t="str">
        <f t="shared" si="4"/>
        <v/>
      </c>
      <c r="W4" s="25" t="str">
        <f t="shared" si="5"/>
        <v/>
      </c>
    </row>
    <row r="5" spans="1:23" ht="25" customHeight="1">
      <c r="A5" s="37"/>
      <c r="B5" s="15"/>
      <c r="D5" s="5"/>
      <c r="E5" s="5"/>
      <c r="F5" s="6" t="str">
        <f t="shared" si="0"/>
        <v/>
      </c>
      <c r="G5" s="6" t="str">
        <f t="shared" si="6"/>
        <v/>
      </c>
      <c r="H5" s="50" t="str">
        <f>_xlfn.IFNA(VLOOKUP(C:C,'Active Jobs'!B:K,8,0),"")</f>
        <v/>
      </c>
      <c r="I5" s="8" t="str">
        <f t="shared" si="7"/>
        <v/>
      </c>
      <c r="J5" s="50" t="str">
        <f t="shared" si="1"/>
        <v/>
      </c>
      <c r="K5" s="50" t="str">
        <f t="shared" si="2"/>
        <v/>
      </c>
      <c r="L5" s="9" t="str">
        <f t="shared" si="8"/>
        <v/>
      </c>
      <c r="N5" s="42"/>
      <c r="O5" s="23" t="str">
        <f t="shared" si="9"/>
        <v/>
      </c>
      <c r="P5" s="23" t="str">
        <f t="shared" si="9"/>
        <v/>
      </c>
      <c r="Q5" s="23" t="str">
        <f t="shared" si="9"/>
        <v/>
      </c>
      <c r="R5" s="23" t="str">
        <f t="shared" si="9"/>
        <v/>
      </c>
      <c r="S5" s="23" t="str">
        <f t="shared" si="9"/>
        <v/>
      </c>
      <c r="T5" s="10" t="str">
        <f t="shared" si="3"/>
        <v/>
      </c>
      <c r="U5" s="21"/>
      <c r="V5" s="24" t="str">
        <f t="shared" si="4"/>
        <v/>
      </c>
      <c r="W5" s="25" t="str">
        <f t="shared" si="5"/>
        <v/>
      </c>
    </row>
    <row r="6" spans="1:23" ht="25" customHeight="1">
      <c r="A6" s="37"/>
      <c r="B6" s="15"/>
      <c r="D6" s="5"/>
      <c r="E6" s="5"/>
      <c r="F6" s="6" t="str">
        <f t="shared" si="0"/>
        <v/>
      </c>
      <c r="G6" s="6" t="str">
        <f t="shared" si="6"/>
        <v/>
      </c>
      <c r="H6" s="50" t="str">
        <f>_xlfn.IFNA(VLOOKUP(C:C,'Active Jobs'!B:K,8,0),"")</f>
        <v/>
      </c>
      <c r="I6" s="8" t="str">
        <f t="shared" si="7"/>
        <v/>
      </c>
      <c r="J6" s="50" t="str">
        <f t="shared" si="1"/>
        <v/>
      </c>
      <c r="K6" s="50" t="str">
        <f t="shared" si="2"/>
        <v/>
      </c>
      <c r="L6" s="9" t="str">
        <f t="shared" si="8"/>
        <v/>
      </c>
      <c r="O6" s="23" t="str">
        <f t="shared" si="9"/>
        <v/>
      </c>
      <c r="P6" s="23" t="str">
        <f t="shared" si="9"/>
        <v/>
      </c>
      <c r="Q6" s="23" t="str">
        <f t="shared" si="9"/>
        <v/>
      </c>
      <c r="R6" s="23" t="str">
        <f t="shared" si="9"/>
        <v/>
      </c>
      <c r="S6" s="23" t="str">
        <f t="shared" si="9"/>
        <v/>
      </c>
      <c r="T6" s="10" t="str">
        <f t="shared" si="3"/>
        <v/>
      </c>
      <c r="U6" s="21"/>
      <c r="V6" s="24" t="str">
        <f t="shared" si="4"/>
        <v/>
      </c>
      <c r="W6" s="25" t="str">
        <f t="shared" si="5"/>
        <v/>
      </c>
    </row>
    <row r="7" spans="1:23" ht="25" customHeight="1">
      <c r="A7" s="37"/>
      <c r="B7" s="15"/>
      <c r="D7" s="5"/>
      <c r="E7" s="5"/>
      <c r="F7" s="6" t="str">
        <f t="shared" si="0"/>
        <v/>
      </c>
      <c r="G7" s="6" t="str">
        <f t="shared" si="6"/>
        <v/>
      </c>
      <c r="H7" s="50" t="str">
        <f>_xlfn.IFNA(VLOOKUP(C:C,'Active Jobs'!B:K,8,0),"")</f>
        <v/>
      </c>
      <c r="I7" s="8" t="str">
        <f t="shared" si="7"/>
        <v/>
      </c>
      <c r="J7" s="50" t="str">
        <f t="shared" si="1"/>
        <v/>
      </c>
      <c r="K7" s="50" t="str">
        <f t="shared" si="2"/>
        <v/>
      </c>
      <c r="L7" s="9" t="str">
        <f t="shared" si="8"/>
        <v/>
      </c>
      <c r="N7" s="47"/>
      <c r="O7" s="23" t="str">
        <f t="shared" si="9"/>
        <v/>
      </c>
      <c r="P7" s="23" t="str">
        <f t="shared" si="9"/>
        <v/>
      </c>
      <c r="Q7" s="23" t="str">
        <f t="shared" si="9"/>
        <v/>
      </c>
      <c r="R7" s="23" t="str">
        <f t="shared" si="9"/>
        <v/>
      </c>
      <c r="S7" s="23" t="str">
        <f t="shared" si="9"/>
        <v/>
      </c>
      <c r="T7" s="10" t="str">
        <f t="shared" si="3"/>
        <v/>
      </c>
      <c r="U7" s="21"/>
      <c r="V7" s="24" t="str">
        <f t="shared" si="4"/>
        <v/>
      </c>
      <c r="W7" s="25" t="str">
        <f t="shared" si="5"/>
        <v/>
      </c>
    </row>
    <row r="8" spans="1:23" ht="25" customHeight="1">
      <c r="A8" s="37"/>
      <c r="B8" s="15"/>
      <c r="C8" s="49"/>
      <c r="D8" s="5"/>
      <c r="E8" s="5"/>
      <c r="F8" s="6" t="str">
        <f t="shared" si="0"/>
        <v/>
      </c>
      <c r="G8" s="6" t="str">
        <f t="shared" si="6"/>
        <v/>
      </c>
      <c r="H8" s="50" t="str">
        <f>_xlfn.IFNA(VLOOKUP(C:C,'Active Jobs'!B:K,8,0),"")</f>
        <v/>
      </c>
      <c r="I8" s="8" t="str">
        <f t="shared" si="7"/>
        <v/>
      </c>
      <c r="J8" s="50" t="str">
        <f t="shared" si="1"/>
        <v/>
      </c>
      <c r="K8" s="50" t="str">
        <f t="shared" si="2"/>
        <v/>
      </c>
      <c r="L8" s="9" t="str">
        <f t="shared" si="8"/>
        <v/>
      </c>
      <c r="N8" s="41"/>
      <c r="O8" s="23" t="str">
        <f t="shared" si="9"/>
        <v/>
      </c>
      <c r="P8" s="23" t="str">
        <f t="shared" si="9"/>
        <v/>
      </c>
      <c r="Q8" s="23" t="str">
        <f t="shared" si="9"/>
        <v/>
      </c>
      <c r="R8" s="23" t="str">
        <f t="shared" si="9"/>
        <v/>
      </c>
      <c r="S8" s="23" t="str">
        <f t="shared" si="9"/>
        <v/>
      </c>
      <c r="T8" s="10" t="str">
        <f t="shared" si="3"/>
        <v/>
      </c>
      <c r="U8" s="21"/>
      <c r="V8" s="24" t="str">
        <f t="shared" si="4"/>
        <v/>
      </c>
      <c r="W8" s="25" t="str">
        <f t="shared" si="5"/>
        <v/>
      </c>
    </row>
    <row r="9" spans="1:23" ht="25" customHeight="1">
      <c r="A9" s="37"/>
      <c r="B9" s="15"/>
      <c r="D9" s="5"/>
      <c r="E9" s="5"/>
      <c r="F9" s="6" t="str">
        <f t="shared" si="0"/>
        <v/>
      </c>
      <c r="G9" s="6" t="str">
        <f t="shared" si="6"/>
        <v/>
      </c>
      <c r="H9" s="50" t="str">
        <f>_xlfn.IFNA(VLOOKUP(C:C,'Active Jobs'!B:K,8,0),"")</f>
        <v/>
      </c>
      <c r="I9" s="8" t="str">
        <f t="shared" si="7"/>
        <v/>
      </c>
      <c r="J9" s="50" t="str">
        <f t="shared" si="1"/>
        <v/>
      </c>
      <c r="K9" s="50" t="str">
        <f t="shared" si="2"/>
        <v/>
      </c>
      <c r="L9" s="9" t="str">
        <f t="shared" si="8"/>
        <v/>
      </c>
      <c r="N9" s="47"/>
      <c r="O9" s="23" t="str">
        <f t="shared" si="9"/>
        <v/>
      </c>
      <c r="P9" s="23" t="str">
        <f t="shared" si="9"/>
        <v/>
      </c>
      <c r="Q9" s="23" t="str">
        <f t="shared" si="9"/>
        <v/>
      </c>
      <c r="R9" s="23" t="str">
        <f t="shared" si="9"/>
        <v/>
      </c>
      <c r="S9" s="23" t="str">
        <f t="shared" si="9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/>
      <c r="B10" s="15"/>
      <c r="D10" s="5"/>
      <c r="E10" s="5"/>
      <c r="F10" s="6" t="str">
        <f t="shared" si="0"/>
        <v/>
      </c>
      <c r="G10" s="6" t="str">
        <f t="shared" si="6"/>
        <v/>
      </c>
      <c r="H10" s="50" t="str">
        <f>_xlfn.IFNA(VLOOKUP(C:C,'Active Jobs'!B:K,8,0),"")</f>
        <v/>
      </c>
      <c r="I10" s="8" t="str">
        <f t="shared" si="7"/>
        <v/>
      </c>
      <c r="J10" s="50" t="str">
        <f t="shared" si="1"/>
        <v/>
      </c>
      <c r="K10" s="50" t="str">
        <f t="shared" si="2"/>
        <v/>
      </c>
      <c r="L10" s="9" t="str">
        <f t="shared" si="8"/>
        <v/>
      </c>
      <c r="O10" s="23" t="str">
        <f t="shared" si="9"/>
        <v/>
      </c>
      <c r="P10" s="23" t="str">
        <f t="shared" si="9"/>
        <v/>
      </c>
      <c r="Q10" s="23" t="str">
        <f t="shared" si="9"/>
        <v/>
      </c>
      <c r="R10" s="23" t="str">
        <f t="shared" si="9"/>
        <v/>
      </c>
      <c r="S10" s="23" t="str">
        <f t="shared" si="9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B11" s="15"/>
      <c r="D11" s="5"/>
      <c r="E11" s="5"/>
      <c r="F11" s="6" t="str">
        <f t="shared" si="0"/>
        <v/>
      </c>
      <c r="G11" s="6" t="str">
        <f t="shared" si="6"/>
        <v/>
      </c>
      <c r="H11" s="50" t="str">
        <f>_xlfn.IFNA(VLOOKUP(C:C,'Active Jobs'!B:K,8,0),"")</f>
        <v/>
      </c>
      <c r="I11" s="8" t="str">
        <f t="shared" si="7"/>
        <v/>
      </c>
      <c r="J11" s="50" t="str">
        <f t="shared" si="1"/>
        <v/>
      </c>
      <c r="K11" s="50" t="str">
        <f t="shared" si="2"/>
        <v/>
      </c>
      <c r="L11" s="9" t="str">
        <f t="shared" si="8"/>
        <v/>
      </c>
      <c r="O11" s="23" t="str">
        <f t="shared" si="9"/>
        <v/>
      </c>
      <c r="P11" s="23" t="str">
        <f t="shared" si="9"/>
        <v/>
      </c>
      <c r="Q11" s="23" t="str">
        <f t="shared" si="9"/>
        <v/>
      </c>
      <c r="R11" s="23" t="str">
        <f t="shared" si="9"/>
        <v/>
      </c>
      <c r="S11" s="23" t="str">
        <f t="shared" si="9"/>
        <v/>
      </c>
      <c r="T11" s="10" t="str">
        <f t="shared" si="3"/>
        <v/>
      </c>
      <c r="U11" s="21"/>
      <c r="V11" s="24" t="str">
        <f t="shared" si="4"/>
        <v/>
      </c>
      <c r="W11" s="25" t="str">
        <f t="shared" si="5"/>
        <v/>
      </c>
    </row>
    <row r="12" spans="1:23" ht="25" customHeight="1">
      <c r="B12" s="15"/>
      <c r="D12" s="5"/>
      <c r="E12" s="5"/>
      <c r="F12" s="6" t="str">
        <f t="shared" si="0"/>
        <v/>
      </c>
      <c r="G12" s="6" t="str">
        <f t="shared" si="6"/>
        <v/>
      </c>
      <c r="H12" s="50" t="str">
        <f>_xlfn.IFNA(VLOOKUP(C:C,'Active Jobs'!B:K,8,0),"")</f>
        <v/>
      </c>
      <c r="I12" s="8" t="str">
        <f t="shared" si="7"/>
        <v/>
      </c>
      <c r="J12" s="50" t="str">
        <f t="shared" si="1"/>
        <v/>
      </c>
      <c r="K12" s="50" t="str">
        <f t="shared" si="2"/>
        <v/>
      </c>
      <c r="L12" s="9" t="str">
        <f t="shared" si="8"/>
        <v/>
      </c>
      <c r="O12" s="23" t="str">
        <f t="shared" si="9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B13" s="15"/>
      <c r="D13" s="5"/>
      <c r="E13" s="5"/>
      <c r="F13" s="6" t="str">
        <f t="shared" si="0"/>
        <v/>
      </c>
      <c r="G13" s="6" t="str">
        <f t="shared" si="6"/>
        <v/>
      </c>
      <c r="H13" s="50" t="str">
        <f>_xlfn.IFNA(VLOOKUP(C:C,'Active Jobs'!B:K,8,0),"")</f>
        <v/>
      </c>
      <c r="I13" s="8" t="str">
        <f t="shared" si="7"/>
        <v/>
      </c>
      <c r="J13" s="50" t="str">
        <f t="shared" si="1"/>
        <v/>
      </c>
      <c r="K13" s="50" t="str">
        <f t="shared" si="2"/>
        <v/>
      </c>
      <c r="L13" s="9" t="str">
        <f t="shared" si="8"/>
        <v/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B14" s="15"/>
      <c r="D14" s="5"/>
      <c r="E14" s="5"/>
      <c r="F14" s="6" t="str">
        <f t="shared" si="0"/>
        <v/>
      </c>
      <c r="G14" s="6" t="str">
        <f t="shared" si="6"/>
        <v/>
      </c>
      <c r="H14" s="50" t="str">
        <f>_xlfn.IFNA(VLOOKUP(C:C,'Active Jobs'!B:K,8,0),"")</f>
        <v/>
      </c>
      <c r="I14" s="8" t="str">
        <f t="shared" si="7"/>
        <v/>
      </c>
      <c r="J14" s="50" t="str">
        <f t="shared" si="1"/>
        <v/>
      </c>
      <c r="K14" s="50" t="str">
        <f t="shared" si="2"/>
        <v/>
      </c>
      <c r="L14" s="9" t="str">
        <f t="shared" si="8"/>
        <v/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B15" s="15"/>
      <c r="D15" s="5"/>
      <c r="E15" s="5"/>
      <c r="F15" s="6" t="str">
        <f t="shared" si="0"/>
        <v/>
      </c>
      <c r="G15" s="6" t="str">
        <f t="shared" si="6"/>
        <v/>
      </c>
      <c r="H15" s="50" t="str">
        <f>_xlfn.IFNA(VLOOKUP(C:C,'Active Jobs'!B:K,8,0),"")</f>
        <v/>
      </c>
      <c r="I15" s="8" t="str">
        <f t="shared" si="7"/>
        <v/>
      </c>
      <c r="J15" s="50" t="str">
        <f t="shared" si="1"/>
        <v/>
      </c>
      <c r="K15" s="50" t="str">
        <f t="shared" si="2"/>
        <v/>
      </c>
      <c r="L15" s="9" t="str">
        <f t="shared" si="8"/>
        <v/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B16" s="15"/>
      <c r="D16" s="5"/>
      <c r="E16" s="5"/>
      <c r="F16" s="6" t="str">
        <f t="shared" si="0"/>
        <v/>
      </c>
      <c r="G16" s="6" t="str">
        <f t="shared" si="6"/>
        <v/>
      </c>
      <c r="H16" s="50" t="str">
        <f>_xlfn.IFNA(VLOOKUP(C:C,'Active Jobs'!B:K,8,0),"")</f>
        <v/>
      </c>
      <c r="I16" s="8" t="str">
        <f t="shared" si="7"/>
        <v/>
      </c>
      <c r="J16" s="50" t="str">
        <f t="shared" si="1"/>
        <v/>
      </c>
      <c r="K16" s="50" t="str">
        <f t="shared" si="2"/>
        <v/>
      </c>
      <c r="L16" s="9" t="str">
        <f t="shared" si="8"/>
        <v/>
      </c>
      <c r="O16" s="23" t="str">
        <f t="shared" si="9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2:23" ht="25" customHeight="1">
      <c r="B17" s="15"/>
      <c r="D17" s="5"/>
      <c r="E17" s="5"/>
      <c r="F17" s="6" t="str">
        <f t="shared" si="0"/>
        <v/>
      </c>
      <c r="G17" s="6" t="str">
        <f t="shared" si="6"/>
        <v/>
      </c>
      <c r="H17" s="50" t="str">
        <f>_xlfn.IFNA(VLOOKUP(C:C,'Active Jobs'!B:K,8,0),"")</f>
        <v/>
      </c>
      <c r="I17" s="8" t="str">
        <f t="shared" si="7"/>
        <v/>
      </c>
      <c r="J17" s="50" t="str">
        <f t="shared" si="1"/>
        <v/>
      </c>
      <c r="K17" s="50" t="str">
        <f t="shared" si="2"/>
        <v/>
      </c>
      <c r="L17" s="9" t="str">
        <f t="shared" si="8"/>
        <v/>
      </c>
      <c r="O17" s="23" t="str">
        <f t="shared" si="9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2:23" ht="25" customHeight="1">
      <c r="B18" s="15"/>
      <c r="D18" s="5"/>
      <c r="E18" s="5"/>
      <c r="F18" s="6" t="str">
        <f t="shared" ref="F18:F47" si="10">IF(E18="","","No")</f>
        <v/>
      </c>
      <c r="G18" s="6" t="str">
        <f t="shared" si="6"/>
        <v/>
      </c>
      <c r="H18" s="50" t="str">
        <f>_xlfn.IFNA(VLOOKUP(C:C,'Active Jobs'!B:K,8,0),"")</f>
        <v/>
      </c>
      <c r="I18" s="8" t="str">
        <f t="shared" si="7"/>
        <v/>
      </c>
      <c r="J18" s="50" t="str">
        <f t="shared" si="1"/>
        <v/>
      </c>
      <c r="K18" s="50" t="str">
        <f t="shared" si="2"/>
        <v/>
      </c>
      <c r="L18" s="9" t="str">
        <f t="shared" si="8"/>
        <v/>
      </c>
      <c r="O18" s="23" t="str">
        <f t="shared" si="9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2:23" ht="25" customHeight="1">
      <c r="B19" s="15"/>
      <c r="D19" s="5"/>
      <c r="E19" s="5"/>
      <c r="F19" s="6" t="str">
        <f t="shared" si="10"/>
        <v/>
      </c>
      <c r="G19" s="6" t="str">
        <f t="shared" si="6"/>
        <v/>
      </c>
      <c r="H19" s="50" t="str">
        <f>_xlfn.IFNA(VLOOKUP(C:C,'Active Jobs'!B:K,8,0),"")</f>
        <v/>
      </c>
      <c r="I19" s="8" t="str">
        <f t="shared" si="7"/>
        <v/>
      </c>
      <c r="J19" s="50" t="str">
        <f t="shared" si="1"/>
        <v/>
      </c>
      <c r="K19" s="50" t="str">
        <f t="shared" si="2"/>
        <v/>
      </c>
      <c r="L19" s="9" t="str">
        <f t="shared" si="8"/>
        <v/>
      </c>
      <c r="O19" s="23" t="str">
        <f t="shared" ref="O19:S42" si="11">IF(N19="","",ROUND(SUMIFS($I:$I,$A:$A,O$1,$B:$B,"*"&amp;$N19&amp;"*"),2))</f>
        <v/>
      </c>
      <c r="P19" s="23" t="str">
        <f t="shared" si="11"/>
        <v/>
      </c>
      <c r="Q19" s="23" t="str">
        <f t="shared" si="11"/>
        <v/>
      </c>
      <c r="R19" s="23" t="str">
        <f t="shared" si="11"/>
        <v/>
      </c>
      <c r="S19" s="23" t="str">
        <f t="shared" si="11"/>
        <v/>
      </c>
      <c r="T19" s="74" t="str">
        <f t="shared" si="3"/>
        <v/>
      </c>
    </row>
    <row r="20" spans="2:23" ht="25" customHeight="1">
      <c r="B20" s="15"/>
      <c r="D20" s="5"/>
      <c r="E20" s="5"/>
      <c r="F20" s="6" t="str">
        <f t="shared" si="10"/>
        <v/>
      </c>
      <c r="G20" s="6" t="str">
        <f t="shared" si="6"/>
        <v/>
      </c>
      <c r="H20" s="50" t="str">
        <f>_xlfn.IFNA(VLOOKUP(C:C,'Active Jobs'!B:K,8,0),"")</f>
        <v/>
      </c>
      <c r="I20" s="8" t="str">
        <f t="shared" si="7"/>
        <v/>
      </c>
      <c r="J20" s="50" t="str">
        <f t="shared" si="1"/>
        <v/>
      </c>
      <c r="K20" s="50" t="str">
        <f t="shared" si="2"/>
        <v/>
      </c>
      <c r="L20" s="9" t="str">
        <f t="shared" si="8"/>
        <v/>
      </c>
      <c r="O20" s="23" t="str">
        <f t="shared" si="11"/>
        <v/>
      </c>
      <c r="P20" s="23" t="str">
        <f t="shared" si="11"/>
        <v/>
      </c>
      <c r="Q20" s="23" t="str">
        <f t="shared" si="11"/>
        <v/>
      </c>
      <c r="R20" s="23" t="str">
        <f t="shared" si="11"/>
        <v/>
      </c>
      <c r="S20" s="23" t="str">
        <f t="shared" si="11"/>
        <v/>
      </c>
      <c r="T20" s="74" t="str">
        <f t="shared" si="3"/>
        <v/>
      </c>
    </row>
    <row r="21" spans="2:23" ht="25" customHeight="1">
      <c r="B21" s="15"/>
      <c r="D21" s="5"/>
      <c r="E21" s="5"/>
      <c r="F21" s="6" t="str">
        <f t="shared" si="10"/>
        <v/>
      </c>
      <c r="G21" s="6" t="str">
        <f t="shared" si="6"/>
        <v/>
      </c>
      <c r="H21" s="50" t="str">
        <f>_xlfn.IFNA(VLOOKUP(C:C,'Active Jobs'!B:K,8,0),"")</f>
        <v/>
      </c>
      <c r="I21" s="8" t="str">
        <f t="shared" si="7"/>
        <v/>
      </c>
      <c r="J21" s="50" t="str">
        <f t="shared" si="1"/>
        <v/>
      </c>
      <c r="K21" s="50" t="str">
        <f t="shared" si="2"/>
        <v/>
      </c>
      <c r="L21" s="9" t="str">
        <f t="shared" si="8"/>
        <v/>
      </c>
      <c r="O21" s="23" t="str">
        <f t="shared" si="11"/>
        <v/>
      </c>
      <c r="P21" s="23" t="str">
        <f t="shared" si="11"/>
        <v/>
      </c>
      <c r="Q21" s="23" t="str">
        <f t="shared" si="11"/>
        <v/>
      </c>
      <c r="R21" s="23" t="str">
        <f t="shared" si="11"/>
        <v/>
      </c>
      <c r="S21" s="23" t="str">
        <f t="shared" si="11"/>
        <v/>
      </c>
      <c r="T21" s="74" t="str">
        <f t="shared" si="3"/>
        <v/>
      </c>
    </row>
    <row r="22" spans="2:23" ht="25" customHeight="1">
      <c r="B22" s="15"/>
      <c r="D22" s="5"/>
      <c r="E22" s="5"/>
      <c r="F22" s="6" t="str">
        <f t="shared" si="10"/>
        <v/>
      </c>
      <c r="G22" s="6" t="str">
        <f t="shared" si="6"/>
        <v/>
      </c>
      <c r="H22" s="50" t="str">
        <f>_xlfn.IFNA(VLOOKUP(C:C,'Active Jobs'!B:K,8,0),"")</f>
        <v/>
      </c>
      <c r="I22" s="8" t="str">
        <f t="shared" si="7"/>
        <v/>
      </c>
      <c r="J22" s="50" t="str">
        <f t="shared" si="1"/>
        <v/>
      </c>
      <c r="K22" s="50" t="str">
        <f t="shared" si="2"/>
        <v/>
      </c>
      <c r="L22" s="9" t="str">
        <f t="shared" si="8"/>
        <v/>
      </c>
      <c r="O22" s="23" t="str">
        <f t="shared" si="11"/>
        <v/>
      </c>
      <c r="P22" s="23" t="str">
        <f t="shared" si="11"/>
        <v/>
      </c>
      <c r="Q22" s="23" t="str">
        <f t="shared" si="11"/>
        <v/>
      </c>
      <c r="R22" s="23" t="str">
        <f t="shared" si="11"/>
        <v/>
      </c>
      <c r="S22" s="23" t="str">
        <f t="shared" si="11"/>
        <v/>
      </c>
      <c r="T22" s="74" t="str">
        <f t="shared" si="3"/>
        <v/>
      </c>
    </row>
    <row r="23" spans="2:23" ht="25" customHeight="1">
      <c r="B23" s="15"/>
      <c r="D23" s="5"/>
      <c r="E23" s="5"/>
      <c r="F23" s="6" t="str">
        <f t="shared" si="10"/>
        <v/>
      </c>
      <c r="G23" s="6" t="str">
        <f t="shared" si="6"/>
        <v/>
      </c>
      <c r="H23" s="50" t="str">
        <f>_xlfn.IFNA(VLOOKUP(C:C,'Active Jobs'!B:K,8,0),"")</f>
        <v/>
      </c>
      <c r="I23" s="8" t="str">
        <f t="shared" si="7"/>
        <v/>
      </c>
      <c r="J23" s="50" t="str">
        <f t="shared" si="1"/>
        <v/>
      </c>
      <c r="K23" s="50" t="str">
        <f t="shared" si="2"/>
        <v/>
      </c>
      <c r="L23" s="9" t="str">
        <f t="shared" si="8"/>
        <v/>
      </c>
      <c r="O23" s="23" t="str">
        <f t="shared" si="11"/>
        <v/>
      </c>
      <c r="P23" s="23" t="str">
        <f t="shared" si="11"/>
        <v/>
      </c>
      <c r="Q23" s="23" t="str">
        <f t="shared" si="11"/>
        <v/>
      </c>
      <c r="R23" s="23" t="str">
        <f t="shared" si="11"/>
        <v/>
      </c>
      <c r="S23" s="23" t="str">
        <f t="shared" si="11"/>
        <v/>
      </c>
      <c r="T23" s="74" t="str">
        <f t="shared" si="3"/>
        <v/>
      </c>
    </row>
    <row r="24" spans="2:23" ht="25" customHeight="1">
      <c r="B24" s="15"/>
      <c r="D24" s="5"/>
      <c r="E24" s="5"/>
      <c r="F24" s="6" t="str">
        <f t="shared" si="10"/>
        <v/>
      </c>
      <c r="G24" s="6" t="str">
        <f t="shared" si="6"/>
        <v/>
      </c>
      <c r="H24" s="50" t="str">
        <f>_xlfn.IFNA(VLOOKUP(C:C,'Active Jobs'!B:K,8,0),"")</f>
        <v/>
      </c>
      <c r="I24" s="8" t="str">
        <f t="shared" si="7"/>
        <v/>
      </c>
      <c r="J24" s="50" t="str">
        <f t="shared" si="1"/>
        <v/>
      </c>
      <c r="K24" s="50" t="str">
        <f t="shared" si="2"/>
        <v/>
      </c>
      <c r="L24" s="9" t="str">
        <f t="shared" si="8"/>
        <v/>
      </c>
      <c r="O24" s="23" t="str">
        <f t="shared" si="11"/>
        <v/>
      </c>
      <c r="P24" s="23" t="str">
        <f t="shared" si="11"/>
        <v/>
      </c>
      <c r="Q24" s="23" t="str">
        <f t="shared" si="11"/>
        <v/>
      </c>
      <c r="R24" s="23" t="str">
        <f t="shared" si="11"/>
        <v/>
      </c>
      <c r="S24" s="23" t="str">
        <f t="shared" si="11"/>
        <v/>
      </c>
      <c r="T24" s="74" t="str">
        <f t="shared" si="3"/>
        <v/>
      </c>
    </row>
    <row r="25" spans="2:23" ht="25" customHeight="1">
      <c r="B25" s="15"/>
      <c r="D25" s="5"/>
      <c r="E25" s="5"/>
      <c r="F25" s="6" t="str">
        <f t="shared" si="10"/>
        <v/>
      </c>
      <c r="G25" s="6" t="str">
        <f t="shared" si="6"/>
        <v/>
      </c>
      <c r="H25" s="50" t="str">
        <f>_xlfn.IFNA(VLOOKUP(C:C,'Active Jobs'!B:K,8,0),"")</f>
        <v/>
      </c>
      <c r="I25" s="8" t="str">
        <f t="shared" si="7"/>
        <v/>
      </c>
      <c r="J25" s="50" t="str">
        <f t="shared" si="1"/>
        <v/>
      </c>
      <c r="K25" s="50" t="str">
        <f t="shared" si="2"/>
        <v/>
      </c>
      <c r="L25" s="9" t="str">
        <f t="shared" si="8"/>
        <v/>
      </c>
      <c r="O25" s="23" t="str">
        <f t="shared" si="11"/>
        <v/>
      </c>
      <c r="P25" s="23" t="str">
        <f t="shared" si="11"/>
        <v/>
      </c>
      <c r="Q25" s="23" t="str">
        <f t="shared" si="11"/>
        <v/>
      </c>
      <c r="R25" s="23" t="str">
        <f t="shared" si="11"/>
        <v/>
      </c>
      <c r="S25" s="23" t="str">
        <f t="shared" si="11"/>
        <v/>
      </c>
      <c r="T25" s="74" t="str">
        <f t="shared" si="3"/>
        <v/>
      </c>
    </row>
    <row r="26" spans="2:23" ht="25" customHeight="1">
      <c r="B26" s="15"/>
      <c r="D26" s="5"/>
      <c r="E26" s="5"/>
      <c r="F26" s="6" t="str">
        <f t="shared" si="10"/>
        <v/>
      </c>
      <c r="G26" s="6" t="str">
        <f t="shared" si="6"/>
        <v/>
      </c>
      <c r="H26" s="50" t="str">
        <f>_xlfn.IFNA(VLOOKUP(C:C,'Active Jobs'!B:K,8,0),"")</f>
        <v/>
      </c>
      <c r="I26" s="8" t="str">
        <f t="shared" si="7"/>
        <v/>
      </c>
      <c r="J26" s="50" t="str">
        <f t="shared" si="1"/>
        <v/>
      </c>
      <c r="K26" s="50" t="str">
        <f t="shared" si="2"/>
        <v/>
      </c>
      <c r="L26" s="9" t="str">
        <f t="shared" si="8"/>
        <v/>
      </c>
      <c r="O26" s="23" t="str">
        <f t="shared" si="11"/>
        <v/>
      </c>
      <c r="P26" s="23" t="str">
        <f t="shared" si="11"/>
        <v/>
      </c>
      <c r="Q26" s="23" t="str">
        <f t="shared" si="11"/>
        <v/>
      </c>
      <c r="R26" s="23" t="str">
        <f t="shared" si="11"/>
        <v/>
      </c>
      <c r="S26" s="23" t="str">
        <f t="shared" si="11"/>
        <v/>
      </c>
      <c r="T26" s="74" t="str">
        <f t="shared" si="3"/>
        <v/>
      </c>
    </row>
    <row r="27" spans="2:23" ht="25" customHeight="1">
      <c r="B27" s="15"/>
      <c r="D27" s="5"/>
      <c r="E27" s="5"/>
      <c r="F27" s="6" t="str">
        <f t="shared" si="10"/>
        <v/>
      </c>
      <c r="G27" s="6" t="str">
        <f t="shared" si="6"/>
        <v/>
      </c>
      <c r="H27" s="50" t="str">
        <f>_xlfn.IFNA(VLOOKUP(C:C,'Active Jobs'!B:K,8,0),"")</f>
        <v/>
      </c>
      <c r="I27" s="8" t="str">
        <f t="shared" si="7"/>
        <v/>
      </c>
      <c r="J27" s="50" t="str">
        <f t="shared" si="1"/>
        <v/>
      </c>
      <c r="K27" s="50" t="str">
        <f t="shared" si="2"/>
        <v/>
      </c>
      <c r="L27" s="9" t="str">
        <f t="shared" si="8"/>
        <v/>
      </c>
      <c r="O27" s="23" t="str">
        <f t="shared" si="11"/>
        <v/>
      </c>
      <c r="P27" s="23" t="str">
        <f t="shared" si="11"/>
        <v/>
      </c>
      <c r="Q27" s="23" t="str">
        <f t="shared" si="11"/>
        <v/>
      </c>
      <c r="R27" s="23" t="str">
        <f t="shared" si="11"/>
        <v/>
      </c>
      <c r="S27" s="23" t="str">
        <f t="shared" si="11"/>
        <v/>
      </c>
      <c r="T27" s="74" t="str">
        <f t="shared" si="3"/>
        <v/>
      </c>
    </row>
    <row r="28" spans="2:23" ht="25" customHeight="1">
      <c r="B28" s="15"/>
      <c r="D28" s="5"/>
      <c r="E28" s="5"/>
      <c r="F28" s="6" t="str">
        <f t="shared" si="10"/>
        <v/>
      </c>
      <c r="G28" s="6" t="str">
        <f t="shared" si="6"/>
        <v/>
      </c>
      <c r="H28" s="50" t="str">
        <f>_xlfn.IFNA(VLOOKUP(C:C,'Active Jobs'!B:K,8,0),"")</f>
        <v/>
      </c>
      <c r="I28" s="8" t="str">
        <f t="shared" si="7"/>
        <v/>
      </c>
      <c r="J28" s="50" t="str">
        <f t="shared" si="1"/>
        <v/>
      </c>
      <c r="K28" s="50" t="str">
        <f t="shared" si="2"/>
        <v/>
      </c>
      <c r="L28" s="9" t="str">
        <f t="shared" si="8"/>
        <v/>
      </c>
      <c r="O28" s="23" t="str">
        <f t="shared" si="11"/>
        <v/>
      </c>
      <c r="P28" s="23" t="str">
        <f t="shared" si="11"/>
        <v/>
      </c>
      <c r="Q28" s="23" t="str">
        <f t="shared" si="11"/>
        <v/>
      </c>
      <c r="R28" s="23" t="str">
        <f t="shared" si="11"/>
        <v/>
      </c>
      <c r="S28" s="23" t="str">
        <f t="shared" si="11"/>
        <v/>
      </c>
      <c r="T28" s="74" t="str">
        <f t="shared" si="3"/>
        <v/>
      </c>
    </row>
    <row r="29" spans="2:23" ht="25" customHeight="1">
      <c r="B29" s="15"/>
      <c r="D29" s="5"/>
      <c r="E29" s="5"/>
      <c r="F29" s="6" t="str">
        <f t="shared" si="10"/>
        <v/>
      </c>
      <c r="G29" s="6" t="str">
        <f t="shared" si="6"/>
        <v/>
      </c>
      <c r="H29" s="50" t="str">
        <f>_xlfn.IFNA(VLOOKUP(C:C,'Active Jobs'!B:K,8,0),"")</f>
        <v/>
      </c>
      <c r="I29" s="8" t="str">
        <f t="shared" si="7"/>
        <v/>
      </c>
      <c r="J29" s="50" t="str">
        <f t="shared" si="1"/>
        <v/>
      </c>
      <c r="K29" s="50" t="str">
        <f t="shared" si="2"/>
        <v/>
      </c>
      <c r="L29" s="9" t="str">
        <f t="shared" si="8"/>
        <v/>
      </c>
      <c r="O29" s="23" t="str">
        <f t="shared" si="11"/>
        <v/>
      </c>
      <c r="P29" s="23" t="str">
        <f t="shared" si="11"/>
        <v/>
      </c>
      <c r="Q29" s="23" t="str">
        <f t="shared" si="11"/>
        <v/>
      </c>
      <c r="R29" s="23" t="str">
        <f t="shared" si="11"/>
        <v/>
      </c>
      <c r="S29" s="23" t="str">
        <f t="shared" si="11"/>
        <v/>
      </c>
      <c r="T29" s="74" t="str">
        <f t="shared" si="3"/>
        <v/>
      </c>
    </row>
    <row r="30" spans="2:23" ht="25" customHeight="1">
      <c r="B30" s="15"/>
      <c r="D30" s="5"/>
      <c r="E30" s="5"/>
      <c r="F30" s="6" t="str">
        <f t="shared" si="10"/>
        <v/>
      </c>
      <c r="G30" s="6" t="str">
        <f t="shared" si="6"/>
        <v/>
      </c>
      <c r="H30" s="50" t="str">
        <f>_xlfn.IFNA(VLOOKUP(C:C,'Active Jobs'!B:K,8,0),"")</f>
        <v/>
      </c>
      <c r="I30" s="8" t="str">
        <f t="shared" si="7"/>
        <v/>
      </c>
      <c r="J30" s="50" t="str">
        <f t="shared" si="1"/>
        <v/>
      </c>
      <c r="K30" s="50" t="str">
        <f t="shared" si="2"/>
        <v/>
      </c>
      <c r="L30" s="9" t="str">
        <f t="shared" si="8"/>
        <v/>
      </c>
      <c r="O30" s="23" t="str">
        <f t="shared" si="11"/>
        <v/>
      </c>
      <c r="P30" s="23" t="str">
        <f t="shared" si="11"/>
        <v/>
      </c>
      <c r="Q30" s="23" t="str">
        <f t="shared" si="11"/>
        <v/>
      </c>
      <c r="R30" s="23" t="str">
        <f t="shared" si="11"/>
        <v/>
      </c>
      <c r="S30" s="23" t="str">
        <f t="shared" si="11"/>
        <v/>
      </c>
      <c r="T30" s="74" t="str">
        <f t="shared" si="3"/>
        <v/>
      </c>
    </row>
    <row r="31" spans="2:23" ht="25" customHeight="1">
      <c r="B31" s="15"/>
      <c r="D31" s="5"/>
      <c r="E31" s="5"/>
      <c r="F31" s="6" t="str">
        <f t="shared" si="10"/>
        <v/>
      </c>
      <c r="G31" s="6" t="str">
        <f t="shared" si="6"/>
        <v/>
      </c>
      <c r="H31" s="50" t="str">
        <f>_xlfn.IFNA(VLOOKUP(C:C,'Active Jobs'!B:K,8,0),"")</f>
        <v/>
      </c>
      <c r="I31" s="8" t="str">
        <f t="shared" si="7"/>
        <v/>
      </c>
      <c r="J31" s="50" t="str">
        <f t="shared" si="1"/>
        <v/>
      </c>
      <c r="K31" s="50" t="str">
        <f t="shared" si="2"/>
        <v/>
      </c>
      <c r="L31" s="9" t="str">
        <f t="shared" si="8"/>
        <v/>
      </c>
      <c r="O31" s="23" t="str">
        <f t="shared" si="11"/>
        <v/>
      </c>
      <c r="P31" s="23" t="str">
        <f t="shared" si="11"/>
        <v/>
      </c>
      <c r="Q31" s="23" t="str">
        <f t="shared" si="11"/>
        <v/>
      </c>
      <c r="R31" s="23" t="str">
        <f t="shared" si="11"/>
        <v/>
      </c>
      <c r="S31" s="23" t="str">
        <f t="shared" si="11"/>
        <v/>
      </c>
      <c r="T31" s="74" t="str">
        <f t="shared" si="3"/>
        <v/>
      </c>
    </row>
    <row r="32" spans="2:23" ht="25" customHeight="1">
      <c r="B32" s="15"/>
      <c r="D32" s="5"/>
      <c r="E32" s="5"/>
      <c r="F32" s="6" t="str">
        <f t="shared" si="10"/>
        <v/>
      </c>
      <c r="G32" s="6" t="str">
        <f t="shared" si="6"/>
        <v/>
      </c>
      <c r="H32" s="50" t="str">
        <f>_xlfn.IFNA(VLOOKUP(C:C,'Active Jobs'!B:K,8,0),"")</f>
        <v/>
      </c>
      <c r="I32" s="8" t="str">
        <f t="shared" si="7"/>
        <v/>
      </c>
      <c r="J32" s="50" t="str">
        <f t="shared" si="1"/>
        <v/>
      </c>
      <c r="K32" s="50" t="str">
        <f t="shared" si="2"/>
        <v/>
      </c>
      <c r="L32" s="9" t="str">
        <f t="shared" si="8"/>
        <v/>
      </c>
      <c r="O32" s="23" t="str">
        <f t="shared" si="11"/>
        <v/>
      </c>
      <c r="P32" s="23" t="str">
        <f t="shared" si="11"/>
        <v/>
      </c>
      <c r="Q32" s="23" t="str">
        <f t="shared" si="11"/>
        <v/>
      </c>
      <c r="R32" s="23" t="str">
        <f t="shared" si="11"/>
        <v/>
      </c>
      <c r="S32" s="23" t="str">
        <f t="shared" si="11"/>
        <v/>
      </c>
      <c r="T32" s="74" t="str">
        <f t="shared" si="3"/>
        <v/>
      </c>
    </row>
    <row r="33" spans="2:20" ht="25" customHeight="1">
      <c r="B33" s="15"/>
      <c r="D33" s="5"/>
      <c r="E33" s="5"/>
      <c r="F33" s="6" t="str">
        <f t="shared" si="10"/>
        <v/>
      </c>
      <c r="G33" s="6" t="str">
        <f t="shared" si="6"/>
        <v/>
      </c>
      <c r="H33" s="50" t="str">
        <f>_xlfn.IFNA(VLOOKUP(C:C,'Active Jobs'!B:K,8,0),"")</f>
        <v/>
      </c>
      <c r="I33" s="8" t="str">
        <f t="shared" si="7"/>
        <v/>
      </c>
      <c r="J33" s="50" t="str">
        <f t="shared" si="1"/>
        <v/>
      </c>
      <c r="K33" s="50" t="str">
        <f t="shared" si="2"/>
        <v/>
      </c>
      <c r="L33" s="9" t="str">
        <f t="shared" si="8"/>
        <v/>
      </c>
      <c r="O33" s="23" t="str">
        <f t="shared" si="11"/>
        <v/>
      </c>
      <c r="P33" s="23" t="str">
        <f t="shared" si="11"/>
        <v/>
      </c>
      <c r="Q33" s="23" t="str">
        <f t="shared" si="11"/>
        <v/>
      </c>
      <c r="R33" s="23" t="str">
        <f t="shared" si="11"/>
        <v/>
      </c>
      <c r="S33" s="23" t="str">
        <f t="shared" si="11"/>
        <v/>
      </c>
      <c r="T33" s="74" t="str">
        <f t="shared" si="3"/>
        <v/>
      </c>
    </row>
    <row r="34" spans="2:20" ht="25" customHeight="1">
      <c r="B34" s="15"/>
      <c r="D34" s="5"/>
      <c r="E34" s="5"/>
      <c r="F34" s="6" t="str">
        <f t="shared" si="10"/>
        <v/>
      </c>
      <c r="G34" s="6" t="str">
        <f t="shared" si="6"/>
        <v/>
      </c>
      <c r="H34" s="50" t="str">
        <f>_xlfn.IFNA(VLOOKUP(C:C,'Active Jobs'!B:K,8,0),"")</f>
        <v/>
      </c>
      <c r="I34" s="8" t="str">
        <f t="shared" si="7"/>
        <v/>
      </c>
      <c r="J34" s="50" t="str">
        <f t="shared" si="1"/>
        <v/>
      </c>
      <c r="K34" s="50" t="str">
        <f t="shared" si="2"/>
        <v/>
      </c>
      <c r="L34" s="9" t="str">
        <f t="shared" si="8"/>
        <v/>
      </c>
      <c r="O34" s="23" t="str">
        <f t="shared" si="11"/>
        <v/>
      </c>
      <c r="P34" s="23" t="str">
        <f t="shared" si="11"/>
        <v/>
      </c>
      <c r="Q34" s="23" t="str">
        <f t="shared" si="11"/>
        <v/>
      </c>
      <c r="R34" s="23" t="str">
        <f t="shared" si="11"/>
        <v/>
      </c>
      <c r="S34" s="23" t="str">
        <f t="shared" si="11"/>
        <v/>
      </c>
      <c r="T34" s="74" t="str">
        <f t="shared" si="3"/>
        <v/>
      </c>
    </row>
    <row r="35" spans="2:20" ht="25" customHeight="1">
      <c r="B35" s="15"/>
      <c r="D35" s="5"/>
      <c r="E35" s="5"/>
      <c r="F35" s="6" t="str">
        <f t="shared" si="10"/>
        <v/>
      </c>
      <c r="G35" s="6" t="str">
        <f t="shared" si="6"/>
        <v/>
      </c>
      <c r="H35" s="50" t="str">
        <f>_xlfn.IFNA(VLOOKUP(C:C,'Active Jobs'!B:K,8,0),"")</f>
        <v/>
      </c>
      <c r="I35" s="8" t="str">
        <f t="shared" si="7"/>
        <v/>
      </c>
      <c r="J35" s="50" t="str">
        <f t="shared" si="1"/>
        <v/>
      </c>
      <c r="K35" s="50" t="str">
        <f t="shared" si="2"/>
        <v/>
      </c>
      <c r="L35" s="9" t="str">
        <f t="shared" si="8"/>
        <v/>
      </c>
      <c r="O35" s="23" t="str">
        <f t="shared" si="11"/>
        <v/>
      </c>
      <c r="P35" s="23" t="str">
        <f t="shared" si="11"/>
        <v/>
      </c>
      <c r="Q35" s="23" t="str">
        <f t="shared" si="11"/>
        <v/>
      </c>
      <c r="R35" s="23" t="str">
        <f t="shared" si="11"/>
        <v/>
      </c>
      <c r="S35" s="23" t="str">
        <f t="shared" si="11"/>
        <v/>
      </c>
      <c r="T35" s="74" t="str">
        <f t="shared" si="3"/>
        <v/>
      </c>
    </row>
    <row r="36" spans="2:20" ht="25" customHeight="1">
      <c r="B36" s="15"/>
      <c r="D36" s="5"/>
      <c r="E36" s="5"/>
      <c r="F36" s="6" t="str">
        <f t="shared" si="10"/>
        <v/>
      </c>
      <c r="G36" s="6" t="str">
        <f t="shared" si="6"/>
        <v/>
      </c>
      <c r="H36" s="50" t="str">
        <f>_xlfn.IFNA(VLOOKUP(C:C,'Active Jobs'!B:K,8,0),"")</f>
        <v/>
      </c>
      <c r="I36" s="8" t="str">
        <f t="shared" si="7"/>
        <v/>
      </c>
      <c r="J36" s="50" t="str">
        <f t="shared" si="1"/>
        <v/>
      </c>
      <c r="K36" s="50" t="str">
        <f t="shared" si="2"/>
        <v/>
      </c>
      <c r="L36" s="9" t="str">
        <f t="shared" si="8"/>
        <v/>
      </c>
      <c r="O36" s="23" t="str">
        <f t="shared" si="11"/>
        <v/>
      </c>
      <c r="P36" s="23" t="str">
        <f t="shared" si="11"/>
        <v/>
      </c>
      <c r="Q36" s="23" t="str">
        <f t="shared" si="11"/>
        <v/>
      </c>
      <c r="R36" s="23" t="str">
        <f t="shared" si="11"/>
        <v/>
      </c>
      <c r="S36" s="23" t="str">
        <f t="shared" si="11"/>
        <v/>
      </c>
      <c r="T36" s="74" t="str">
        <f t="shared" si="3"/>
        <v/>
      </c>
    </row>
    <row r="37" spans="2:20" ht="25" customHeight="1">
      <c r="B37" s="15"/>
      <c r="D37" s="5"/>
      <c r="E37" s="5"/>
      <c r="F37" s="6" t="str">
        <f t="shared" si="10"/>
        <v/>
      </c>
      <c r="G37" s="6" t="str">
        <f t="shared" si="6"/>
        <v/>
      </c>
      <c r="H37" s="50" t="str">
        <f>_xlfn.IFNA(VLOOKUP(C:C,'Active Jobs'!B:K,8,0),"")</f>
        <v/>
      </c>
      <c r="I37" s="8" t="str">
        <f t="shared" si="7"/>
        <v/>
      </c>
      <c r="J37" s="50" t="str">
        <f t="shared" si="1"/>
        <v/>
      </c>
      <c r="K37" s="50" t="str">
        <f t="shared" si="2"/>
        <v/>
      </c>
      <c r="L37" s="9" t="str">
        <f t="shared" si="8"/>
        <v/>
      </c>
      <c r="O37" s="23" t="str">
        <f t="shared" si="11"/>
        <v/>
      </c>
      <c r="P37" s="23" t="str">
        <f t="shared" si="11"/>
        <v/>
      </c>
      <c r="Q37" s="23" t="str">
        <f t="shared" si="11"/>
        <v/>
      </c>
      <c r="R37" s="23" t="str">
        <f t="shared" si="11"/>
        <v/>
      </c>
      <c r="S37" s="23" t="str">
        <f t="shared" si="11"/>
        <v/>
      </c>
      <c r="T37" s="74" t="str">
        <f t="shared" si="3"/>
        <v/>
      </c>
    </row>
    <row r="38" spans="2:20" ht="25" customHeight="1">
      <c r="B38" s="15"/>
      <c r="D38" s="5"/>
      <c r="E38" s="5"/>
      <c r="F38" s="6" t="str">
        <f t="shared" si="10"/>
        <v/>
      </c>
      <c r="G38" s="6" t="str">
        <f t="shared" si="6"/>
        <v/>
      </c>
      <c r="H38" s="50" t="str">
        <f>_xlfn.IFNA(VLOOKUP(C:C,'Active Jobs'!B:K,8,0),"")</f>
        <v/>
      </c>
      <c r="I38" s="8" t="str">
        <f t="shared" si="7"/>
        <v/>
      </c>
      <c r="J38" s="50" t="str">
        <f t="shared" si="1"/>
        <v/>
      </c>
      <c r="K38" s="50" t="str">
        <f t="shared" si="2"/>
        <v/>
      </c>
      <c r="L38" s="9" t="str">
        <f t="shared" si="8"/>
        <v/>
      </c>
      <c r="O38" s="23" t="str">
        <f t="shared" si="11"/>
        <v/>
      </c>
      <c r="P38" s="23" t="str">
        <f t="shared" si="11"/>
        <v/>
      </c>
      <c r="Q38" s="23" t="str">
        <f t="shared" si="11"/>
        <v/>
      </c>
      <c r="R38" s="23" t="str">
        <f t="shared" si="11"/>
        <v/>
      </c>
      <c r="S38" s="23" t="str">
        <f t="shared" si="11"/>
        <v/>
      </c>
      <c r="T38" s="74" t="str">
        <f t="shared" si="3"/>
        <v/>
      </c>
    </row>
    <row r="39" spans="2:20" ht="25" customHeight="1">
      <c r="B39" s="15"/>
      <c r="D39" s="5"/>
      <c r="E39" s="5"/>
      <c r="F39" s="6" t="str">
        <f t="shared" si="10"/>
        <v/>
      </c>
      <c r="G39" s="6" t="str">
        <f t="shared" si="6"/>
        <v/>
      </c>
      <c r="H39" s="50" t="str">
        <f>_xlfn.IFNA(VLOOKUP(C:C,'Active Jobs'!B:K,8,0),"")</f>
        <v/>
      </c>
      <c r="I39" s="8" t="str">
        <f t="shared" si="7"/>
        <v/>
      </c>
      <c r="J39" s="50" t="str">
        <f t="shared" si="1"/>
        <v/>
      </c>
      <c r="K39" s="50" t="str">
        <f t="shared" si="2"/>
        <v/>
      </c>
      <c r="L39" s="9" t="str">
        <f t="shared" si="8"/>
        <v/>
      </c>
      <c r="O39" s="23" t="str">
        <f t="shared" si="11"/>
        <v/>
      </c>
      <c r="P39" s="23" t="str">
        <f t="shared" si="11"/>
        <v/>
      </c>
      <c r="Q39" s="23" t="str">
        <f t="shared" si="11"/>
        <v/>
      </c>
      <c r="R39" s="23" t="str">
        <f t="shared" si="11"/>
        <v/>
      </c>
      <c r="S39" s="23" t="str">
        <f t="shared" si="11"/>
        <v/>
      </c>
      <c r="T39" s="74" t="str">
        <f t="shared" si="3"/>
        <v/>
      </c>
    </row>
    <row r="40" spans="2:20" ht="25" customHeight="1">
      <c r="B40" s="15"/>
      <c r="D40" s="5"/>
      <c r="E40" s="5"/>
      <c r="F40" s="6" t="str">
        <f t="shared" si="10"/>
        <v/>
      </c>
      <c r="G40" s="6" t="str">
        <f t="shared" si="6"/>
        <v/>
      </c>
      <c r="H40" s="50" t="str">
        <f>_xlfn.IFNA(VLOOKUP(C:C,'Active Jobs'!B:K,8,0),"")</f>
        <v/>
      </c>
      <c r="I40" s="8" t="str">
        <f t="shared" si="7"/>
        <v/>
      </c>
      <c r="J40" s="50" t="str">
        <f t="shared" si="1"/>
        <v/>
      </c>
      <c r="K40" s="50" t="str">
        <f t="shared" si="2"/>
        <v/>
      </c>
      <c r="L40" s="9" t="str">
        <f t="shared" si="8"/>
        <v/>
      </c>
      <c r="O40" s="23" t="str">
        <f t="shared" si="11"/>
        <v/>
      </c>
      <c r="P40" s="23" t="str">
        <f t="shared" si="11"/>
        <v/>
      </c>
      <c r="Q40" s="23" t="str">
        <f t="shared" si="11"/>
        <v/>
      </c>
      <c r="R40" s="23" t="str">
        <f t="shared" si="11"/>
        <v/>
      </c>
      <c r="S40" s="23" t="str">
        <f t="shared" si="11"/>
        <v/>
      </c>
      <c r="T40" s="74" t="str">
        <f t="shared" si="3"/>
        <v/>
      </c>
    </row>
    <row r="41" spans="2:20" ht="25" customHeight="1">
      <c r="B41" s="15"/>
      <c r="D41" s="5"/>
      <c r="E41" s="5"/>
      <c r="F41" s="6" t="str">
        <f t="shared" si="10"/>
        <v/>
      </c>
      <c r="G41" s="6" t="str">
        <f t="shared" si="6"/>
        <v/>
      </c>
      <c r="H41" s="50" t="str">
        <f>_xlfn.IFNA(VLOOKUP(C:C,'Active Jobs'!B:K,8,0),"")</f>
        <v/>
      </c>
      <c r="I41" s="8" t="str">
        <f t="shared" si="7"/>
        <v/>
      </c>
      <c r="J41" s="50" t="str">
        <f t="shared" si="1"/>
        <v/>
      </c>
      <c r="K41" s="50" t="str">
        <f t="shared" si="2"/>
        <v/>
      </c>
      <c r="L41" s="9" t="str">
        <f t="shared" si="8"/>
        <v/>
      </c>
      <c r="O41" s="23" t="str">
        <f t="shared" si="11"/>
        <v/>
      </c>
      <c r="P41" s="23" t="str">
        <f t="shared" si="11"/>
        <v/>
      </c>
      <c r="Q41" s="23" t="str">
        <f t="shared" si="11"/>
        <v/>
      </c>
      <c r="R41" s="23" t="str">
        <f t="shared" si="11"/>
        <v/>
      </c>
      <c r="S41" s="23" t="str">
        <f t="shared" si="11"/>
        <v/>
      </c>
      <c r="T41" s="74" t="str">
        <f t="shared" si="3"/>
        <v/>
      </c>
    </row>
    <row r="42" spans="2:20" ht="25" customHeight="1">
      <c r="B42" s="15"/>
      <c r="D42" s="5"/>
      <c r="E42" s="5"/>
      <c r="F42" s="6" t="str">
        <f t="shared" si="10"/>
        <v/>
      </c>
      <c r="G42" s="6" t="str">
        <f t="shared" si="6"/>
        <v/>
      </c>
      <c r="H42" s="50" t="str">
        <f>_xlfn.IFNA(VLOOKUP(C:C,'Active Jobs'!B:K,8,0),"")</f>
        <v/>
      </c>
      <c r="I42" s="8" t="str">
        <f t="shared" si="7"/>
        <v/>
      </c>
      <c r="J42" s="50" t="str">
        <f t="shared" si="1"/>
        <v/>
      </c>
      <c r="K42" s="50" t="str">
        <f t="shared" si="2"/>
        <v/>
      </c>
      <c r="L42" s="9" t="str">
        <f t="shared" si="8"/>
        <v/>
      </c>
      <c r="O42" s="23" t="str">
        <f t="shared" si="11"/>
        <v/>
      </c>
      <c r="P42" s="23" t="str">
        <f t="shared" si="11"/>
        <v/>
      </c>
      <c r="Q42" s="23" t="str">
        <f t="shared" si="11"/>
        <v/>
      </c>
      <c r="R42" s="23" t="str">
        <f t="shared" si="11"/>
        <v/>
      </c>
      <c r="S42" s="23" t="str">
        <f t="shared" si="11"/>
        <v/>
      </c>
      <c r="T42" s="74" t="str">
        <f t="shared" si="3"/>
        <v/>
      </c>
    </row>
    <row r="43" spans="2:20" ht="25" customHeight="1">
      <c r="B43" s="15"/>
      <c r="D43" s="5"/>
      <c r="E43" s="5"/>
      <c r="F43" s="6" t="str">
        <f t="shared" si="10"/>
        <v/>
      </c>
      <c r="G43" s="6" t="str">
        <f t="shared" si="6"/>
        <v/>
      </c>
      <c r="H43" s="50" t="str">
        <f>_xlfn.IFNA(VLOOKUP(C:C,'Active Jobs'!B:K,8,0),"")</f>
        <v/>
      </c>
      <c r="I43" s="8" t="str">
        <f t="shared" si="7"/>
        <v/>
      </c>
      <c r="J43" s="50" t="str">
        <f t="shared" si="1"/>
        <v/>
      </c>
      <c r="K43" s="50" t="str">
        <f t="shared" si="2"/>
        <v/>
      </c>
      <c r="L43" s="9" t="str">
        <f t="shared" si="8"/>
        <v/>
      </c>
    </row>
    <row r="44" spans="2:20" ht="25" customHeight="1">
      <c r="B44" s="15"/>
      <c r="D44" s="5"/>
      <c r="E44" s="5"/>
      <c r="F44" s="6" t="str">
        <f t="shared" si="10"/>
        <v/>
      </c>
      <c r="G44" s="6" t="str">
        <f t="shared" si="6"/>
        <v/>
      </c>
      <c r="H44" s="50" t="str">
        <f>_xlfn.IFNA(VLOOKUP(C:C,'Active Jobs'!B:K,8,0),"")</f>
        <v/>
      </c>
      <c r="I44" s="8" t="str">
        <f t="shared" si="7"/>
        <v/>
      </c>
      <c r="J44" s="50" t="str">
        <f t="shared" si="1"/>
        <v/>
      </c>
      <c r="K44" s="50" t="str">
        <f t="shared" si="2"/>
        <v/>
      </c>
      <c r="L44" s="9" t="str">
        <f t="shared" si="8"/>
        <v/>
      </c>
    </row>
    <row r="45" spans="2:20" ht="25" customHeight="1">
      <c r="B45" s="15"/>
      <c r="D45" s="5"/>
      <c r="E45" s="5"/>
      <c r="F45" s="6" t="str">
        <f t="shared" si="1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7"/>
        <v/>
      </c>
      <c r="J45" s="50" t="str">
        <f t="shared" si="1"/>
        <v/>
      </c>
      <c r="K45" s="50" t="str">
        <f t="shared" si="2"/>
        <v/>
      </c>
      <c r="L45" s="9" t="str">
        <f t="shared" si="8"/>
        <v/>
      </c>
    </row>
    <row r="46" spans="2:20" ht="25" customHeight="1">
      <c r="B46" s="86"/>
      <c r="D46" s="5"/>
      <c r="E46" s="5"/>
      <c r="F46" s="6" t="str">
        <f t="shared" si="1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7"/>
        <v/>
      </c>
      <c r="J46" s="50" t="str">
        <f t="shared" si="1"/>
        <v/>
      </c>
      <c r="K46" s="50" t="str">
        <f t="shared" si="2"/>
        <v/>
      </c>
      <c r="L46" s="9" t="str">
        <f t="shared" si="8"/>
        <v/>
      </c>
    </row>
    <row r="47" spans="2:20" ht="25" customHeight="1">
      <c r="B47" s="86"/>
      <c r="D47" s="5"/>
      <c r="E47" s="5"/>
      <c r="F47" s="6" t="str">
        <f t="shared" si="1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1"/>
        <v/>
      </c>
      <c r="K47" s="50" t="str">
        <f t="shared" si="2"/>
        <v/>
      </c>
      <c r="L47" s="9" t="str">
        <f t="shared" si="8"/>
        <v/>
      </c>
    </row>
    <row r="48" spans="2:20" ht="25" customHeight="1">
      <c r="D48" s="83"/>
      <c r="E48" s="83"/>
      <c r="F48" s="84"/>
      <c r="G48" s="6"/>
      <c r="H48" s="85">
        <f>SUBTOTAL(109,Table226121014166462[Quoted])</f>
        <v>0</v>
      </c>
      <c r="I48" s="81">
        <f>SUBTOTAL(109,Table226121014166462[Hours Payable])</f>
        <v>0</v>
      </c>
      <c r="J48" s="85">
        <f>SUBTOTAL(109,Table226121014166462[Wages (Incl. Super)])</f>
        <v>0</v>
      </c>
      <c r="K48" s="85">
        <f>SUBTOTAL(109,Table226121014166462[Profit])</f>
        <v>0</v>
      </c>
      <c r="L48" s="82" t="str">
        <f>IF(L2="","",SUBTOTAL(101,Table226121014166462[Quote/Wages]))</f>
        <v/>
      </c>
    </row>
  </sheetData>
  <conditionalFormatting sqref="B1 B49:B269">
    <cfRule type="expression" dxfId="111" priority="3">
      <formula>AND(ROW()&gt;1, E1&lt;&gt;"", COUNTIFS(A:A, $A1, B:B, $B1, F:F, "Yes")=0)</formula>
    </cfRule>
  </conditionalFormatting>
  <conditionalFormatting sqref="F1 F49:F269">
    <cfRule type="expression" dxfId="110" priority="4" stopIfTrue="1">
      <formula>AND(ROW()&gt;1, E1&lt;&gt;"", COUNTIFS(A:A, $A1, B:B, $B1, F:F, "Yes")=0)</formula>
    </cfRule>
  </conditionalFormatting>
  <conditionalFormatting sqref="B2:B45">
    <cfRule type="expression" dxfId="109" priority="1">
      <formula>AND(ROW()&gt;1, E2&lt;&gt;"", COUNTIFS(A:A, $A2, B:B, $B2, F:F, "Yes")=0)</formula>
    </cfRule>
  </conditionalFormatting>
  <conditionalFormatting sqref="F2:F47">
    <cfRule type="expression" dxfId="108" priority="2" stopIfTrue="1">
      <formula>AND(ROW()&gt;1, E2&lt;&gt;"", COUNTIFS(A:A, $A2, B:B, $B2, F:F, "Yes")=0)</formula>
    </cfRule>
  </conditionalFormatting>
  <dataValidations count="2">
    <dataValidation type="list" allowBlank="1" showErrorMessage="1" promptTitle="Select" sqref="B2:B45" xr:uid="{FE78C0E6-F9DB-B14D-9FEC-08DF9DD3C9A3}">
      <formula1>Teams</formula1>
    </dataValidation>
    <dataValidation type="list" allowBlank="1" showInputMessage="1" showErrorMessage="1" sqref="F2:F47" xr:uid="{A64F7224-577C-054D-9169-FFB216AAB594}">
      <formula1>"No, Yes"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C5E44439-AB84-CB4A-8330-3FA040C19201}">
          <x14:formula1>
            <xm:f>'Active Jobs'!$B$2:$B$154</xm:f>
          </x14:formula1>
          <xm:sqref>C2:C47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1F017-4DEC-4A2A-824A-C001678523CA}">
  <sheetPr codeName="Sheet34"/>
  <dimension ref="A1:W48"/>
  <sheetViews>
    <sheetView zoomScale="125" zoomScaleNormal="125" workbookViewId="0">
      <selection activeCell="B11" sqref="B11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e" cm="1" vm="1">
        <f t="array" aca="1" ref="O1" ca="1">IF(B2="","",TRANSPOSE(_xlfn._xlws.FILTER(_xlfn.UNIQUE(A2:A219), _xlfn.UNIQUE(A2:A219)&lt;&gt;"")))</f>
        <v>#VALUE!</v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45838</v>
      </c>
      <c r="B2" s="15" t="s">
        <v>349</v>
      </c>
      <c r="D2" s="5">
        <v>0.35416666666666669</v>
      </c>
      <c r="E2" s="5">
        <v>0.65833333333333333</v>
      </c>
      <c r="F2" s="6" t="s">
        <v>17</v>
      </c>
      <c r="G2" s="6">
        <f>IF(E2="","",IF(F2="Yes",(E2-D2)-TIME(0,30,0),E2-D2))</f>
        <v>0.28333333333333333</v>
      </c>
      <c r="H2" s="50">
        <v>720</v>
      </c>
      <c r="I2" s="8">
        <f>IF(F2="Yes",(E2-D2)*24-0.5,IF(F2="No",(E2-D2)*24,""))</f>
        <v>6.7999999999999989</v>
      </c>
      <c r="J2" s="50">
        <f t="shared" ref="J2:J47" si="0">IF(G2="","",G2*24*HourlyRate*2*(1+Super))</f>
        <v>456.28476000000001</v>
      </c>
      <c r="K2" s="50">
        <f t="shared" ref="K2:K47" si="1">IF(H2="","",IF(E2="","",IF(J2=0,0,H2-J2)))</f>
        <v>263.71523999999999</v>
      </c>
      <c r="L2" s="9">
        <f>IF(K2="","",IF(H2=0,1,J2/H2))</f>
        <v>0.6337288333333333</v>
      </c>
      <c r="M2" s="16">
        <v>2</v>
      </c>
      <c r="N2" s="41" t="str" cm="1">
        <f t="array" ref="N2:N7">IF(B2="","",_xlfn.UNIQUE(TRANSPOSE(_xlfn.TEXTSPLIT(_xlfn.TEXTJOIN(" &amp; ", TRUE, TRIM(B2:B219)), " &amp; "))))</f>
        <v>Sally Ann Kane</v>
      </c>
      <c r="O2" s="23">
        <f ca="1">IF(N2="","",ROUND(SUMIFS($I:$I,$A:$A,O$1,$B:$B,"*"&amp;$N2&amp;"*"),2))</f>
        <v>0</v>
      </c>
      <c r="P2" s="23">
        <f ca="1">IF(O2="","",ROUND(SUMIFS($I:$I,$A:$A,P$1,$B:$B,"*"&amp;$N2&amp;"*"),2))</f>
        <v>0</v>
      </c>
      <c r="Q2" s="23">
        <f ca="1">IF(P2="","",ROUND(SUMIFS($I:$I,$A:$A,Q$1,$B:$B,"*"&amp;$N2&amp;"*"),2))</f>
        <v>0</v>
      </c>
      <c r="R2" s="23">
        <f ca="1">IF(Q2="","",ROUND(SUMIFS($I:$I,$A:$A,R$1,$B:$B,"*"&amp;$N2&amp;"*"),2))</f>
        <v>0</v>
      </c>
      <c r="S2" s="23">
        <f ca="1">IF(R2="","",ROUND(SUMIFS($I:$I,$A:$A,S$1,$B:$B,"*"&amp;$N2&amp;"*"),2))</f>
        <v>0</v>
      </c>
      <c r="T2" s="10">
        <f t="shared" ref="T2:T42" ca="1" si="2">IF(N2="","",SUM(O2:S2))</f>
        <v>0</v>
      </c>
      <c r="U2" s="24"/>
      <c r="V2" s="24">
        <f t="shared" ref="V2:V18" ca="1" si="3">IF(N2="","",T2*HourlyRate)</f>
        <v>0</v>
      </c>
      <c r="W2" s="25">
        <f t="shared" ref="W2:W18" ca="1" si="4">IF(N2="","",V2*Super)</f>
        <v>0</v>
      </c>
    </row>
    <row r="3" spans="1:23" ht="25" customHeight="1">
      <c r="A3" s="37">
        <v>45831</v>
      </c>
      <c r="B3" s="15" t="s">
        <v>347</v>
      </c>
      <c r="D3" s="5">
        <v>0.35416666666666669</v>
      </c>
      <c r="E3" s="5">
        <v>0.51875000000000004</v>
      </c>
      <c r="F3" s="6" t="s">
        <v>17</v>
      </c>
      <c r="G3" s="6">
        <f t="shared" ref="G3:G47" si="5">IF(E3="","",IF(F3="Yes",(E3-D3)-TIME(0,30,0),E3-D3))</f>
        <v>0.14375000000000002</v>
      </c>
      <c r="H3" s="50">
        <v>710</v>
      </c>
      <c r="I3" s="8">
        <f t="shared" ref="I3:I47" si="6">IF(F3="Yes",(E3-D3)*24-0.5,IF(F3="No",(E3-D3)*24,""))</f>
        <v>3.4500000000000006</v>
      </c>
      <c r="J3" s="50">
        <f t="shared" si="0"/>
        <v>231.49741500000002</v>
      </c>
      <c r="K3" s="50">
        <f t="shared" si="1"/>
        <v>478.50258499999995</v>
      </c>
      <c r="L3" s="9">
        <f t="shared" ref="L3:L47" si="7">IF(K3="","",IF(H3=0,1,J3/H3))</f>
        <v>0.32605269718309859</v>
      </c>
      <c r="M3" s="16">
        <v>1</v>
      </c>
      <c r="N3" s="42" t="str">
        <v>Paige Fitchen</v>
      </c>
      <c r="O3" s="23">
        <f t="shared" ref="O3:S18" ca="1" si="8">IF(N3="","",ROUND(SUMIFS($I:$I,$A:$A,O$1,$B:$B,"*"&amp;$N3&amp;"*"),2))</f>
        <v>0</v>
      </c>
      <c r="P3" s="23">
        <f t="shared" ca="1" si="8"/>
        <v>0</v>
      </c>
      <c r="Q3" s="23">
        <f t="shared" ca="1" si="8"/>
        <v>0</v>
      </c>
      <c r="R3" s="23">
        <f t="shared" ca="1" si="8"/>
        <v>0</v>
      </c>
      <c r="S3" s="23">
        <f t="shared" ca="1" si="8"/>
        <v>0</v>
      </c>
      <c r="T3" s="10">
        <f t="shared" ca="1" si="2"/>
        <v>0</v>
      </c>
      <c r="U3" s="21"/>
      <c r="V3" s="24">
        <f t="shared" ca="1" si="3"/>
        <v>0</v>
      </c>
      <c r="W3" s="25">
        <f t="shared" ca="1" si="4"/>
        <v>0</v>
      </c>
    </row>
    <row r="4" spans="1:23" ht="25" customHeight="1">
      <c r="A4" s="37">
        <v>45831</v>
      </c>
      <c r="B4" s="15" t="s">
        <v>342</v>
      </c>
      <c r="D4" s="5">
        <v>0.35416666666666669</v>
      </c>
      <c r="E4" s="5">
        <v>0.72152777777777777</v>
      </c>
      <c r="F4" s="6" t="s">
        <v>17</v>
      </c>
      <c r="G4" s="6">
        <f t="shared" si="5"/>
        <v>0.34652777777777777</v>
      </c>
      <c r="H4" s="50">
        <v>560</v>
      </c>
      <c r="I4" s="8">
        <f t="shared" si="6"/>
        <v>8.3166666666666664</v>
      </c>
      <c r="J4" s="50">
        <f t="shared" si="0"/>
        <v>558.05415499999992</v>
      </c>
      <c r="K4" s="50">
        <f t="shared" si="1"/>
        <v>1.9458450000000767</v>
      </c>
      <c r="L4" s="9">
        <f t="shared" si="7"/>
        <v>0.99652527678571412</v>
      </c>
      <c r="M4" s="16">
        <v>3</v>
      </c>
      <c r="N4" s="42" t="str">
        <v>Georgia Howell</v>
      </c>
      <c r="O4" s="23">
        <f t="shared" ca="1" si="8"/>
        <v>0</v>
      </c>
      <c r="P4" s="23">
        <f t="shared" ca="1" si="8"/>
        <v>0</v>
      </c>
      <c r="Q4" s="23">
        <f t="shared" ca="1" si="8"/>
        <v>0</v>
      </c>
      <c r="R4" s="23">
        <f t="shared" ca="1" si="8"/>
        <v>0</v>
      </c>
      <c r="S4" s="23">
        <f t="shared" ca="1" si="8"/>
        <v>0</v>
      </c>
      <c r="T4" s="10">
        <f t="shared" ca="1" si="2"/>
        <v>0</v>
      </c>
      <c r="U4" s="21"/>
      <c r="V4" s="24">
        <f t="shared" ca="1" si="3"/>
        <v>0</v>
      </c>
      <c r="W4" s="25">
        <f t="shared" ca="1" si="4"/>
        <v>0</v>
      </c>
    </row>
    <row r="5" spans="1:23" ht="25" customHeight="1">
      <c r="A5" s="37">
        <v>45832</v>
      </c>
      <c r="B5" s="15" t="s">
        <v>349</v>
      </c>
      <c r="D5" s="5">
        <v>0.35416666666666669</v>
      </c>
      <c r="E5" s="5">
        <v>0.72499999999999998</v>
      </c>
      <c r="F5" s="6" t="s">
        <v>17</v>
      </c>
      <c r="G5" s="6">
        <f t="shared" si="5"/>
        <v>0.35</v>
      </c>
      <c r="H5" s="50">
        <v>870</v>
      </c>
      <c r="I5" s="8">
        <f t="shared" si="6"/>
        <v>8.3999999999999986</v>
      </c>
      <c r="J5" s="50">
        <f t="shared" si="0"/>
        <v>563.64587999999992</v>
      </c>
      <c r="K5" s="50">
        <f t="shared" si="1"/>
        <v>306.35412000000008</v>
      </c>
      <c r="L5" s="9">
        <f t="shared" si="7"/>
        <v>0.64786882758620679</v>
      </c>
      <c r="M5" s="16">
        <v>2</v>
      </c>
      <c r="N5" s="42" t="str">
        <v>Katie Black</v>
      </c>
      <c r="O5" s="23">
        <f t="shared" ca="1" si="8"/>
        <v>0</v>
      </c>
      <c r="P5" s="23">
        <f t="shared" ca="1" si="8"/>
        <v>0</v>
      </c>
      <c r="Q5" s="23">
        <f t="shared" ca="1" si="8"/>
        <v>0</v>
      </c>
      <c r="R5" s="23">
        <f t="shared" ca="1" si="8"/>
        <v>0</v>
      </c>
      <c r="S5" s="23">
        <f t="shared" ca="1" si="8"/>
        <v>0</v>
      </c>
      <c r="T5" s="10">
        <f t="shared" ca="1" si="2"/>
        <v>0</v>
      </c>
      <c r="U5" s="21"/>
      <c r="V5" s="24">
        <f t="shared" ca="1" si="3"/>
        <v>0</v>
      </c>
      <c r="W5" s="25">
        <f t="shared" ca="1" si="4"/>
        <v>0</v>
      </c>
    </row>
    <row r="6" spans="1:23" ht="25" customHeight="1">
      <c r="A6" s="37">
        <v>45832</v>
      </c>
      <c r="B6" s="15" t="s">
        <v>347</v>
      </c>
      <c r="D6" s="5">
        <v>0.35416666666666669</v>
      </c>
      <c r="E6" s="5">
        <v>0.74861111111111112</v>
      </c>
      <c r="F6" s="6" t="s">
        <v>17</v>
      </c>
      <c r="G6" s="6">
        <f t="shared" si="5"/>
        <v>0.37361111111111112</v>
      </c>
      <c r="H6" s="50">
        <v>745</v>
      </c>
      <c r="I6" s="8">
        <f t="shared" si="6"/>
        <v>8.9666666666666668</v>
      </c>
      <c r="J6" s="50">
        <f t="shared" si="0"/>
        <v>601.66961000000003</v>
      </c>
      <c r="K6" s="50">
        <f t="shared" si="1"/>
        <v>143.33038999999997</v>
      </c>
      <c r="L6" s="9">
        <f t="shared" si="7"/>
        <v>0.80761021476510075</v>
      </c>
      <c r="M6" s="16">
        <v>1</v>
      </c>
      <c r="N6" s="43" t="str">
        <v>Alice McLaren</v>
      </c>
      <c r="O6" s="23">
        <f t="shared" ca="1" si="8"/>
        <v>0</v>
      </c>
      <c r="P6" s="23">
        <f t="shared" ca="1" si="8"/>
        <v>0</v>
      </c>
      <c r="Q6" s="23">
        <f t="shared" ca="1" si="8"/>
        <v>0</v>
      </c>
      <c r="R6" s="23">
        <f t="shared" ca="1" si="8"/>
        <v>0</v>
      </c>
      <c r="S6" s="23">
        <f t="shared" ca="1" si="8"/>
        <v>0</v>
      </c>
      <c r="T6" s="10">
        <f t="shared" ca="1" si="2"/>
        <v>0</v>
      </c>
      <c r="U6" s="21"/>
      <c r="V6" s="24">
        <f t="shared" ca="1" si="3"/>
        <v>0</v>
      </c>
      <c r="W6" s="25">
        <f t="shared" ca="1" si="4"/>
        <v>0</v>
      </c>
    </row>
    <row r="7" spans="1:23" ht="25" customHeight="1">
      <c r="A7" s="37">
        <v>45832</v>
      </c>
      <c r="B7" s="15" t="s">
        <v>342</v>
      </c>
      <c r="D7" s="5">
        <v>0.35416666666666669</v>
      </c>
      <c r="E7" s="5">
        <v>0.58125000000000004</v>
      </c>
      <c r="F7" s="6" t="s">
        <v>17</v>
      </c>
      <c r="G7" s="6">
        <f t="shared" si="5"/>
        <v>0.20625000000000002</v>
      </c>
      <c r="H7" s="50" t="str">
        <f>_xlfn.IFNA(VLOOKUP(C:C,'Active Jobs'!B:K,8,0),"")</f>
        <v/>
      </c>
      <c r="I7" s="8">
        <f t="shared" si="6"/>
        <v>4.9500000000000011</v>
      </c>
      <c r="J7" s="50">
        <f t="shared" si="0"/>
        <v>332.14846500000004</v>
      </c>
      <c r="K7" s="50" t="str">
        <f t="shared" si="1"/>
        <v/>
      </c>
      <c r="L7" s="9" t="str">
        <f t="shared" si="7"/>
        <v/>
      </c>
      <c r="M7" s="16">
        <v>3</v>
      </c>
      <c r="N7" s="47" t="str">
        <v>Nancy Scott</v>
      </c>
      <c r="O7" s="23">
        <f t="shared" ca="1" si="8"/>
        <v>0</v>
      </c>
      <c r="P7" s="23">
        <f t="shared" ca="1" si="8"/>
        <v>0</v>
      </c>
      <c r="Q7" s="23">
        <f t="shared" ca="1" si="8"/>
        <v>0</v>
      </c>
      <c r="R7" s="23">
        <f t="shared" ca="1" si="8"/>
        <v>0</v>
      </c>
      <c r="S7" s="23">
        <f t="shared" ca="1" si="8"/>
        <v>0</v>
      </c>
      <c r="T7" s="10">
        <f t="shared" ca="1" si="2"/>
        <v>0</v>
      </c>
      <c r="U7" s="21"/>
      <c r="V7" s="24">
        <f t="shared" ca="1" si="3"/>
        <v>0</v>
      </c>
      <c r="W7" s="25">
        <f t="shared" ca="1" si="4"/>
        <v>0</v>
      </c>
    </row>
    <row r="8" spans="1:23" ht="25" customHeight="1">
      <c r="A8" s="37">
        <v>45833</v>
      </c>
      <c r="B8" s="15" t="s">
        <v>349</v>
      </c>
      <c r="C8" s="49"/>
      <c r="D8" s="5">
        <v>0.35416666666666669</v>
      </c>
      <c r="E8" s="5">
        <v>0.54166666666666663</v>
      </c>
      <c r="F8" s="6" t="s">
        <v>17</v>
      </c>
      <c r="G8" s="6">
        <f t="shared" si="5"/>
        <v>0.1666666666666666</v>
      </c>
      <c r="H8" s="50" t="str">
        <f>_xlfn.IFNA(VLOOKUP(C:C,'Active Jobs'!B:K,8,0),"")</f>
        <v/>
      </c>
      <c r="I8" s="8">
        <f t="shared" si="6"/>
        <v>3.9999999999999982</v>
      </c>
      <c r="J8" s="50">
        <f t="shared" si="0"/>
        <v>268.40279999999984</v>
      </c>
      <c r="K8" s="50" t="str">
        <f t="shared" si="1"/>
        <v/>
      </c>
      <c r="L8" s="9" t="str">
        <f t="shared" si="7"/>
        <v/>
      </c>
      <c r="M8" s="16">
        <v>2</v>
      </c>
      <c r="N8" s="41"/>
      <c r="O8" s="23" t="str">
        <f t="shared" si="8"/>
        <v/>
      </c>
      <c r="P8" s="23" t="str">
        <f t="shared" si="8"/>
        <v/>
      </c>
      <c r="Q8" s="23" t="str">
        <f t="shared" si="8"/>
        <v/>
      </c>
      <c r="R8" s="23" t="str">
        <f t="shared" si="8"/>
        <v/>
      </c>
      <c r="S8" s="23" t="str">
        <f t="shared" si="8"/>
        <v/>
      </c>
      <c r="T8" s="10" t="str">
        <f t="shared" si="2"/>
        <v/>
      </c>
      <c r="U8" s="21"/>
      <c r="V8" s="24" t="str">
        <f t="shared" si="3"/>
        <v/>
      </c>
      <c r="W8" s="25" t="str">
        <f t="shared" si="4"/>
        <v/>
      </c>
    </row>
    <row r="9" spans="1:23" ht="25" customHeight="1">
      <c r="A9" s="37">
        <v>45833</v>
      </c>
      <c r="B9" s="15" t="s">
        <v>347</v>
      </c>
      <c r="D9" s="5">
        <v>0.35416666666666669</v>
      </c>
      <c r="E9" s="5">
        <v>0.56944444444444442</v>
      </c>
      <c r="F9" s="6" t="s">
        <v>17</v>
      </c>
      <c r="G9" s="6">
        <f t="shared" si="5"/>
        <v>0.19444444444444439</v>
      </c>
      <c r="H9" s="50">
        <v>880</v>
      </c>
      <c r="I9" s="8">
        <f t="shared" si="6"/>
        <v>4.6666666666666661</v>
      </c>
      <c r="J9" s="50">
        <f t="shared" si="0"/>
        <v>313.13659999999993</v>
      </c>
      <c r="K9" s="50">
        <f t="shared" si="1"/>
        <v>566.86340000000007</v>
      </c>
      <c r="L9" s="9">
        <f t="shared" si="7"/>
        <v>0.35583704545454536</v>
      </c>
      <c r="M9" s="16">
        <v>1</v>
      </c>
      <c r="N9" s="47"/>
      <c r="O9" s="23" t="str">
        <f t="shared" si="8"/>
        <v/>
      </c>
      <c r="P9" s="23" t="str">
        <f t="shared" si="8"/>
        <v/>
      </c>
      <c r="Q9" s="23" t="str">
        <f t="shared" si="8"/>
        <v/>
      </c>
      <c r="R9" s="23" t="str">
        <f t="shared" si="8"/>
        <v/>
      </c>
      <c r="S9" s="23" t="str">
        <f t="shared" si="8"/>
        <v/>
      </c>
      <c r="T9" s="10" t="str">
        <f t="shared" si="2"/>
        <v/>
      </c>
      <c r="U9" s="21"/>
      <c r="V9" s="24" t="str">
        <f t="shared" si="3"/>
        <v/>
      </c>
      <c r="W9" s="25" t="str">
        <f t="shared" si="4"/>
        <v/>
      </c>
    </row>
    <row r="10" spans="1:23" ht="25" customHeight="1">
      <c r="A10" s="37">
        <v>45833</v>
      </c>
      <c r="B10" s="15" t="s">
        <v>342</v>
      </c>
      <c r="D10" s="5">
        <v>0.35416666666666669</v>
      </c>
      <c r="E10" s="5">
        <v>0.60763888888888884</v>
      </c>
      <c r="F10" s="6" t="s">
        <v>17</v>
      </c>
      <c r="G10" s="6">
        <f t="shared" si="5"/>
        <v>0.23263888888888881</v>
      </c>
      <c r="H10" s="50">
        <v>790</v>
      </c>
      <c r="I10" s="8">
        <f t="shared" si="6"/>
        <v>5.5833333333333321</v>
      </c>
      <c r="J10" s="50">
        <f t="shared" si="0"/>
        <v>374.64557499999984</v>
      </c>
      <c r="K10" s="50">
        <f t="shared" si="1"/>
        <v>415.35442500000016</v>
      </c>
      <c r="L10" s="9">
        <f t="shared" si="7"/>
        <v>0.47423490506329091</v>
      </c>
      <c r="M10" s="16">
        <v>3</v>
      </c>
      <c r="O10" s="23" t="str">
        <f t="shared" si="8"/>
        <v/>
      </c>
      <c r="P10" s="23" t="str">
        <f t="shared" si="8"/>
        <v/>
      </c>
      <c r="Q10" s="23" t="str">
        <f t="shared" si="8"/>
        <v/>
      </c>
      <c r="R10" s="23" t="str">
        <f t="shared" si="8"/>
        <v/>
      </c>
      <c r="S10" s="23" t="str">
        <f t="shared" si="8"/>
        <v/>
      </c>
      <c r="T10" s="10" t="str">
        <f t="shared" si="2"/>
        <v/>
      </c>
      <c r="U10" s="21"/>
      <c r="V10" s="24" t="str">
        <f t="shared" si="3"/>
        <v/>
      </c>
      <c r="W10" s="25" t="str">
        <f t="shared" si="4"/>
        <v/>
      </c>
    </row>
    <row r="11" spans="1:23" ht="25" customHeight="1">
      <c r="A11" s="38">
        <v>45834</v>
      </c>
      <c r="B11" s="15" t="s">
        <v>349</v>
      </c>
      <c r="D11" s="5">
        <v>0.35416666666666669</v>
      </c>
      <c r="E11" s="5">
        <v>0.71527777777777779</v>
      </c>
      <c r="F11" s="6" t="s">
        <v>17</v>
      </c>
      <c r="G11" s="6">
        <f t="shared" si="5"/>
        <v>0.34027777777777779</v>
      </c>
      <c r="H11" s="50">
        <v>420</v>
      </c>
      <c r="I11" s="8">
        <f t="shared" si="6"/>
        <v>8.1666666666666661</v>
      </c>
      <c r="J11" s="50">
        <f t="shared" si="0"/>
        <v>547.98905000000013</v>
      </c>
      <c r="K11" s="50">
        <f t="shared" si="1"/>
        <v>-127.98905000000013</v>
      </c>
      <c r="L11" s="9">
        <f t="shared" si="7"/>
        <v>1.3047358333333336</v>
      </c>
      <c r="M11" s="16">
        <v>2</v>
      </c>
      <c r="O11" s="23" t="str">
        <f t="shared" si="8"/>
        <v/>
      </c>
      <c r="P11" s="23" t="str">
        <f t="shared" si="8"/>
        <v/>
      </c>
      <c r="Q11" s="23" t="str">
        <f t="shared" si="8"/>
        <v/>
      </c>
      <c r="R11" s="23" t="str">
        <f t="shared" si="8"/>
        <v/>
      </c>
      <c r="S11" s="23" t="str">
        <f t="shared" si="8"/>
        <v/>
      </c>
      <c r="T11" s="10" t="str">
        <f t="shared" si="2"/>
        <v/>
      </c>
      <c r="U11" s="21"/>
      <c r="V11" s="24" t="str">
        <f t="shared" si="3"/>
        <v/>
      </c>
      <c r="W11" s="25" t="str">
        <f t="shared" si="4"/>
        <v/>
      </c>
    </row>
    <row r="12" spans="1:23" ht="25" customHeight="1">
      <c r="A12" s="38">
        <v>45834</v>
      </c>
      <c r="B12" s="15" t="s">
        <v>347</v>
      </c>
      <c r="D12" s="5">
        <v>0.35416666666666669</v>
      </c>
      <c r="E12" s="5">
        <v>0.5756944444444444</v>
      </c>
      <c r="F12" s="6" t="s">
        <v>17</v>
      </c>
      <c r="G12" s="6">
        <f t="shared" si="5"/>
        <v>0.20069444444444437</v>
      </c>
      <c r="H12" s="50">
        <v>640</v>
      </c>
      <c r="I12" s="8">
        <f t="shared" si="6"/>
        <v>4.8166666666666647</v>
      </c>
      <c r="J12" s="50">
        <f t="shared" si="0"/>
        <v>323.20170499999989</v>
      </c>
      <c r="K12" s="50">
        <f t="shared" si="1"/>
        <v>316.79829500000011</v>
      </c>
      <c r="L12" s="9">
        <f t="shared" si="7"/>
        <v>0.50500266406249983</v>
      </c>
      <c r="M12" s="16">
        <v>1</v>
      </c>
      <c r="O12" s="23" t="str">
        <f t="shared" si="8"/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2"/>
        <v/>
      </c>
      <c r="V12" s="24" t="str">
        <f t="shared" si="3"/>
        <v/>
      </c>
      <c r="W12" s="25" t="str">
        <f t="shared" si="4"/>
        <v/>
      </c>
    </row>
    <row r="13" spans="1:23" ht="25" customHeight="1">
      <c r="A13" s="38">
        <v>45834</v>
      </c>
      <c r="B13" s="15" t="s">
        <v>342</v>
      </c>
      <c r="D13" s="5">
        <v>0.35416666666666669</v>
      </c>
      <c r="E13" s="5">
        <v>0.69305555555555554</v>
      </c>
      <c r="F13" s="6" t="s">
        <v>17</v>
      </c>
      <c r="G13" s="6">
        <f t="shared" si="5"/>
        <v>0.31805555555555554</v>
      </c>
      <c r="H13" s="50">
        <v>400</v>
      </c>
      <c r="I13" s="8">
        <f t="shared" si="6"/>
        <v>7.6333333333333329</v>
      </c>
      <c r="J13" s="50">
        <f t="shared" si="0"/>
        <v>512.20200999999997</v>
      </c>
      <c r="K13" s="50">
        <f t="shared" si="1"/>
        <v>-112.20200999999997</v>
      </c>
      <c r="L13" s="9">
        <f t="shared" si="7"/>
        <v>1.2805050249999999</v>
      </c>
      <c r="M13" s="16">
        <v>3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2"/>
        <v/>
      </c>
      <c r="V13" s="24" t="str">
        <f t="shared" si="3"/>
        <v/>
      </c>
      <c r="W13" s="25" t="str">
        <f t="shared" si="4"/>
        <v/>
      </c>
    </row>
    <row r="14" spans="1:23" ht="25" customHeight="1">
      <c r="A14" s="38">
        <v>45835</v>
      </c>
      <c r="B14" s="15" t="s">
        <v>349</v>
      </c>
      <c r="D14" s="5">
        <v>0.35416666666666669</v>
      </c>
      <c r="E14" s="5">
        <v>0.66319444444444442</v>
      </c>
      <c r="F14" s="6" t="s">
        <v>17</v>
      </c>
      <c r="G14" s="6">
        <f t="shared" si="5"/>
        <v>0.28819444444444442</v>
      </c>
      <c r="H14" s="50">
        <v>615</v>
      </c>
      <c r="I14" s="8">
        <f t="shared" si="6"/>
        <v>6.9166666666666661</v>
      </c>
      <c r="J14" s="50">
        <f t="shared" si="0"/>
        <v>464.11317499999996</v>
      </c>
      <c r="K14" s="50">
        <f t="shared" si="1"/>
        <v>150.88682500000004</v>
      </c>
      <c r="L14" s="9">
        <f t="shared" si="7"/>
        <v>0.75465556910569098</v>
      </c>
      <c r="M14" s="16">
        <v>2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2"/>
        <v/>
      </c>
      <c r="V14" s="24" t="str">
        <f t="shared" si="3"/>
        <v/>
      </c>
      <c r="W14" s="25" t="str">
        <f t="shared" si="4"/>
        <v/>
      </c>
    </row>
    <row r="15" spans="1:23" ht="25" customHeight="1">
      <c r="A15" s="38">
        <v>45835</v>
      </c>
      <c r="B15" s="15" t="s">
        <v>347</v>
      </c>
      <c r="D15" s="5">
        <v>0.35416666666666669</v>
      </c>
      <c r="E15" s="5">
        <v>0.61875000000000002</v>
      </c>
      <c r="F15" s="6" t="s">
        <v>17</v>
      </c>
      <c r="G15" s="6">
        <f t="shared" si="5"/>
        <v>0.24374999999999999</v>
      </c>
      <c r="H15" s="50">
        <v>670</v>
      </c>
      <c r="I15" s="8">
        <f t="shared" si="6"/>
        <v>5.85</v>
      </c>
      <c r="J15" s="50">
        <f t="shared" si="0"/>
        <v>392.53909499999997</v>
      </c>
      <c r="K15" s="50">
        <f t="shared" si="1"/>
        <v>277.46090500000003</v>
      </c>
      <c r="L15" s="9">
        <f t="shared" si="7"/>
        <v>0.58587924626865673</v>
      </c>
      <c r="M15" s="16">
        <v>1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10" t="str">
        <f t="shared" si="2"/>
        <v/>
      </c>
      <c r="V15" s="24" t="str">
        <f t="shared" si="3"/>
        <v/>
      </c>
      <c r="W15" s="25" t="str">
        <f t="shared" si="4"/>
        <v/>
      </c>
    </row>
    <row r="16" spans="1:23" ht="25" customHeight="1">
      <c r="A16" s="38">
        <v>45835</v>
      </c>
      <c r="B16" s="15" t="s">
        <v>342</v>
      </c>
      <c r="D16" s="5">
        <v>0.35416666666666669</v>
      </c>
      <c r="E16" s="5">
        <v>0.65486111111111112</v>
      </c>
      <c r="F16" s="6" t="s">
        <v>17</v>
      </c>
      <c r="G16" s="6">
        <f t="shared" si="5"/>
        <v>0.27986111111111112</v>
      </c>
      <c r="H16" s="50">
        <v>765</v>
      </c>
      <c r="I16" s="8">
        <f t="shared" si="6"/>
        <v>6.7166666666666668</v>
      </c>
      <c r="J16" s="50">
        <f t="shared" si="0"/>
        <v>450.69303500000001</v>
      </c>
      <c r="K16" s="50">
        <f t="shared" si="1"/>
        <v>314.30696499999999</v>
      </c>
      <c r="L16" s="9">
        <f t="shared" si="7"/>
        <v>0.58914122222222221</v>
      </c>
      <c r="M16" s="16">
        <v>3</v>
      </c>
      <c r="O16" s="23" t="str">
        <f t="shared" si="8"/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10" t="str">
        <f t="shared" si="2"/>
        <v/>
      </c>
      <c r="V16" s="24" t="str">
        <f t="shared" si="3"/>
        <v/>
      </c>
      <c r="W16" s="25" t="str">
        <f t="shared" si="4"/>
        <v/>
      </c>
    </row>
    <row r="17" spans="2:23" ht="25" customHeight="1">
      <c r="B17" s="15"/>
      <c r="D17" s="5"/>
      <c r="E17" s="5"/>
      <c r="F17" s="6" t="str">
        <f t="shared" ref="F17:F47" si="9">IF(E17="","","No")</f>
        <v/>
      </c>
      <c r="G17" s="6" t="str">
        <f t="shared" si="5"/>
        <v/>
      </c>
      <c r="H17" s="50" t="str">
        <f>_xlfn.IFNA(VLOOKUP(C:C,'Active Jobs'!B:K,8,0),"")</f>
        <v/>
      </c>
      <c r="I17" s="8" t="str">
        <f t="shared" si="6"/>
        <v/>
      </c>
      <c r="J17" s="50" t="str">
        <f t="shared" si="0"/>
        <v/>
      </c>
      <c r="K17" s="50" t="str">
        <f t="shared" si="1"/>
        <v/>
      </c>
      <c r="L17" s="9" t="str">
        <f t="shared" si="7"/>
        <v/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2"/>
        <v/>
      </c>
      <c r="V17" s="24" t="str">
        <f t="shared" si="3"/>
        <v/>
      </c>
      <c r="W17" s="25" t="str">
        <f t="shared" si="4"/>
        <v/>
      </c>
    </row>
    <row r="18" spans="2:23" ht="25" customHeight="1">
      <c r="B18" s="15"/>
      <c r="D18" s="5"/>
      <c r="E18" s="5"/>
      <c r="F18" s="6" t="str">
        <f t="shared" si="9"/>
        <v/>
      </c>
      <c r="G18" s="6" t="str">
        <f t="shared" si="5"/>
        <v/>
      </c>
      <c r="H18" s="50" t="str">
        <f>_xlfn.IFNA(VLOOKUP(C:C,'Active Jobs'!B:K,8,0),"")</f>
        <v/>
      </c>
      <c r="I18" s="8" t="str">
        <f t="shared" si="6"/>
        <v/>
      </c>
      <c r="J18" s="50" t="str">
        <f t="shared" si="0"/>
        <v/>
      </c>
      <c r="K18" s="50" t="str">
        <f t="shared" si="1"/>
        <v/>
      </c>
      <c r="L18" s="9" t="str">
        <f t="shared" si="7"/>
        <v/>
      </c>
      <c r="O18" s="23" t="str">
        <f t="shared" si="8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10" t="str">
        <f t="shared" si="2"/>
        <v/>
      </c>
      <c r="V18" s="24" t="str">
        <f t="shared" si="3"/>
        <v/>
      </c>
      <c r="W18" s="25" t="str">
        <f t="shared" si="4"/>
        <v/>
      </c>
    </row>
    <row r="19" spans="2:23" ht="25" customHeight="1">
      <c r="B19" s="15"/>
      <c r="D19" s="5"/>
      <c r="E19" s="5"/>
      <c r="F19" s="6" t="str">
        <f t="shared" si="9"/>
        <v/>
      </c>
      <c r="G19" s="6" t="str">
        <f t="shared" si="5"/>
        <v/>
      </c>
      <c r="H19" s="50" t="str">
        <f>_xlfn.IFNA(VLOOKUP(C:C,'Active Jobs'!B:K,8,0),"")</f>
        <v/>
      </c>
      <c r="I19" s="8" t="str">
        <f t="shared" si="6"/>
        <v/>
      </c>
      <c r="J19" s="50" t="str">
        <f t="shared" si="0"/>
        <v/>
      </c>
      <c r="K19" s="50" t="str">
        <f t="shared" si="1"/>
        <v/>
      </c>
      <c r="L19" s="9" t="str">
        <f t="shared" si="7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2"/>
        <v/>
      </c>
    </row>
    <row r="20" spans="2:23" ht="25" customHeight="1">
      <c r="B20" s="15"/>
      <c r="D20" s="5"/>
      <c r="E20" s="5"/>
      <c r="F20" s="6" t="str">
        <f t="shared" si="9"/>
        <v/>
      </c>
      <c r="G20" s="6" t="str">
        <f t="shared" si="5"/>
        <v/>
      </c>
      <c r="H20" s="50" t="str">
        <f>_xlfn.IFNA(VLOOKUP(C:C,'Active Jobs'!B:K,8,0),"")</f>
        <v/>
      </c>
      <c r="I20" s="8" t="str">
        <f t="shared" si="6"/>
        <v/>
      </c>
      <c r="J20" s="50" t="str">
        <f t="shared" si="0"/>
        <v/>
      </c>
      <c r="K20" s="50" t="str">
        <f t="shared" si="1"/>
        <v/>
      </c>
      <c r="L20" s="9" t="str">
        <f t="shared" si="7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2"/>
        <v/>
      </c>
    </row>
    <row r="21" spans="2:23" ht="25" customHeight="1">
      <c r="B21" s="15"/>
      <c r="D21" s="5"/>
      <c r="E21" s="5"/>
      <c r="F21" s="6" t="str">
        <f t="shared" si="9"/>
        <v/>
      </c>
      <c r="G21" s="6" t="str">
        <f t="shared" si="5"/>
        <v/>
      </c>
      <c r="H21" s="50" t="str">
        <f>_xlfn.IFNA(VLOOKUP(C:C,'Active Jobs'!B:K,8,0),"")</f>
        <v/>
      </c>
      <c r="I21" s="8" t="str">
        <f t="shared" si="6"/>
        <v/>
      </c>
      <c r="J21" s="50" t="str">
        <f t="shared" si="0"/>
        <v/>
      </c>
      <c r="K21" s="50" t="str">
        <f t="shared" si="1"/>
        <v/>
      </c>
      <c r="L21" s="9" t="str">
        <f t="shared" si="7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2"/>
        <v/>
      </c>
    </row>
    <row r="22" spans="2:23" ht="25" customHeight="1">
      <c r="B22" s="15"/>
      <c r="D22" s="5"/>
      <c r="E22" s="5"/>
      <c r="F22" s="6" t="str">
        <f t="shared" si="9"/>
        <v/>
      </c>
      <c r="G22" s="6" t="str">
        <f t="shared" si="5"/>
        <v/>
      </c>
      <c r="H22" s="50" t="str">
        <f>_xlfn.IFNA(VLOOKUP(C:C,'Active Jobs'!B:K,8,0),"")</f>
        <v/>
      </c>
      <c r="I22" s="8" t="str">
        <f t="shared" si="6"/>
        <v/>
      </c>
      <c r="J22" s="50" t="str">
        <f t="shared" si="0"/>
        <v/>
      </c>
      <c r="K22" s="50" t="str">
        <f t="shared" si="1"/>
        <v/>
      </c>
      <c r="L22" s="9" t="str">
        <f t="shared" si="7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2"/>
        <v/>
      </c>
    </row>
    <row r="23" spans="2:23" ht="25" customHeight="1">
      <c r="B23" s="15"/>
      <c r="D23" s="5"/>
      <c r="E23" s="5"/>
      <c r="F23" s="6" t="str">
        <f t="shared" si="9"/>
        <v/>
      </c>
      <c r="G23" s="6" t="str">
        <f t="shared" si="5"/>
        <v/>
      </c>
      <c r="H23" s="50" t="str">
        <f>_xlfn.IFNA(VLOOKUP(C:C,'Active Jobs'!B:K,8,0),"")</f>
        <v/>
      </c>
      <c r="I23" s="8" t="str">
        <f t="shared" si="6"/>
        <v/>
      </c>
      <c r="J23" s="50" t="str">
        <f t="shared" si="0"/>
        <v/>
      </c>
      <c r="K23" s="50" t="str">
        <f t="shared" si="1"/>
        <v/>
      </c>
      <c r="L23" s="9" t="str">
        <f t="shared" si="7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2"/>
        <v/>
      </c>
    </row>
    <row r="24" spans="2:23" ht="25" customHeight="1">
      <c r="B24" s="15"/>
      <c r="D24" s="5"/>
      <c r="E24" s="5"/>
      <c r="F24" s="6" t="str">
        <f t="shared" si="9"/>
        <v/>
      </c>
      <c r="G24" s="6" t="str">
        <f t="shared" si="5"/>
        <v/>
      </c>
      <c r="H24" s="50" t="str">
        <f>_xlfn.IFNA(VLOOKUP(C:C,'Active Jobs'!B:K,8,0),"")</f>
        <v/>
      </c>
      <c r="I24" s="8" t="str">
        <f t="shared" si="6"/>
        <v/>
      </c>
      <c r="J24" s="50" t="str">
        <f t="shared" si="0"/>
        <v/>
      </c>
      <c r="K24" s="50" t="str">
        <f t="shared" si="1"/>
        <v/>
      </c>
      <c r="L24" s="9" t="str">
        <f t="shared" si="7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2"/>
        <v/>
      </c>
    </row>
    <row r="25" spans="2:23" ht="25" customHeight="1">
      <c r="B25" s="15"/>
      <c r="D25" s="5"/>
      <c r="E25" s="5"/>
      <c r="F25" s="6" t="str">
        <f t="shared" si="9"/>
        <v/>
      </c>
      <c r="G25" s="6" t="str">
        <f t="shared" si="5"/>
        <v/>
      </c>
      <c r="H25" s="50" t="str">
        <f>_xlfn.IFNA(VLOOKUP(C:C,'Active Jobs'!B:K,8,0),"")</f>
        <v/>
      </c>
      <c r="I25" s="8" t="str">
        <f t="shared" si="6"/>
        <v/>
      </c>
      <c r="J25" s="50" t="str">
        <f t="shared" si="0"/>
        <v/>
      </c>
      <c r="K25" s="50" t="str">
        <f t="shared" si="1"/>
        <v/>
      </c>
      <c r="L25" s="9" t="str">
        <f t="shared" si="7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2"/>
        <v/>
      </c>
    </row>
    <row r="26" spans="2:23" ht="25" customHeight="1">
      <c r="B26" s="15"/>
      <c r="D26" s="5"/>
      <c r="E26" s="5"/>
      <c r="F26" s="6" t="str">
        <f t="shared" si="9"/>
        <v/>
      </c>
      <c r="G26" s="6" t="str">
        <f t="shared" si="5"/>
        <v/>
      </c>
      <c r="H26" s="50" t="str">
        <f>_xlfn.IFNA(VLOOKUP(C:C,'Active Jobs'!B:K,8,0),"")</f>
        <v/>
      </c>
      <c r="I26" s="8" t="str">
        <f t="shared" si="6"/>
        <v/>
      </c>
      <c r="J26" s="50" t="str">
        <f t="shared" si="0"/>
        <v/>
      </c>
      <c r="K26" s="50" t="str">
        <f t="shared" si="1"/>
        <v/>
      </c>
      <c r="L26" s="9" t="str">
        <f t="shared" si="7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2"/>
        <v/>
      </c>
    </row>
    <row r="27" spans="2:23" ht="25" customHeight="1">
      <c r="B27" s="15"/>
      <c r="D27" s="5"/>
      <c r="E27" s="5"/>
      <c r="F27" s="6" t="str">
        <f t="shared" si="9"/>
        <v/>
      </c>
      <c r="G27" s="6" t="str">
        <f t="shared" si="5"/>
        <v/>
      </c>
      <c r="H27" s="50" t="str">
        <f>_xlfn.IFNA(VLOOKUP(C:C,'Active Jobs'!B:K,8,0),"")</f>
        <v/>
      </c>
      <c r="I27" s="8" t="str">
        <f t="shared" si="6"/>
        <v/>
      </c>
      <c r="J27" s="50" t="str">
        <f t="shared" si="0"/>
        <v/>
      </c>
      <c r="K27" s="50" t="str">
        <f t="shared" si="1"/>
        <v/>
      </c>
      <c r="L27" s="9" t="str">
        <f t="shared" si="7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2"/>
        <v/>
      </c>
    </row>
    <row r="28" spans="2:23" ht="25" customHeight="1">
      <c r="B28" s="15"/>
      <c r="D28" s="5"/>
      <c r="E28" s="5"/>
      <c r="F28" s="6" t="str">
        <f t="shared" si="9"/>
        <v/>
      </c>
      <c r="G28" s="6" t="str">
        <f t="shared" si="5"/>
        <v/>
      </c>
      <c r="H28" s="50" t="str">
        <f>_xlfn.IFNA(VLOOKUP(C:C,'Active Jobs'!B:K,8,0),"")</f>
        <v/>
      </c>
      <c r="I28" s="8" t="str">
        <f t="shared" si="6"/>
        <v/>
      </c>
      <c r="J28" s="50" t="str">
        <f t="shared" si="0"/>
        <v/>
      </c>
      <c r="K28" s="50" t="str">
        <f t="shared" si="1"/>
        <v/>
      </c>
      <c r="L28" s="9" t="str">
        <f t="shared" si="7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2"/>
        <v/>
      </c>
    </row>
    <row r="29" spans="2:23" ht="25" customHeight="1">
      <c r="B29" s="15"/>
      <c r="D29" s="5"/>
      <c r="E29" s="5"/>
      <c r="F29" s="6" t="str">
        <f t="shared" si="9"/>
        <v/>
      </c>
      <c r="G29" s="6" t="str">
        <f t="shared" si="5"/>
        <v/>
      </c>
      <c r="H29" s="50" t="str">
        <f>_xlfn.IFNA(VLOOKUP(C:C,'Active Jobs'!B:K,8,0),"")</f>
        <v/>
      </c>
      <c r="I29" s="8" t="str">
        <f t="shared" si="6"/>
        <v/>
      </c>
      <c r="J29" s="50" t="str">
        <f t="shared" si="0"/>
        <v/>
      </c>
      <c r="K29" s="50" t="str">
        <f t="shared" si="1"/>
        <v/>
      </c>
      <c r="L29" s="9" t="str">
        <f t="shared" si="7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2"/>
        <v/>
      </c>
    </row>
    <row r="30" spans="2:23" ht="25" customHeight="1">
      <c r="B30" s="15"/>
      <c r="D30" s="5"/>
      <c r="E30" s="5"/>
      <c r="F30" s="6" t="str">
        <f t="shared" si="9"/>
        <v/>
      </c>
      <c r="G30" s="6" t="str">
        <f t="shared" si="5"/>
        <v/>
      </c>
      <c r="H30" s="50" t="str">
        <f>_xlfn.IFNA(VLOOKUP(C:C,'Active Jobs'!B:K,8,0),"")</f>
        <v/>
      </c>
      <c r="I30" s="8" t="str">
        <f t="shared" si="6"/>
        <v/>
      </c>
      <c r="J30" s="50" t="str">
        <f t="shared" si="0"/>
        <v/>
      </c>
      <c r="K30" s="50" t="str">
        <f t="shared" si="1"/>
        <v/>
      </c>
      <c r="L30" s="9" t="str">
        <f t="shared" si="7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2"/>
        <v/>
      </c>
    </row>
    <row r="31" spans="2:23" ht="25" customHeight="1">
      <c r="B31" s="15"/>
      <c r="D31" s="5"/>
      <c r="E31" s="5"/>
      <c r="F31" s="6" t="str">
        <f t="shared" si="9"/>
        <v/>
      </c>
      <c r="G31" s="6" t="str">
        <f t="shared" si="5"/>
        <v/>
      </c>
      <c r="H31" s="50" t="str">
        <f>_xlfn.IFNA(VLOOKUP(C:C,'Active Jobs'!B:K,8,0),"")</f>
        <v/>
      </c>
      <c r="I31" s="8" t="str">
        <f t="shared" si="6"/>
        <v/>
      </c>
      <c r="J31" s="50" t="str">
        <f t="shared" si="0"/>
        <v/>
      </c>
      <c r="K31" s="50" t="str">
        <f t="shared" si="1"/>
        <v/>
      </c>
      <c r="L31" s="9" t="str">
        <f t="shared" si="7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2"/>
        <v/>
      </c>
    </row>
    <row r="32" spans="2:23" ht="25" customHeight="1">
      <c r="B32" s="15"/>
      <c r="D32" s="5"/>
      <c r="E32" s="5"/>
      <c r="F32" s="6" t="str">
        <f t="shared" si="9"/>
        <v/>
      </c>
      <c r="G32" s="6" t="str">
        <f t="shared" si="5"/>
        <v/>
      </c>
      <c r="H32" s="50" t="str">
        <f>_xlfn.IFNA(VLOOKUP(C:C,'Active Jobs'!B:K,8,0),"")</f>
        <v/>
      </c>
      <c r="I32" s="8" t="str">
        <f t="shared" si="6"/>
        <v/>
      </c>
      <c r="J32" s="50" t="str">
        <f t="shared" si="0"/>
        <v/>
      </c>
      <c r="K32" s="50" t="str">
        <f t="shared" si="1"/>
        <v/>
      </c>
      <c r="L32" s="9" t="str">
        <f t="shared" si="7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2"/>
        <v/>
      </c>
    </row>
    <row r="33" spans="2:20" ht="25" customHeight="1">
      <c r="B33" s="15"/>
      <c r="D33" s="5"/>
      <c r="E33" s="5"/>
      <c r="F33" s="6" t="str">
        <f t="shared" si="9"/>
        <v/>
      </c>
      <c r="G33" s="6" t="str">
        <f t="shared" si="5"/>
        <v/>
      </c>
      <c r="H33" s="50" t="str">
        <f>_xlfn.IFNA(VLOOKUP(C:C,'Active Jobs'!B:K,8,0),"")</f>
        <v/>
      </c>
      <c r="I33" s="8" t="str">
        <f t="shared" si="6"/>
        <v/>
      </c>
      <c r="J33" s="50" t="str">
        <f t="shared" si="0"/>
        <v/>
      </c>
      <c r="K33" s="50" t="str">
        <f t="shared" si="1"/>
        <v/>
      </c>
      <c r="L33" s="9" t="str">
        <f t="shared" si="7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2"/>
        <v/>
      </c>
    </row>
    <row r="34" spans="2:20" ht="25" customHeight="1">
      <c r="B34" s="15"/>
      <c r="D34" s="5"/>
      <c r="E34" s="5"/>
      <c r="F34" s="6" t="str">
        <f t="shared" si="9"/>
        <v/>
      </c>
      <c r="G34" s="6" t="str">
        <f t="shared" si="5"/>
        <v/>
      </c>
      <c r="H34" s="50" t="str">
        <f>_xlfn.IFNA(VLOOKUP(C:C,'Active Jobs'!B:K,8,0),"")</f>
        <v/>
      </c>
      <c r="I34" s="8" t="str">
        <f t="shared" si="6"/>
        <v/>
      </c>
      <c r="J34" s="50" t="str">
        <f t="shared" si="0"/>
        <v/>
      </c>
      <c r="K34" s="50" t="str">
        <f t="shared" si="1"/>
        <v/>
      </c>
      <c r="L34" s="9" t="str">
        <f t="shared" si="7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2"/>
        <v/>
      </c>
    </row>
    <row r="35" spans="2:20" ht="25" customHeight="1">
      <c r="B35" s="15"/>
      <c r="D35" s="5"/>
      <c r="E35" s="5"/>
      <c r="F35" s="6" t="str">
        <f t="shared" si="9"/>
        <v/>
      </c>
      <c r="G35" s="6" t="str">
        <f t="shared" si="5"/>
        <v/>
      </c>
      <c r="H35" s="50" t="str">
        <f>_xlfn.IFNA(VLOOKUP(C:C,'Active Jobs'!B:K,8,0),"")</f>
        <v/>
      </c>
      <c r="I35" s="8" t="str">
        <f t="shared" si="6"/>
        <v/>
      </c>
      <c r="J35" s="50" t="str">
        <f t="shared" si="0"/>
        <v/>
      </c>
      <c r="K35" s="50" t="str">
        <f t="shared" si="1"/>
        <v/>
      </c>
      <c r="L35" s="9" t="str">
        <f t="shared" si="7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2"/>
        <v/>
      </c>
    </row>
    <row r="36" spans="2:20" ht="25" customHeight="1">
      <c r="B36" s="15"/>
      <c r="D36" s="5"/>
      <c r="E36" s="5"/>
      <c r="F36" s="6" t="str">
        <f t="shared" si="9"/>
        <v/>
      </c>
      <c r="G36" s="6" t="str">
        <f t="shared" si="5"/>
        <v/>
      </c>
      <c r="H36" s="50" t="str">
        <f>_xlfn.IFNA(VLOOKUP(C:C,'Active Jobs'!B:K,8,0),"")</f>
        <v/>
      </c>
      <c r="I36" s="8" t="str">
        <f t="shared" si="6"/>
        <v/>
      </c>
      <c r="J36" s="50" t="str">
        <f t="shared" si="0"/>
        <v/>
      </c>
      <c r="K36" s="50" t="str">
        <f t="shared" si="1"/>
        <v/>
      </c>
      <c r="L36" s="9" t="str">
        <f t="shared" si="7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2"/>
        <v/>
      </c>
    </row>
    <row r="37" spans="2:20" ht="25" customHeight="1">
      <c r="B37" s="15"/>
      <c r="D37" s="5"/>
      <c r="E37" s="5"/>
      <c r="F37" s="6" t="str">
        <f t="shared" si="9"/>
        <v/>
      </c>
      <c r="G37" s="6" t="str">
        <f t="shared" si="5"/>
        <v/>
      </c>
      <c r="H37" s="50" t="str">
        <f>_xlfn.IFNA(VLOOKUP(C:C,'Active Jobs'!B:K,8,0),"")</f>
        <v/>
      </c>
      <c r="I37" s="8" t="str">
        <f t="shared" si="6"/>
        <v/>
      </c>
      <c r="J37" s="50" t="str">
        <f t="shared" si="0"/>
        <v/>
      </c>
      <c r="K37" s="50" t="str">
        <f t="shared" si="1"/>
        <v/>
      </c>
      <c r="L37" s="9" t="str">
        <f t="shared" si="7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2"/>
        <v/>
      </c>
    </row>
    <row r="38" spans="2:20" ht="25" customHeight="1">
      <c r="B38" s="15"/>
      <c r="D38" s="5"/>
      <c r="E38" s="5"/>
      <c r="F38" s="6" t="str">
        <f t="shared" si="9"/>
        <v/>
      </c>
      <c r="G38" s="6" t="str">
        <f t="shared" si="5"/>
        <v/>
      </c>
      <c r="H38" s="50" t="str">
        <f>_xlfn.IFNA(VLOOKUP(C:C,'Active Jobs'!B:K,8,0),"")</f>
        <v/>
      </c>
      <c r="I38" s="8" t="str">
        <f t="shared" si="6"/>
        <v/>
      </c>
      <c r="J38" s="50" t="str">
        <f t="shared" si="0"/>
        <v/>
      </c>
      <c r="K38" s="50" t="str">
        <f t="shared" si="1"/>
        <v/>
      </c>
      <c r="L38" s="9" t="str">
        <f t="shared" si="7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2"/>
        <v/>
      </c>
    </row>
    <row r="39" spans="2:20" ht="25" customHeight="1">
      <c r="B39" s="15"/>
      <c r="D39" s="5"/>
      <c r="E39" s="5"/>
      <c r="F39" s="6" t="str">
        <f t="shared" si="9"/>
        <v/>
      </c>
      <c r="G39" s="6" t="str">
        <f t="shared" si="5"/>
        <v/>
      </c>
      <c r="H39" s="50" t="str">
        <f>_xlfn.IFNA(VLOOKUP(C:C,'Active Jobs'!B:K,8,0),"")</f>
        <v/>
      </c>
      <c r="I39" s="8" t="str">
        <f t="shared" si="6"/>
        <v/>
      </c>
      <c r="J39" s="50" t="str">
        <f t="shared" si="0"/>
        <v/>
      </c>
      <c r="K39" s="50" t="str">
        <f t="shared" si="1"/>
        <v/>
      </c>
      <c r="L39" s="9" t="str">
        <f t="shared" si="7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2"/>
        <v/>
      </c>
    </row>
    <row r="40" spans="2:20" ht="25" customHeight="1">
      <c r="B40" s="15"/>
      <c r="D40" s="5"/>
      <c r="E40" s="5"/>
      <c r="F40" s="6" t="str">
        <f t="shared" si="9"/>
        <v/>
      </c>
      <c r="G40" s="6" t="str">
        <f t="shared" si="5"/>
        <v/>
      </c>
      <c r="H40" s="50" t="str">
        <f>_xlfn.IFNA(VLOOKUP(C:C,'Active Jobs'!B:K,8,0),"")</f>
        <v/>
      </c>
      <c r="I40" s="8" t="str">
        <f t="shared" si="6"/>
        <v/>
      </c>
      <c r="J40" s="50" t="str">
        <f t="shared" si="0"/>
        <v/>
      </c>
      <c r="K40" s="50" t="str">
        <f t="shared" si="1"/>
        <v/>
      </c>
      <c r="L40" s="9" t="str">
        <f t="shared" si="7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2"/>
        <v/>
      </c>
    </row>
    <row r="41" spans="2:20" ht="25" customHeight="1">
      <c r="B41" s="15"/>
      <c r="D41" s="5"/>
      <c r="E41" s="5"/>
      <c r="F41" s="6" t="str">
        <f t="shared" si="9"/>
        <v/>
      </c>
      <c r="G41" s="6" t="str">
        <f t="shared" si="5"/>
        <v/>
      </c>
      <c r="H41" s="50" t="str">
        <f>_xlfn.IFNA(VLOOKUP(C:C,'Active Jobs'!B:K,8,0),"")</f>
        <v/>
      </c>
      <c r="I41" s="8" t="str">
        <f t="shared" si="6"/>
        <v/>
      </c>
      <c r="J41" s="50" t="str">
        <f t="shared" si="0"/>
        <v/>
      </c>
      <c r="K41" s="50" t="str">
        <f t="shared" si="1"/>
        <v/>
      </c>
      <c r="L41" s="9" t="str">
        <f t="shared" si="7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2"/>
        <v/>
      </c>
    </row>
    <row r="42" spans="2:20" ht="25" customHeight="1">
      <c r="B42" s="15"/>
      <c r="D42" s="5"/>
      <c r="E42" s="5"/>
      <c r="F42" s="6" t="str">
        <f t="shared" si="9"/>
        <v/>
      </c>
      <c r="G42" s="6" t="str">
        <f t="shared" si="5"/>
        <v/>
      </c>
      <c r="H42" s="50" t="str">
        <f>_xlfn.IFNA(VLOOKUP(C:C,'Active Jobs'!B:K,8,0),"")</f>
        <v/>
      </c>
      <c r="I42" s="8" t="str">
        <f t="shared" si="6"/>
        <v/>
      </c>
      <c r="J42" s="50" t="str">
        <f t="shared" si="0"/>
        <v/>
      </c>
      <c r="K42" s="50" t="str">
        <f t="shared" si="1"/>
        <v/>
      </c>
      <c r="L42" s="9" t="str">
        <f t="shared" si="7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2"/>
        <v/>
      </c>
    </row>
    <row r="43" spans="2:20" ht="25" customHeight="1">
      <c r="B43" s="15"/>
      <c r="D43" s="5"/>
      <c r="E43" s="5"/>
      <c r="F43" s="6" t="str">
        <f t="shared" si="9"/>
        <v/>
      </c>
      <c r="G43" s="6" t="str">
        <f t="shared" si="5"/>
        <v/>
      </c>
      <c r="H43" s="50" t="str">
        <f>_xlfn.IFNA(VLOOKUP(C:C,'Active Jobs'!B:K,8,0),"")</f>
        <v/>
      </c>
      <c r="I43" s="8" t="str">
        <f t="shared" si="6"/>
        <v/>
      </c>
      <c r="J43" s="50" t="str">
        <f t="shared" si="0"/>
        <v/>
      </c>
      <c r="K43" s="50" t="str">
        <f t="shared" si="1"/>
        <v/>
      </c>
      <c r="L43" s="9" t="str">
        <f t="shared" si="7"/>
        <v/>
      </c>
    </row>
    <row r="44" spans="2:20" ht="25" customHeight="1">
      <c r="B44" s="15"/>
      <c r="D44" s="5"/>
      <c r="E44" s="5"/>
      <c r="F44" s="6" t="str">
        <f t="shared" si="9"/>
        <v/>
      </c>
      <c r="G44" s="6" t="str">
        <f t="shared" si="5"/>
        <v/>
      </c>
      <c r="H44" s="50" t="str">
        <f>_xlfn.IFNA(VLOOKUP(C:C,'Active Jobs'!B:K,8,0),"")</f>
        <v/>
      </c>
      <c r="I44" s="8" t="str">
        <f t="shared" si="6"/>
        <v/>
      </c>
      <c r="J44" s="50" t="str">
        <f t="shared" si="0"/>
        <v/>
      </c>
      <c r="K44" s="50" t="str">
        <f t="shared" si="1"/>
        <v/>
      </c>
      <c r="L44" s="9" t="str">
        <f t="shared" si="7"/>
        <v/>
      </c>
    </row>
    <row r="45" spans="2:20" ht="25" customHeight="1">
      <c r="B45" s="15"/>
      <c r="D45" s="5"/>
      <c r="E45" s="5"/>
      <c r="F45" s="6" t="str">
        <f t="shared" si="9"/>
        <v/>
      </c>
      <c r="G45" s="6" t="str">
        <f t="shared" si="5"/>
        <v/>
      </c>
      <c r="H45" s="50" t="str">
        <f>_xlfn.IFNA(VLOOKUP(C:C,'Active Jobs'!B:K,8,0),"")</f>
        <v/>
      </c>
      <c r="I45" s="8" t="str">
        <f t="shared" si="6"/>
        <v/>
      </c>
      <c r="J45" s="50" t="str">
        <f t="shared" si="0"/>
        <v/>
      </c>
      <c r="K45" s="50" t="str">
        <f t="shared" si="1"/>
        <v/>
      </c>
      <c r="L45" s="9" t="str">
        <f t="shared" si="7"/>
        <v/>
      </c>
    </row>
    <row r="46" spans="2:20" ht="25" customHeight="1">
      <c r="B46" s="86"/>
      <c r="D46" s="5"/>
      <c r="E46" s="5"/>
      <c r="F46" s="6" t="str">
        <f t="shared" si="9"/>
        <v/>
      </c>
      <c r="G46" s="6" t="str">
        <f t="shared" si="5"/>
        <v/>
      </c>
      <c r="H46" s="50" t="str">
        <f>_xlfn.IFNA(VLOOKUP(C:C,'Active Jobs'!B:K,8,0),"")</f>
        <v/>
      </c>
      <c r="I46" s="8" t="str">
        <f t="shared" si="6"/>
        <v/>
      </c>
      <c r="J46" s="50" t="str">
        <f t="shared" si="0"/>
        <v/>
      </c>
      <c r="K46" s="50" t="str">
        <f t="shared" si="1"/>
        <v/>
      </c>
      <c r="L46" s="9" t="str">
        <f t="shared" si="7"/>
        <v/>
      </c>
    </row>
    <row r="47" spans="2:20" ht="25" customHeight="1">
      <c r="B47" s="86"/>
      <c r="D47" s="5"/>
      <c r="E47" s="5"/>
      <c r="F47" s="6" t="str">
        <f t="shared" si="9"/>
        <v/>
      </c>
      <c r="G47" s="6" t="str">
        <f t="shared" si="5"/>
        <v/>
      </c>
      <c r="H47" s="50" t="str">
        <f>_xlfn.IFNA(VLOOKUP(C:C,'Active Jobs'!B:K,8,0),"")</f>
        <v/>
      </c>
      <c r="I47" s="8" t="str">
        <f t="shared" si="6"/>
        <v/>
      </c>
      <c r="J47" s="50" t="str">
        <f t="shared" si="0"/>
        <v/>
      </c>
      <c r="K47" s="50" t="str">
        <f t="shared" si="1"/>
        <v/>
      </c>
      <c r="L47" s="9" t="str">
        <f t="shared" si="7"/>
        <v/>
      </c>
    </row>
    <row r="48" spans="2:20" ht="25" customHeight="1">
      <c r="D48" s="83"/>
      <c r="E48" s="83"/>
      <c r="F48" s="84"/>
      <c r="G48" s="6"/>
      <c r="H48" s="85">
        <f>SUBTOTAL(109,Table2261210141664[Quoted])</f>
        <v>8785</v>
      </c>
      <c r="I48" s="81">
        <f>SUBTOTAL(109,Table2261210141664[Hours Payable])</f>
        <v>95.233333333333334</v>
      </c>
      <c r="J48" s="85">
        <f>SUBTOTAL(109,Table2261210141664[Wages (Incl. Super)])</f>
        <v>6390.2233299999989</v>
      </c>
      <c r="K48" s="85">
        <f>SUBTOTAL(109,Table2261210141664[Profit])</f>
        <v>2995.3279350000003</v>
      </c>
      <c r="L48" s="82">
        <f>IF(L2="","",SUBTOTAL(101,Table2261210141664[Quote/Wages]))</f>
        <v>0.7124444123202841</v>
      </c>
    </row>
  </sheetData>
  <conditionalFormatting sqref="B1 B49:B269">
    <cfRule type="expression" dxfId="107" priority="3">
      <formula>AND(ROW()&gt;1, E1&lt;&gt;"", COUNTIFS(A:A, $A1, B:B, $B1, F:F, "Yes")=0)</formula>
    </cfRule>
  </conditionalFormatting>
  <conditionalFormatting sqref="F1 F49:F269">
    <cfRule type="expression" dxfId="106" priority="4" stopIfTrue="1">
      <formula>AND(ROW()&gt;1, E1&lt;&gt;"", COUNTIFS(A:A, $A1, B:B, $B1, F:F, "Yes")=0)</formula>
    </cfRule>
  </conditionalFormatting>
  <conditionalFormatting sqref="B2:B45">
    <cfRule type="expression" dxfId="105" priority="1">
      <formula>AND(ROW()&gt;1, E2&lt;&gt;"", COUNTIFS(A:A, $A2, B:B, $B2, F:F, "Yes")=0)</formula>
    </cfRule>
  </conditionalFormatting>
  <conditionalFormatting sqref="F2:F47">
    <cfRule type="expression" dxfId="104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7F636FAC-1B82-443A-BEAA-02BC7B179700}">
      <formula1>"No, Yes"</formula1>
    </dataValidation>
    <dataValidation type="list" allowBlank="1" showErrorMessage="1" promptTitle="Select" sqref="B2:B45" xr:uid="{2DA0F585-6524-44BC-86DF-045EBE1AF2D9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78F22271-9288-414A-95C9-397B2B98A548}">
          <x14:formula1>
            <xm:f>'Active Jobs'!$B$2:$B$154</xm:f>
          </x14:formula1>
          <xm:sqref>C2:C47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C4B26-9D07-46D9-A767-55717A8E0F09}">
  <sheetPr codeName="Sheet1"/>
  <dimension ref="A1:W48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45831</v>
      </c>
      <c r="P1" s="63">
        <v>45832</v>
      </c>
      <c r="Q1" s="63">
        <v>45833</v>
      </c>
      <c r="R1" s="63">
        <v>45834</v>
      </c>
      <c r="S1" s="63">
        <v>45835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45831</v>
      </c>
      <c r="B2" s="15" t="s">
        <v>349</v>
      </c>
      <c r="D2" s="5">
        <v>0.35416666666666669</v>
      </c>
      <c r="E2" s="5">
        <v>0.73611111111111116</v>
      </c>
      <c r="F2" s="6" t="s">
        <v>17</v>
      </c>
      <c r="G2" s="6">
        <f>IF(E2="","",IF(F2="Yes",(E2-D2)-TIME(0,30,0),E2-D2))</f>
        <v>0.36111111111111116</v>
      </c>
      <c r="H2" s="50">
        <v>895</v>
      </c>
      <c r="I2" s="8">
        <f>IF(F2="Yes",(E2-D2)*24-0.5,IF(F2="No",(E2-D2)*24,""))</f>
        <v>8.6666666666666679</v>
      </c>
      <c r="J2" s="50">
        <f t="shared" ref="J2:J47" si="0">IF(G2="","",G2*24*HourlyRate*2*(1+Super))</f>
        <v>581.53940000000011</v>
      </c>
      <c r="K2" s="50">
        <f t="shared" ref="K2:K47" si="1">IF(H2="","",IF(E2="","",IF(J2=0,0,H2-J2)))</f>
        <v>313.46059999999989</v>
      </c>
      <c r="L2" s="9">
        <f>IF(K2="","",IF(H2=0,1,J2/H2))</f>
        <v>0.64976469273743032</v>
      </c>
      <c r="M2" s="16">
        <v>2</v>
      </c>
      <c r="N2" s="41" t="str" cm="1">
        <f t="array" ref="N2:N7">IF(B2="","",_xlfn.UNIQUE(TRANSPOSE(_xlfn.TEXTSPLIT(_xlfn.TEXTJOIN(" &amp; ", TRUE, TRIM(B2:B219)), " &amp; "))))</f>
        <v>Sally Ann Kane</v>
      </c>
      <c r="O2" s="23">
        <f>IF(N2="","",ROUND(SUMIFS($I:$I,$A:$A,O$1,$B:$B,"*"&amp;$N2&amp;"*"),2))</f>
        <v>8.67</v>
      </c>
      <c r="P2" s="23">
        <f>IF(O2="","",ROUND(SUMIFS($I:$I,$A:$A,P$1,$B:$B,"*"&amp;$N2&amp;"*"),2))</f>
        <v>8.5299999999999994</v>
      </c>
      <c r="Q2" s="23">
        <f>IF(P2="","",ROUND(SUMIFS($I:$I,$A:$A,Q$1,$B:$B,"*"&amp;$N2&amp;"*"),2))</f>
        <v>7.9</v>
      </c>
      <c r="R2" s="23">
        <f>IF(Q2="","",ROUND(SUMIFS($I:$I,$A:$A,R$1,$B:$B,"*"&amp;$N2&amp;"*"),2))</f>
        <v>6.67</v>
      </c>
      <c r="S2" s="23">
        <f>IF(R2="","",ROUND(SUMIFS($I:$I,$A:$A,S$1,$B:$B,"*"&amp;$N2&amp;"*"),2))</f>
        <v>6.67</v>
      </c>
      <c r="T2" s="10">
        <f t="shared" ref="T2:T9" si="2">IF(N2="","",SUM(O2:S2))</f>
        <v>38.440000000000005</v>
      </c>
      <c r="U2" s="24"/>
      <c r="V2" s="24">
        <f t="shared" ref="V2:V18" si="3">IF(N2="","",T2*HourlyRate)</f>
        <v>1156.6596000000002</v>
      </c>
      <c r="W2" s="25">
        <f t="shared" ref="W2:W18" si="4">IF(N2="","",V2*Super)</f>
        <v>133.01585400000002</v>
      </c>
    </row>
    <row r="3" spans="1:23" ht="25" customHeight="1">
      <c r="A3" s="37">
        <v>45831</v>
      </c>
      <c r="B3" s="15" t="s">
        <v>347</v>
      </c>
      <c r="D3" s="5">
        <v>0.35416666666666669</v>
      </c>
      <c r="E3" s="5">
        <v>0.66180555555555554</v>
      </c>
      <c r="F3" s="6" t="s">
        <v>17</v>
      </c>
      <c r="G3" s="6">
        <f t="shared" ref="G3:G47" si="5">IF(E3="","",IF(F3="Yes",(E3-D3)-TIME(0,30,0),E3-D3))</f>
        <v>0.28680555555555554</v>
      </c>
      <c r="H3" s="50">
        <v>710</v>
      </c>
      <c r="I3" s="8">
        <f t="shared" ref="I3:I47" si="6">IF(F3="Yes",(E3-D3)*24-0.5,IF(F3="No",(E3-D3)*24,""))</f>
        <v>6.8833333333333329</v>
      </c>
      <c r="J3" s="50">
        <f t="shared" si="0"/>
        <v>461.87648499999995</v>
      </c>
      <c r="K3" s="50">
        <f t="shared" si="1"/>
        <v>248.12351500000005</v>
      </c>
      <c r="L3" s="9">
        <f t="shared" ref="L3:L47" si="7">IF(K3="","",IF(H3=0,1,J3/H3))</f>
        <v>0.65053026056338026</v>
      </c>
      <c r="M3" s="16">
        <v>1</v>
      </c>
      <c r="N3" s="42" t="str">
        <v>Paige Fitchen</v>
      </c>
      <c r="O3" s="23">
        <f t="shared" ref="O3:O5" si="8">IF(N3="","",ROUND(SUMIFS($I:$I,$A:$A,O$1,$B:$B,"*"&amp;$N3&amp;"*"),2))</f>
        <v>8.67</v>
      </c>
      <c r="P3" s="23">
        <f t="shared" ref="P3:S22" si="9">IF(O3="","",ROUND(SUMIFS($I:$I,$A:$A,P$1,$B:$B,"*"&amp;$N3&amp;"*"),2))</f>
        <v>8.5299999999999994</v>
      </c>
      <c r="Q3" s="23">
        <f t="shared" si="9"/>
        <v>7.9</v>
      </c>
      <c r="R3" s="23">
        <f t="shared" si="9"/>
        <v>6.67</v>
      </c>
      <c r="S3" s="23">
        <f t="shared" si="9"/>
        <v>6.67</v>
      </c>
      <c r="T3" s="10">
        <f t="shared" si="2"/>
        <v>38.440000000000005</v>
      </c>
      <c r="U3" s="21"/>
      <c r="V3" s="24">
        <f t="shared" si="3"/>
        <v>1156.6596000000002</v>
      </c>
      <c r="W3" s="25">
        <f t="shared" si="4"/>
        <v>133.01585400000002</v>
      </c>
    </row>
    <row r="4" spans="1:23" ht="25" customHeight="1">
      <c r="A4" s="37">
        <v>45831</v>
      </c>
      <c r="B4" s="15" t="s">
        <v>342</v>
      </c>
      <c r="D4" s="5">
        <v>0.35416666666666669</v>
      </c>
      <c r="E4" s="5">
        <v>0.6020833333333333</v>
      </c>
      <c r="F4" s="6" t="s">
        <v>17</v>
      </c>
      <c r="G4" s="6">
        <f t="shared" si="5"/>
        <v>0.22708333333333328</v>
      </c>
      <c r="H4" s="50">
        <v>560</v>
      </c>
      <c r="I4" s="8">
        <f t="shared" si="6"/>
        <v>5.4499999999999993</v>
      </c>
      <c r="J4" s="50">
        <f t="shared" si="0"/>
        <v>365.69881499999985</v>
      </c>
      <c r="K4" s="50">
        <f t="shared" si="1"/>
        <v>194.30118500000015</v>
      </c>
      <c r="L4" s="9">
        <f t="shared" si="7"/>
        <v>0.65303359821428542</v>
      </c>
      <c r="M4" s="16">
        <v>3</v>
      </c>
      <c r="N4" s="42" t="str">
        <v>Georgia Howell</v>
      </c>
      <c r="O4" s="23">
        <f t="shared" si="8"/>
        <v>6.88</v>
      </c>
      <c r="P4" s="23">
        <f t="shared" si="9"/>
        <v>6.58</v>
      </c>
      <c r="Q4" s="23">
        <f t="shared" si="9"/>
        <v>7.5</v>
      </c>
      <c r="R4" s="23">
        <f t="shared" si="9"/>
        <v>6.25</v>
      </c>
      <c r="S4" s="23">
        <f t="shared" si="9"/>
        <v>6.67</v>
      </c>
      <c r="T4" s="10">
        <f t="shared" si="2"/>
        <v>33.880000000000003</v>
      </c>
      <c r="U4" s="21"/>
      <c r="V4" s="24">
        <f t="shared" si="3"/>
        <v>1019.4492</v>
      </c>
      <c r="W4" s="25">
        <f t="shared" si="4"/>
        <v>117.23665800000001</v>
      </c>
    </row>
    <row r="5" spans="1:23" ht="25" customHeight="1">
      <c r="A5" s="37">
        <v>45832</v>
      </c>
      <c r="B5" s="15" t="s">
        <v>349</v>
      </c>
      <c r="D5" s="5">
        <v>0.35416666666666669</v>
      </c>
      <c r="E5" s="5">
        <v>0.73055555555555551</v>
      </c>
      <c r="F5" s="6" t="s">
        <v>17</v>
      </c>
      <c r="G5" s="6">
        <f t="shared" si="5"/>
        <v>0.35555555555555551</v>
      </c>
      <c r="H5" s="50">
        <v>870</v>
      </c>
      <c r="I5" s="8">
        <f t="shared" si="6"/>
        <v>8.5333333333333314</v>
      </c>
      <c r="J5" s="50">
        <f t="shared" si="0"/>
        <v>572.59263999999985</v>
      </c>
      <c r="K5" s="50">
        <f t="shared" si="1"/>
        <v>297.40736000000015</v>
      </c>
      <c r="L5" s="9">
        <f t="shared" si="7"/>
        <v>0.65815245977011472</v>
      </c>
      <c r="M5" s="16">
        <v>2</v>
      </c>
      <c r="N5" s="42" t="str">
        <v>Katie Black</v>
      </c>
      <c r="O5" s="23">
        <f t="shared" si="8"/>
        <v>6.88</v>
      </c>
      <c r="P5" s="23">
        <f t="shared" si="9"/>
        <v>6.58</v>
      </c>
      <c r="Q5" s="23">
        <f t="shared" si="9"/>
        <v>7.5</v>
      </c>
      <c r="R5" s="23">
        <f t="shared" si="9"/>
        <v>6.25</v>
      </c>
      <c r="S5" s="23">
        <f t="shared" si="9"/>
        <v>6.67</v>
      </c>
      <c r="T5" s="10">
        <f t="shared" si="2"/>
        <v>33.880000000000003</v>
      </c>
      <c r="U5" s="21"/>
      <c r="V5" s="24">
        <f t="shared" si="3"/>
        <v>1019.4492</v>
      </c>
      <c r="W5" s="25">
        <f t="shared" si="4"/>
        <v>117.23665800000001</v>
      </c>
    </row>
    <row r="6" spans="1:23" ht="25" customHeight="1">
      <c r="A6" s="37">
        <v>45832</v>
      </c>
      <c r="B6" s="15" t="s">
        <v>347</v>
      </c>
      <c r="D6" s="5">
        <v>0.35416666666666669</v>
      </c>
      <c r="E6" s="5">
        <v>0.64930555555555558</v>
      </c>
      <c r="F6" s="6" t="s">
        <v>17</v>
      </c>
      <c r="G6" s="6">
        <f t="shared" si="5"/>
        <v>0.27430555555555558</v>
      </c>
      <c r="H6" s="50">
        <v>745</v>
      </c>
      <c r="I6" s="8">
        <f t="shared" si="6"/>
        <v>6.5833333333333339</v>
      </c>
      <c r="J6" s="50">
        <f t="shared" si="0"/>
        <v>441.74627500000008</v>
      </c>
      <c r="K6" s="50">
        <f t="shared" si="1"/>
        <v>303.25372499999992</v>
      </c>
      <c r="L6" s="9">
        <f t="shared" si="7"/>
        <v>0.59294802013422832</v>
      </c>
      <c r="M6" s="16">
        <v>1</v>
      </c>
      <c r="N6" s="43" t="str">
        <v>Alice McLaren</v>
      </c>
      <c r="O6" s="23">
        <f t="shared" ref="O6:O42" si="10">IF(N6="","",ROUND(SUMIFS($I:$I,$A:$A,O$1,$B:$B,"*"&amp;$N6&amp;"*"),2))</f>
        <v>5.45</v>
      </c>
      <c r="P6" s="23">
        <f t="shared" si="9"/>
        <v>6.22</v>
      </c>
      <c r="Q6" s="23">
        <f t="shared" si="9"/>
        <v>7.17</v>
      </c>
      <c r="R6" s="23">
        <f t="shared" si="9"/>
        <v>4.33</v>
      </c>
      <c r="S6" s="23">
        <f t="shared" si="9"/>
        <v>6.63</v>
      </c>
      <c r="T6" s="10">
        <f t="shared" si="2"/>
        <v>29.8</v>
      </c>
      <c r="U6" s="21"/>
      <c r="V6" s="24">
        <f t="shared" si="3"/>
        <v>896.68200000000002</v>
      </c>
      <c r="W6" s="25">
        <f t="shared" si="4"/>
        <v>103.11843</v>
      </c>
    </row>
    <row r="7" spans="1:23" ht="25" customHeight="1">
      <c r="A7" s="37">
        <v>45832</v>
      </c>
      <c r="B7" s="15" t="s">
        <v>342</v>
      </c>
      <c r="D7" s="5">
        <v>0.35416666666666669</v>
      </c>
      <c r="E7" s="5">
        <v>0.63402777777777775</v>
      </c>
      <c r="F7" s="6" t="s">
        <v>17</v>
      </c>
      <c r="G7" s="6">
        <f t="shared" si="5"/>
        <v>0.25902777777777775</v>
      </c>
      <c r="H7" s="50" t="str">
        <f>_xlfn.IFNA(VLOOKUP(C:C,'Active Jobs'!B:K,8,0),"")</f>
        <v/>
      </c>
      <c r="I7" s="8">
        <f t="shared" si="6"/>
        <v>6.216666666666665</v>
      </c>
      <c r="J7" s="50">
        <f t="shared" si="0"/>
        <v>417.14268499999997</v>
      </c>
      <c r="K7" s="50" t="str">
        <f t="shared" si="1"/>
        <v/>
      </c>
      <c r="L7" s="9" t="str">
        <f t="shared" si="7"/>
        <v/>
      </c>
      <c r="M7" s="16">
        <v>3</v>
      </c>
      <c r="N7" s="47" t="str">
        <v>Nancy Scott</v>
      </c>
      <c r="O7" s="23">
        <f t="shared" si="10"/>
        <v>5.45</v>
      </c>
      <c r="P7" s="23">
        <f t="shared" si="9"/>
        <v>6.22</v>
      </c>
      <c r="Q7" s="23">
        <f t="shared" si="9"/>
        <v>7.17</v>
      </c>
      <c r="R7" s="23">
        <f t="shared" si="9"/>
        <v>4.33</v>
      </c>
      <c r="S7" s="23">
        <f t="shared" si="9"/>
        <v>6.63</v>
      </c>
      <c r="T7" s="10">
        <f t="shared" si="2"/>
        <v>29.8</v>
      </c>
      <c r="U7" s="21"/>
      <c r="V7" s="24">
        <f t="shared" si="3"/>
        <v>896.68200000000002</v>
      </c>
      <c r="W7" s="25">
        <f t="shared" si="4"/>
        <v>103.11843</v>
      </c>
    </row>
    <row r="8" spans="1:23" ht="25" customHeight="1">
      <c r="A8" s="37">
        <v>45833</v>
      </c>
      <c r="B8" s="15" t="s">
        <v>349</v>
      </c>
      <c r="C8" s="49"/>
      <c r="D8" s="5">
        <v>0.35416666666666669</v>
      </c>
      <c r="E8" s="5">
        <v>0.70416666666666672</v>
      </c>
      <c r="F8" s="6" t="s">
        <v>17</v>
      </c>
      <c r="G8" s="6">
        <f t="shared" si="5"/>
        <v>0.32916666666666672</v>
      </c>
      <c r="H8" s="50" t="str">
        <f>_xlfn.IFNA(VLOOKUP(C:C,'Active Jobs'!B:K,8,0),"")</f>
        <v/>
      </c>
      <c r="I8" s="8">
        <f t="shared" si="6"/>
        <v>7.9</v>
      </c>
      <c r="J8" s="50">
        <f t="shared" si="0"/>
        <v>530.09553000000005</v>
      </c>
      <c r="K8" s="50" t="str">
        <f t="shared" si="1"/>
        <v/>
      </c>
      <c r="L8" s="9" t="str">
        <f t="shared" si="7"/>
        <v/>
      </c>
      <c r="M8" s="16">
        <v>2</v>
      </c>
      <c r="N8" s="41"/>
      <c r="O8" s="23" t="str">
        <f t="shared" si="10"/>
        <v/>
      </c>
      <c r="P8" s="23" t="str">
        <f t="shared" si="9"/>
        <v/>
      </c>
      <c r="Q8" s="23" t="str">
        <f t="shared" si="9"/>
        <v/>
      </c>
      <c r="R8" s="23" t="str">
        <f t="shared" si="9"/>
        <v/>
      </c>
      <c r="S8" s="23" t="str">
        <f t="shared" si="9"/>
        <v/>
      </c>
      <c r="T8" s="10" t="str">
        <f t="shared" si="2"/>
        <v/>
      </c>
      <c r="U8" s="21"/>
      <c r="V8" s="24" t="str">
        <f t="shared" si="3"/>
        <v/>
      </c>
      <c r="W8" s="25" t="str">
        <f t="shared" si="4"/>
        <v/>
      </c>
    </row>
    <row r="9" spans="1:23" ht="25" customHeight="1">
      <c r="A9" s="37">
        <v>45833</v>
      </c>
      <c r="B9" s="15" t="s">
        <v>347</v>
      </c>
      <c r="D9" s="5">
        <v>0.35416666666666669</v>
      </c>
      <c r="E9" s="5">
        <v>0.6875</v>
      </c>
      <c r="F9" s="6" t="s">
        <v>17</v>
      </c>
      <c r="G9" s="6">
        <f t="shared" si="5"/>
        <v>0.3125</v>
      </c>
      <c r="H9" s="50">
        <v>880</v>
      </c>
      <c r="I9" s="8">
        <f t="shared" si="6"/>
        <v>7.5</v>
      </c>
      <c r="J9" s="50">
        <f t="shared" si="0"/>
        <v>503.25525000000005</v>
      </c>
      <c r="K9" s="50">
        <f t="shared" si="1"/>
        <v>376.74474999999995</v>
      </c>
      <c r="L9" s="9">
        <f t="shared" si="7"/>
        <v>0.57188096590909099</v>
      </c>
      <c r="M9" s="16">
        <v>1</v>
      </c>
      <c r="N9" s="47"/>
      <c r="O9" s="23" t="str">
        <f t="shared" si="10"/>
        <v/>
      </c>
      <c r="P9" s="23" t="str">
        <f t="shared" si="9"/>
        <v/>
      </c>
      <c r="Q9" s="23" t="str">
        <f t="shared" si="9"/>
        <v/>
      </c>
      <c r="R9" s="23" t="str">
        <f t="shared" si="9"/>
        <v/>
      </c>
      <c r="S9" s="23" t="str">
        <f t="shared" si="9"/>
        <v/>
      </c>
      <c r="T9" s="10" t="str">
        <f t="shared" si="2"/>
        <v/>
      </c>
      <c r="U9" s="21"/>
      <c r="V9" s="24" t="str">
        <f t="shared" si="3"/>
        <v/>
      </c>
      <c r="W9" s="25" t="str">
        <f t="shared" si="4"/>
        <v/>
      </c>
    </row>
    <row r="10" spans="1:23" ht="25" customHeight="1">
      <c r="A10" s="37">
        <v>45833</v>
      </c>
      <c r="B10" s="15" t="s">
        <v>342</v>
      </c>
      <c r="D10" s="5">
        <v>0.35416666666666669</v>
      </c>
      <c r="E10" s="5">
        <v>0.67361111111111116</v>
      </c>
      <c r="F10" s="6" t="s">
        <v>17</v>
      </c>
      <c r="G10" s="6">
        <f t="shared" si="5"/>
        <v>0.29861111111111116</v>
      </c>
      <c r="H10" s="50">
        <v>790</v>
      </c>
      <c r="I10" s="8">
        <f t="shared" si="6"/>
        <v>7.1666666666666679</v>
      </c>
      <c r="J10" s="50">
        <f t="shared" si="0"/>
        <v>480.88835000000006</v>
      </c>
      <c r="K10" s="50">
        <f t="shared" si="1"/>
        <v>309.11164999999994</v>
      </c>
      <c r="L10" s="9">
        <f t="shared" si="7"/>
        <v>0.60871943037974696</v>
      </c>
      <c r="M10" s="16">
        <v>3</v>
      </c>
      <c r="O10" s="23" t="str">
        <f t="shared" si="10"/>
        <v/>
      </c>
      <c r="P10" s="23" t="str">
        <f t="shared" si="9"/>
        <v/>
      </c>
      <c r="Q10" s="23" t="str">
        <f t="shared" si="9"/>
        <v/>
      </c>
      <c r="R10" s="23" t="str">
        <f t="shared" si="9"/>
        <v/>
      </c>
      <c r="S10" s="23" t="str">
        <f t="shared" si="9"/>
        <v/>
      </c>
      <c r="T10" s="10" t="str">
        <f t="shared" ref="T10:T42" si="11">IF(N10="","",SUM(O10:S10))</f>
        <v/>
      </c>
      <c r="U10" s="21"/>
      <c r="V10" s="24" t="str">
        <f t="shared" si="3"/>
        <v/>
      </c>
      <c r="W10" s="25" t="str">
        <f t="shared" si="4"/>
        <v/>
      </c>
    </row>
    <row r="11" spans="1:23" ht="25" customHeight="1">
      <c r="A11" s="38">
        <v>45834</v>
      </c>
      <c r="B11" s="15" t="s">
        <v>349</v>
      </c>
      <c r="D11" s="5">
        <v>0.35416666666666669</v>
      </c>
      <c r="E11" s="5">
        <v>0.65277777777777779</v>
      </c>
      <c r="F11" s="6" t="s">
        <v>17</v>
      </c>
      <c r="G11" s="6">
        <f t="shared" si="5"/>
        <v>0.27777777777777779</v>
      </c>
      <c r="H11" s="50">
        <v>420</v>
      </c>
      <c r="I11" s="8">
        <f t="shared" si="6"/>
        <v>6.6666666666666661</v>
      </c>
      <c r="J11" s="50">
        <f t="shared" si="0"/>
        <v>447.33799999999997</v>
      </c>
      <c r="K11" s="50">
        <f t="shared" si="1"/>
        <v>-27.337999999999965</v>
      </c>
      <c r="L11" s="9">
        <f t="shared" si="7"/>
        <v>1.065090476190476</v>
      </c>
      <c r="M11" s="16">
        <v>2</v>
      </c>
      <c r="O11" s="23" t="str">
        <f t="shared" si="10"/>
        <v/>
      </c>
      <c r="P11" s="23" t="str">
        <f t="shared" si="9"/>
        <v/>
      </c>
      <c r="Q11" s="23" t="str">
        <f t="shared" si="9"/>
        <v/>
      </c>
      <c r="R11" s="23" t="str">
        <f t="shared" si="9"/>
        <v/>
      </c>
      <c r="S11" s="23" t="str">
        <f t="shared" si="9"/>
        <v/>
      </c>
      <c r="T11" s="10" t="str">
        <f t="shared" si="11"/>
        <v/>
      </c>
      <c r="U11" s="21"/>
      <c r="V11" s="24" t="str">
        <f t="shared" si="3"/>
        <v/>
      </c>
      <c r="W11" s="25" t="str">
        <f t="shared" si="4"/>
        <v/>
      </c>
    </row>
    <row r="12" spans="1:23" ht="25" customHeight="1">
      <c r="A12" s="38">
        <v>45834</v>
      </c>
      <c r="B12" s="15" t="s">
        <v>347</v>
      </c>
      <c r="D12" s="5">
        <v>0.35416666666666669</v>
      </c>
      <c r="E12" s="5">
        <v>0.63541666666666663</v>
      </c>
      <c r="F12" s="6" t="s">
        <v>17</v>
      </c>
      <c r="G12" s="6">
        <f t="shared" si="5"/>
        <v>0.26041666666666663</v>
      </c>
      <c r="H12" s="50">
        <v>640</v>
      </c>
      <c r="I12" s="8">
        <f t="shared" si="6"/>
        <v>6.2499999999999982</v>
      </c>
      <c r="J12" s="50">
        <f t="shared" si="0"/>
        <v>419.37937499999992</v>
      </c>
      <c r="K12" s="50">
        <f t="shared" si="1"/>
        <v>220.62062500000008</v>
      </c>
      <c r="L12" s="9">
        <f t="shared" si="7"/>
        <v>0.65528027343749984</v>
      </c>
      <c r="M12" s="16">
        <v>1</v>
      </c>
      <c r="O12" s="23" t="str">
        <f t="shared" si="10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11"/>
        <v/>
      </c>
      <c r="V12" s="24" t="str">
        <f t="shared" si="3"/>
        <v/>
      </c>
      <c r="W12" s="25" t="str">
        <f t="shared" si="4"/>
        <v/>
      </c>
    </row>
    <row r="13" spans="1:23" ht="25" customHeight="1">
      <c r="A13" s="38">
        <v>45834</v>
      </c>
      <c r="B13" s="15" t="s">
        <v>342</v>
      </c>
      <c r="D13" s="5">
        <v>0.35416666666666669</v>
      </c>
      <c r="E13" s="5">
        <v>0.55555555555555558</v>
      </c>
      <c r="F13" s="6" t="s">
        <v>17</v>
      </c>
      <c r="G13" s="6">
        <f t="shared" si="5"/>
        <v>0.18055555555555555</v>
      </c>
      <c r="H13" s="50">
        <v>400</v>
      </c>
      <c r="I13" s="8">
        <f t="shared" si="6"/>
        <v>4.3333333333333339</v>
      </c>
      <c r="J13" s="50">
        <f t="shared" si="0"/>
        <v>290.76969999999994</v>
      </c>
      <c r="K13" s="50">
        <f t="shared" si="1"/>
        <v>109.23030000000006</v>
      </c>
      <c r="L13" s="9">
        <f t="shared" si="7"/>
        <v>0.72692424999999983</v>
      </c>
      <c r="M13" s="16">
        <v>3</v>
      </c>
      <c r="O13" s="23" t="str">
        <f t="shared" si="10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11"/>
        <v/>
      </c>
      <c r="V13" s="24" t="str">
        <f t="shared" si="3"/>
        <v/>
      </c>
      <c r="W13" s="25" t="str">
        <f t="shared" si="4"/>
        <v/>
      </c>
    </row>
    <row r="14" spans="1:23" ht="25" customHeight="1">
      <c r="A14" s="38">
        <v>45835</v>
      </c>
      <c r="B14" s="15" t="s">
        <v>349</v>
      </c>
      <c r="D14" s="5">
        <v>0.35416666666666669</v>
      </c>
      <c r="E14" s="5">
        <v>0.65277777777777779</v>
      </c>
      <c r="F14" s="6" t="s">
        <v>17</v>
      </c>
      <c r="G14" s="6">
        <f t="shared" si="5"/>
        <v>0.27777777777777779</v>
      </c>
      <c r="H14" s="50">
        <v>615</v>
      </c>
      <c r="I14" s="8">
        <f t="shared" si="6"/>
        <v>6.6666666666666661</v>
      </c>
      <c r="J14" s="50">
        <f t="shared" si="0"/>
        <v>447.33799999999997</v>
      </c>
      <c r="K14" s="50">
        <f t="shared" si="1"/>
        <v>167.66200000000003</v>
      </c>
      <c r="L14" s="9">
        <f t="shared" si="7"/>
        <v>0.72737886178861788</v>
      </c>
      <c r="M14" s="16">
        <v>2</v>
      </c>
      <c r="O14" s="23" t="str">
        <f t="shared" si="10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11"/>
        <v/>
      </c>
      <c r="V14" s="24" t="str">
        <f t="shared" si="3"/>
        <v/>
      </c>
      <c r="W14" s="25" t="str">
        <f t="shared" si="4"/>
        <v/>
      </c>
    </row>
    <row r="15" spans="1:23" ht="25" customHeight="1">
      <c r="A15" s="38">
        <v>45835</v>
      </c>
      <c r="B15" s="15" t="s">
        <v>347</v>
      </c>
      <c r="D15" s="5">
        <v>0.35416666666666669</v>
      </c>
      <c r="E15" s="5">
        <v>0.65277777777777779</v>
      </c>
      <c r="F15" s="6" t="s">
        <v>17</v>
      </c>
      <c r="G15" s="6">
        <f t="shared" si="5"/>
        <v>0.27777777777777779</v>
      </c>
      <c r="H15" s="50">
        <v>670</v>
      </c>
      <c r="I15" s="8">
        <f t="shared" si="6"/>
        <v>6.6666666666666661</v>
      </c>
      <c r="J15" s="50">
        <f t="shared" si="0"/>
        <v>447.33799999999997</v>
      </c>
      <c r="K15" s="50">
        <f t="shared" si="1"/>
        <v>222.66200000000003</v>
      </c>
      <c r="L15" s="9">
        <f t="shared" si="7"/>
        <v>0.66766865671641784</v>
      </c>
      <c r="M15" s="16">
        <v>1</v>
      </c>
      <c r="O15" s="23" t="str">
        <f t="shared" si="10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11"/>
        <v/>
      </c>
      <c r="V15" s="24" t="str">
        <f t="shared" si="3"/>
        <v/>
      </c>
      <c r="W15" s="25" t="str">
        <f t="shared" si="4"/>
        <v/>
      </c>
    </row>
    <row r="16" spans="1:23" ht="25" customHeight="1">
      <c r="A16" s="38">
        <v>45835</v>
      </c>
      <c r="B16" s="15" t="s">
        <v>342</v>
      </c>
      <c r="D16" s="5">
        <v>0.35416666666666669</v>
      </c>
      <c r="E16" s="5">
        <v>0.65138888888888891</v>
      </c>
      <c r="F16" s="6" t="s">
        <v>17</v>
      </c>
      <c r="G16" s="6">
        <f t="shared" si="5"/>
        <v>0.27638888888888891</v>
      </c>
      <c r="H16" s="50">
        <v>765</v>
      </c>
      <c r="I16" s="8">
        <f t="shared" si="6"/>
        <v>6.6333333333333329</v>
      </c>
      <c r="J16" s="50">
        <f t="shared" si="0"/>
        <v>445.10131000000001</v>
      </c>
      <c r="K16" s="50">
        <f t="shared" si="1"/>
        <v>319.89868999999999</v>
      </c>
      <c r="L16" s="9">
        <f t="shared" si="7"/>
        <v>0.58183177777777784</v>
      </c>
      <c r="M16" s="16">
        <v>3</v>
      </c>
      <c r="O16" s="23" t="str">
        <f t="shared" si="10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10" t="str">
        <f t="shared" si="11"/>
        <v/>
      </c>
      <c r="V16" s="24" t="str">
        <f t="shared" si="3"/>
        <v/>
      </c>
      <c r="W16" s="25" t="str">
        <f t="shared" si="4"/>
        <v/>
      </c>
    </row>
    <row r="17" spans="2:23" ht="25" customHeight="1">
      <c r="B17" s="15"/>
      <c r="D17" s="5"/>
      <c r="E17" s="5"/>
      <c r="F17" s="6" t="str">
        <f t="shared" ref="F17:F47" si="12">IF(E17="","","No")</f>
        <v/>
      </c>
      <c r="G17" s="6" t="str">
        <f t="shared" si="5"/>
        <v/>
      </c>
      <c r="H17" s="50" t="str">
        <f>_xlfn.IFNA(VLOOKUP(C:C,'Active Jobs'!B:K,8,0),"")</f>
        <v/>
      </c>
      <c r="I17" s="8" t="str">
        <f t="shared" si="6"/>
        <v/>
      </c>
      <c r="J17" s="50" t="str">
        <f t="shared" si="0"/>
        <v/>
      </c>
      <c r="K17" s="50" t="str">
        <f t="shared" si="1"/>
        <v/>
      </c>
      <c r="L17" s="9" t="str">
        <f t="shared" si="7"/>
        <v/>
      </c>
      <c r="O17" s="23" t="str">
        <f t="shared" si="10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10" t="str">
        <f t="shared" si="11"/>
        <v/>
      </c>
      <c r="V17" s="24" t="str">
        <f t="shared" si="3"/>
        <v/>
      </c>
      <c r="W17" s="25" t="str">
        <f t="shared" si="4"/>
        <v/>
      </c>
    </row>
    <row r="18" spans="2:23" ht="25" customHeight="1">
      <c r="B18" s="15"/>
      <c r="D18" s="5"/>
      <c r="E18" s="5"/>
      <c r="F18" s="6" t="str">
        <f t="shared" si="12"/>
        <v/>
      </c>
      <c r="G18" s="6" t="str">
        <f t="shared" si="5"/>
        <v/>
      </c>
      <c r="H18" s="50" t="str">
        <f>_xlfn.IFNA(VLOOKUP(C:C,'Active Jobs'!B:K,8,0),"")</f>
        <v/>
      </c>
      <c r="I18" s="8" t="str">
        <f t="shared" si="6"/>
        <v/>
      </c>
      <c r="J18" s="50" t="str">
        <f t="shared" si="0"/>
        <v/>
      </c>
      <c r="K18" s="50" t="str">
        <f t="shared" si="1"/>
        <v/>
      </c>
      <c r="L18" s="9" t="str">
        <f t="shared" si="7"/>
        <v/>
      </c>
      <c r="O18" s="23" t="str">
        <f t="shared" si="10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10" t="str">
        <f t="shared" si="11"/>
        <v/>
      </c>
      <c r="V18" s="24" t="str">
        <f t="shared" si="3"/>
        <v/>
      </c>
      <c r="W18" s="25" t="str">
        <f t="shared" si="4"/>
        <v/>
      </c>
    </row>
    <row r="19" spans="2:23" ht="25" customHeight="1">
      <c r="B19" s="15"/>
      <c r="D19" s="5"/>
      <c r="E19" s="5"/>
      <c r="F19" s="6" t="str">
        <f t="shared" si="12"/>
        <v/>
      </c>
      <c r="G19" s="6" t="str">
        <f t="shared" si="5"/>
        <v/>
      </c>
      <c r="H19" s="50" t="str">
        <f>_xlfn.IFNA(VLOOKUP(C:C,'Active Jobs'!B:K,8,0),"")</f>
        <v/>
      </c>
      <c r="I19" s="8" t="str">
        <f t="shared" si="6"/>
        <v/>
      </c>
      <c r="J19" s="50" t="str">
        <f t="shared" si="0"/>
        <v/>
      </c>
      <c r="K19" s="50" t="str">
        <f t="shared" si="1"/>
        <v/>
      </c>
      <c r="L19" s="9" t="str">
        <f t="shared" si="7"/>
        <v/>
      </c>
      <c r="O19" s="23" t="str">
        <f t="shared" si="10"/>
        <v/>
      </c>
      <c r="P19" s="23" t="str">
        <f t="shared" si="9"/>
        <v/>
      </c>
      <c r="Q19" s="23" t="str">
        <f t="shared" si="9"/>
        <v/>
      </c>
      <c r="R19" s="23" t="str">
        <f t="shared" si="9"/>
        <v/>
      </c>
      <c r="S19" s="23" t="str">
        <f t="shared" si="9"/>
        <v/>
      </c>
      <c r="T19" s="74" t="str">
        <f t="shared" si="11"/>
        <v/>
      </c>
    </row>
    <row r="20" spans="2:23" ht="25" customHeight="1">
      <c r="B20" s="15"/>
      <c r="D20" s="5"/>
      <c r="E20" s="5"/>
      <c r="F20" s="6" t="str">
        <f t="shared" si="12"/>
        <v/>
      </c>
      <c r="G20" s="6" t="str">
        <f t="shared" si="5"/>
        <v/>
      </c>
      <c r="H20" s="50" t="str">
        <f>_xlfn.IFNA(VLOOKUP(C:C,'Active Jobs'!B:K,8,0),"")</f>
        <v/>
      </c>
      <c r="I20" s="8" t="str">
        <f t="shared" si="6"/>
        <v/>
      </c>
      <c r="J20" s="50" t="str">
        <f t="shared" si="0"/>
        <v/>
      </c>
      <c r="K20" s="50" t="str">
        <f t="shared" si="1"/>
        <v/>
      </c>
      <c r="L20" s="9" t="str">
        <f t="shared" si="7"/>
        <v/>
      </c>
      <c r="O20" s="23" t="str">
        <f t="shared" si="10"/>
        <v/>
      </c>
      <c r="P20" s="23" t="str">
        <f t="shared" si="9"/>
        <v/>
      </c>
      <c r="Q20" s="23" t="str">
        <f t="shared" si="9"/>
        <v/>
      </c>
      <c r="R20" s="23" t="str">
        <f t="shared" si="9"/>
        <v/>
      </c>
      <c r="S20" s="23" t="str">
        <f t="shared" si="9"/>
        <v/>
      </c>
      <c r="T20" s="74" t="str">
        <f t="shared" si="11"/>
        <v/>
      </c>
    </row>
    <row r="21" spans="2:23" ht="25" customHeight="1">
      <c r="B21" s="15"/>
      <c r="D21" s="5"/>
      <c r="E21" s="5"/>
      <c r="F21" s="6" t="str">
        <f t="shared" si="12"/>
        <v/>
      </c>
      <c r="G21" s="6" t="str">
        <f t="shared" si="5"/>
        <v/>
      </c>
      <c r="H21" s="50" t="str">
        <f>_xlfn.IFNA(VLOOKUP(C:C,'Active Jobs'!B:K,8,0),"")</f>
        <v/>
      </c>
      <c r="I21" s="8" t="str">
        <f t="shared" si="6"/>
        <v/>
      </c>
      <c r="J21" s="50" t="str">
        <f t="shared" si="0"/>
        <v/>
      </c>
      <c r="K21" s="50" t="str">
        <f t="shared" si="1"/>
        <v/>
      </c>
      <c r="L21" s="9" t="str">
        <f t="shared" si="7"/>
        <v/>
      </c>
      <c r="O21" s="23" t="str">
        <f t="shared" si="10"/>
        <v/>
      </c>
      <c r="P21" s="23" t="str">
        <f t="shared" si="9"/>
        <v/>
      </c>
      <c r="Q21" s="23" t="str">
        <f t="shared" si="9"/>
        <v/>
      </c>
      <c r="R21" s="23" t="str">
        <f t="shared" si="9"/>
        <v/>
      </c>
      <c r="S21" s="23" t="str">
        <f t="shared" si="9"/>
        <v/>
      </c>
      <c r="T21" s="74" t="str">
        <f t="shared" si="11"/>
        <v/>
      </c>
    </row>
    <row r="22" spans="2:23" ht="25" customHeight="1">
      <c r="B22" s="15"/>
      <c r="D22" s="5"/>
      <c r="E22" s="5"/>
      <c r="F22" s="6" t="str">
        <f t="shared" si="12"/>
        <v/>
      </c>
      <c r="G22" s="6" t="str">
        <f t="shared" si="5"/>
        <v/>
      </c>
      <c r="H22" s="50" t="str">
        <f>_xlfn.IFNA(VLOOKUP(C:C,'Active Jobs'!B:K,8,0),"")</f>
        <v/>
      </c>
      <c r="I22" s="8" t="str">
        <f t="shared" si="6"/>
        <v/>
      </c>
      <c r="J22" s="50" t="str">
        <f t="shared" si="0"/>
        <v/>
      </c>
      <c r="K22" s="50" t="str">
        <f t="shared" si="1"/>
        <v/>
      </c>
      <c r="L22" s="9" t="str">
        <f t="shared" si="7"/>
        <v/>
      </c>
      <c r="O22" s="23" t="str">
        <f t="shared" si="10"/>
        <v/>
      </c>
      <c r="P22" s="23" t="str">
        <f t="shared" si="9"/>
        <v/>
      </c>
      <c r="Q22" s="23" t="str">
        <f t="shared" si="9"/>
        <v/>
      </c>
      <c r="R22" s="23" t="str">
        <f t="shared" si="9"/>
        <v/>
      </c>
      <c r="S22" s="23" t="str">
        <f t="shared" si="9"/>
        <v/>
      </c>
      <c r="T22" s="74" t="str">
        <f t="shared" si="11"/>
        <v/>
      </c>
    </row>
    <row r="23" spans="2:23" ht="25" customHeight="1">
      <c r="B23" s="15"/>
      <c r="D23" s="5"/>
      <c r="E23" s="5"/>
      <c r="F23" s="6" t="str">
        <f t="shared" si="12"/>
        <v/>
      </c>
      <c r="G23" s="6" t="str">
        <f t="shared" si="5"/>
        <v/>
      </c>
      <c r="H23" s="50" t="str">
        <f>_xlfn.IFNA(VLOOKUP(C:C,'Active Jobs'!B:K,8,0),"")</f>
        <v/>
      </c>
      <c r="I23" s="8" t="str">
        <f t="shared" si="6"/>
        <v/>
      </c>
      <c r="J23" s="50" t="str">
        <f t="shared" si="0"/>
        <v/>
      </c>
      <c r="K23" s="50" t="str">
        <f t="shared" si="1"/>
        <v/>
      </c>
      <c r="L23" s="9" t="str">
        <f t="shared" si="7"/>
        <v/>
      </c>
      <c r="O23" s="23" t="str">
        <f t="shared" si="10"/>
        <v/>
      </c>
      <c r="P23" s="23" t="str">
        <f t="shared" ref="P23:S42" si="13">IF(O23="","",ROUND(SUMIFS($I:$I,$A:$A,P$1,$B:$B,"*"&amp;$N23&amp;"*"),2))</f>
        <v/>
      </c>
      <c r="Q23" s="23" t="str">
        <f t="shared" si="13"/>
        <v/>
      </c>
      <c r="R23" s="23" t="str">
        <f t="shared" si="13"/>
        <v/>
      </c>
      <c r="S23" s="23" t="str">
        <f t="shared" si="13"/>
        <v/>
      </c>
      <c r="T23" s="74" t="str">
        <f t="shared" si="11"/>
        <v/>
      </c>
    </row>
    <row r="24" spans="2:23" ht="25" customHeight="1">
      <c r="B24" s="15"/>
      <c r="D24" s="5"/>
      <c r="E24" s="5"/>
      <c r="F24" s="6" t="str">
        <f t="shared" si="12"/>
        <v/>
      </c>
      <c r="G24" s="6" t="str">
        <f t="shared" si="5"/>
        <v/>
      </c>
      <c r="H24" s="50" t="str">
        <f>_xlfn.IFNA(VLOOKUP(C:C,'Active Jobs'!B:K,8,0),"")</f>
        <v/>
      </c>
      <c r="I24" s="8" t="str">
        <f t="shared" si="6"/>
        <v/>
      </c>
      <c r="J24" s="50" t="str">
        <f t="shared" si="0"/>
        <v/>
      </c>
      <c r="K24" s="50" t="str">
        <f t="shared" si="1"/>
        <v/>
      </c>
      <c r="L24" s="9" t="str">
        <f t="shared" si="7"/>
        <v/>
      </c>
      <c r="O24" s="23" t="str">
        <f t="shared" si="10"/>
        <v/>
      </c>
      <c r="P24" s="23" t="str">
        <f t="shared" si="13"/>
        <v/>
      </c>
      <c r="Q24" s="23" t="str">
        <f t="shared" si="13"/>
        <v/>
      </c>
      <c r="R24" s="23" t="str">
        <f t="shared" si="13"/>
        <v/>
      </c>
      <c r="S24" s="23" t="str">
        <f t="shared" si="13"/>
        <v/>
      </c>
      <c r="T24" s="74" t="str">
        <f t="shared" si="11"/>
        <v/>
      </c>
    </row>
    <row r="25" spans="2:23" ht="25" customHeight="1">
      <c r="B25" s="15"/>
      <c r="D25" s="5"/>
      <c r="E25" s="5"/>
      <c r="F25" s="6" t="str">
        <f t="shared" si="12"/>
        <v/>
      </c>
      <c r="G25" s="6" t="str">
        <f t="shared" si="5"/>
        <v/>
      </c>
      <c r="H25" s="50" t="str">
        <f>_xlfn.IFNA(VLOOKUP(C:C,'Active Jobs'!B:K,8,0),"")</f>
        <v/>
      </c>
      <c r="I25" s="8" t="str">
        <f t="shared" si="6"/>
        <v/>
      </c>
      <c r="J25" s="50" t="str">
        <f t="shared" si="0"/>
        <v/>
      </c>
      <c r="K25" s="50" t="str">
        <f t="shared" si="1"/>
        <v/>
      </c>
      <c r="L25" s="9" t="str">
        <f t="shared" si="7"/>
        <v/>
      </c>
      <c r="O25" s="23" t="str">
        <f t="shared" si="10"/>
        <v/>
      </c>
      <c r="P25" s="23" t="str">
        <f t="shared" si="13"/>
        <v/>
      </c>
      <c r="Q25" s="23" t="str">
        <f t="shared" si="13"/>
        <v/>
      </c>
      <c r="R25" s="23" t="str">
        <f t="shared" si="13"/>
        <v/>
      </c>
      <c r="S25" s="23" t="str">
        <f t="shared" si="13"/>
        <v/>
      </c>
      <c r="T25" s="74" t="str">
        <f t="shared" si="11"/>
        <v/>
      </c>
    </row>
    <row r="26" spans="2:23" ht="25" customHeight="1">
      <c r="B26" s="15"/>
      <c r="D26" s="5"/>
      <c r="E26" s="5"/>
      <c r="F26" s="6" t="str">
        <f t="shared" si="12"/>
        <v/>
      </c>
      <c r="G26" s="6" t="str">
        <f t="shared" si="5"/>
        <v/>
      </c>
      <c r="H26" s="50" t="str">
        <f>_xlfn.IFNA(VLOOKUP(C:C,'Active Jobs'!B:K,8,0),"")</f>
        <v/>
      </c>
      <c r="I26" s="8" t="str">
        <f t="shared" si="6"/>
        <v/>
      </c>
      <c r="J26" s="50" t="str">
        <f t="shared" si="0"/>
        <v/>
      </c>
      <c r="K26" s="50" t="str">
        <f t="shared" si="1"/>
        <v/>
      </c>
      <c r="L26" s="9" t="str">
        <f t="shared" si="7"/>
        <v/>
      </c>
      <c r="O26" s="23" t="str">
        <f t="shared" si="10"/>
        <v/>
      </c>
      <c r="P26" s="23" t="str">
        <f t="shared" si="13"/>
        <v/>
      </c>
      <c r="Q26" s="23" t="str">
        <f t="shared" si="13"/>
        <v/>
      </c>
      <c r="R26" s="23" t="str">
        <f t="shared" si="13"/>
        <v/>
      </c>
      <c r="S26" s="23" t="str">
        <f t="shared" si="13"/>
        <v/>
      </c>
      <c r="T26" s="74" t="str">
        <f t="shared" si="11"/>
        <v/>
      </c>
    </row>
    <row r="27" spans="2:23" ht="25" customHeight="1">
      <c r="B27" s="15"/>
      <c r="D27" s="5"/>
      <c r="E27" s="5"/>
      <c r="F27" s="6" t="str">
        <f t="shared" si="12"/>
        <v/>
      </c>
      <c r="G27" s="6" t="str">
        <f t="shared" si="5"/>
        <v/>
      </c>
      <c r="H27" s="50" t="str">
        <f>_xlfn.IFNA(VLOOKUP(C:C,'Active Jobs'!B:K,8,0),"")</f>
        <v/>
      </c>
      <c r="I27" s="8" t="str">
        <f t="shared" si="6"/>
        <v/>
      </c>
      <c r="J27" s="50" t="str">
        <f t="shared" si="0"/>
        <v/>
      </c>
      <c r="K27" s="50" t="str">
        <f t="shared" si="1"/>
        <v/>
      </c>
      <c r="L27" s="9" t="str">
        <f t="shared" si="7"/>
        <v/>
      </c>
      <c r="O27" s="23" t="str">
        <f t="shared" si="10"/>
        <v/>
      </c>
      <c r="P27" s="23" t="str">
        <f t="shared" si="13"/>
        <v/>
      </c>
      <c r="Q27" s="23" t="str">
        <f t="shared" si="13"/>
        <v/>
      </c>
      <c r="R27" s="23" t="str">
        <f t="shared" si="13"/>
        <v/>
      </c>
      <c r="S27" s="23" t="str">
        <f t="shared" si="13"/>
        <v/>
      </c>
      <c r="T27" s="74" t="str">
        <f t="shared" si="11"/>
        <v/>
      </c>
    </row>
    <row r="28" spans="2:23" ht="25" customHeight="1">
      <c r="B28" s="15"/>
      <c r="D28" s="5"/>
      <c r="E28" s="5"/>
      <c r="F28" s="6" t="str">
        <f t="shared" si="12"/>
        <v/>
      </c>
      <c r="G28" s="6" t="str">
        <f t="shared" si="5"/>
        <v/>
      </c>
      <c r="H28" s="50" t="str">
        <f>_xlfn.IFNA(VLOOKUP(C:C,'Active Jobs'!B:K,8,0),"")</f>
        <v/>
      </c>
      <c r="I28" s="8" t="str">
        <f t="shared" si="6"/>
        <v/>
      </c>
      <c r="J28" s="50" t="str">
        <f t="shared" si="0"/>
        <v/>
      </c>
      <c r="K28" s="50" t="str">
        <f t="shared" si="1"/>
        <v/>
      </c>
      <c r="L28" s="9" t="str">
        <f t="shared" si="7"/>
        <v/>
      </c>
      <c r="O28" s="23" t="str">
        <f t="shared" si="10"/>
        <v/>
      </c>
      <c r="P28" s="23" t="str">
        <f t="shared" si="13"/>
        <v/>
      </c>
      <c r="Q28" s="23" t="str">
        <f t="shared" si="13"/>
        <v/>
      </c>
      <c r="R28" s="23" t="str">
        <f t="shared" si="13"/>
        <v/>
      </c>
      <c r="S28" s="23" t="str">
        <f t="shared" si="13"/>
        <v/>
      </c>
      <c r="T28" s="74" t="str">
        <f t="shared" si="11"/>
        <v/>
      </c>
    </row>
    <row r="29" spans="2:23" ht="25" customHeight="1">
      <c r="B29" s="15"/>
      <c r="D29" s="5"/>
      <c r="E29" s="5"/>
      <c r="F29" s="6" t="str">
        <f t="shared" si="12"/>
        <v/>
      </c>
      <c r="G29" s="6" t="str">
        <f t="shared" si="5"/>
        <v/>
      </c>
      <c r="H29" s="50" t="str">
        <f>_xlfn.IFNA(VLOOKUP(C:C,'Active Jobs'!B:K,8,0),"")</f>
        <v/>
      </c>
      <c r="I29" s="8" t="str">
        <f t="shared" si="6"/>
        <v/>
      </c>
      <c r="J29" s="50" t="str">
        <f t="shared" si="0"/>
        <v/>
      </c>
      <c r="K29" s="50" t="str">
        <f t="shared" si="1"/>
        <v/>
      </c>
      <c r="L29" s="9" t="str">
        <f t="shared" si="7"/>
        <v/>
      </c>
      <c r="O29" s="23" t="str">
        <f t="shared" si="10"/>
        <v/>
      </c>
      <c r="P29" s="23" t="str">
        <f t="shared" si="13"/>
        <v/>
      </c>
      <c r="Q29" s="23" t="str">
        <f t="shared" si="13"/>
        <v/>
      </c>
      <c r="R29" s="23" t="str">
        <f t="shared" si="13"/>
        <v/>
      </c>
      <c r="S29" s="23" t="str">
        <f t="shared" si="13"/>
        <v/>
      </c>
      <c r="T29" s="74" t="str">
        <f t="shared" si="11"/>
        <v/>
      </c>
    </row>
    <row r="30" spans="2:23" ht="25" customHeight="1">
      <c r="B30" s="15"/>
      <c r="D30" s="5"/>
      <c r="E30" s="5"/>
      <c r="F30" s="6" t="str">
        <f t="shared" si="12"/>
        <v/>
      </c>
      <c r="G30" s="6" t="str">
        <f t="shared" si="5"/>
        <v/>
      </c>
      <c r="H30" s="50" t="str">
        <f>_xlfn.IFNA(VLOOKUP(C:C,'Active Jobs'!B:K,8,0),"")</f>
        <v/>
      </c>
      <c r="I30" s="8" t="str">
        <f t="shared" si="6"/>
        <v/>
      </c>
      <c r="J30" s="50" t="str">
        <f t="shared" si="0"/>
        <v/>
      </c>
      <c r="K30" s="50" t="str">
        <f t="shared" si="1"/>
        <v/>
      </c>
      <c r="L30" s="9" t="str">
        <f t="shared" si="7"/>
        <v/>
      </c>
      <c r="O30" s="23" t="str">
        <f t="shared" si="10"/>
        <v/>
      </c>
      <c r="P30" s="23" t="str">
        <f t="shared" si="13"/>
        <v/>
      </c>
      <c r="Q30" s="23" t="str">
        <f t="shared" si="13"/>
        <v/>
      </c>
      <c r="R30" s="23" t="str">
        <f t="shared" si="13"/>
        <v/>
      </c>
      <c r="S30" s="23" t="str">
        <f t="shared" si="13"/>
        <v/>
      </c>
      <c r="T30" s="74" t="str">
        <f t="shared" si="11"/>
        <v/>
      </c>
    </row>
    <row r="31" spans="2:23" ht="25" customHeight="1">
      <c r="B31" s="15"/>
      <c r="D31" s="5"/>
      <c r="E31" s="5"/>
      <c r="F31" s="6" t="str">
        <f t="shared" si="12"/>
        <v/>
      </c>
      <c r="G31" s="6" t="str">
        <f t="shared" si="5"/>
        <v/>
      </c>
      <c r="H31" s="50" t="str">
        <f>_xlfn.IFNA(VLOOKUP(C:C,'Active Jobs'!B:K,8,0),"")</f>
        <v/>
      </c>
      <c r="I31" s="8" t="str">
        <f t="shared" si="6"/>
        <v/>
      </c>
      <c r="J31" s="50" t="str">
        <f t="shared" si="0"/>
        <v/>
      </c>
      <c r="K31" s="50" t="str">
        <f t="shared" si="1"/>
        <v/>
      </c>
      <c r="L31" s="9" t="str">
        <f t="shared" si="7"/>
        <v/>
      </c>
      <c r="O31" s="23" t="str">
        <f t="shared" si="10"/>
        <v/>
      </c>
      <c r="P31" s="23" t="str">
        <f t="shared" si="13"/>
        <v/>
      </c>
      <c r="Q31" s="23" t="str">
        <f t="shared" si="13"/>
        <v/>
      </c>
      <c r="R31" s="23" t="str">
        <f t="shared" si="13"/>
        <v/>
      </c>
      <c r="S31" s="23" t="str">
        <f t="shared" si="13"/>
        <v/>
      </c>
      <c r="T31" s="74" t="str">
        <f t="shared" si="11"/>
        <v/>
      </c>
    </row>
    <row r="32" spans="2:23" ht="25" customHeight="1">
      <c r="B32" s="15"/>
      <c r="D32" s="5"/>
      <c r="E32" s="5"/>
      <c r="F32" s="6" t="str">
        <f t="shared" si="12"/>
        <v/>
      </c>
      <c r="G32" s="6" t="str">
        <f t="shared" si="5"/>
        <v/>
      </c>
      <c r="H32" s="50" t="str">
        <f>_xlfn.IFNA(VLOOKUP(C:C,'Active Jobs'!B:K,8,0),"")</f>
        <v/>
      </c>
      <c r="I32" s="8" t="str">
        <f t="shared" si="6"/>
        <v/>
      </c>
      <c r="J32" s="50" t="str">
        <f t="shared" si="0"/>
        <v/>
      </c>
      <c r="K32" s="50" t="str">
        <f t="shared" si="1"/>
        <v/>
      </c>
      <c r="L32" s="9" t="str">
        <f t="shared" si="7"/>
        <v/>
      </c>
      <c r="O32" s="23" t="str">
        <f t="shared" si="10"/>
        <v/>
      </c>
      <c r="P32" s="23" t="str">
        <f t="shared" si="13"/>
        <v/>
      </c>
      <c r="Q32" s="23" t="str">
        <f t="shared" si="13"/>
        <v/>
      </c>
      <c r="R32" s="23" t="str">
        <f t="shared" si="13"/>
        <v/>
      </c>
      <c r="S32" s="23" t="str">
        <f t="shared" si="13"/>
        <v/>
      </c>
      <c r="T32" s="74" t="str">
        <f t="shared" si="11"/>
        <v/>
      </c>
    </row>
    <row r="33" spans="2:20" ht="25" customHeight="1">
      <c r="B33" s="15"/>
      <c r="D33" s="5"/>
      <c r="E33" s="5"/>
      <c r="F33" s="6" t="str">
        <f t="shared" si="12"/>
        <v/>
      </c>
      <c r="G33" s="6" t="str">
        <f t="shared" si="5"/>
        <v/>
      </c>
      <c r="H33" s="50" t="str">
        <f>_xlfn.IFNA(VLOOKUP(C:C,'Active Jobs'!B:K,8,0),"")</f>
        <v/>
      </c>
      <c r="I33" s="8" t="str">
        <f t="shared" si="6"/>
        <v/>
      </c>
      <c r="J33" s="50" t="str">
        <f t="shared" si="0"/>
        <v/>
      </c>
      <c r="K33" s="50" t="str">
        <f t="shared" si="1"/>
        <v/>
      </c>
      <c r="L33" s="9" t="str">
        <f t="shared" si="7"/>
        <v/>
      </c>
      <c r="O33" s="23" t="str">
        <f t="shared" si="10"/>
        <v/>
      </c>
      <c r="P33" s="23" t="str">
        <f t="shared" si="13"/>
        <v/>
      </c>
      <c r="Q33" s="23" t="str">
        <f t="shared" si="13"/>
        <v/>
      </c>
      <c r="R33" s="23" t="str">
        <f t="shared" si="13"/>
        <v/>
      </c>
      <c r="S33" s="23" t="str">
        <f t="shared" si="13"/>
        <v/>
      </c>
      <c r="T33" s="74" t="str">
        <f t="shared" si="11"/>
        <v/>
      </c>
    </row>
    <row r="34" spans="2:20" ht="25" customHeight="1">
      <c r="B34" s="15"/>
      <c r="D34" s="5"/>
      <c r="E34" s="5"/>
      <c r="F34" s="6" t="str">
        <f t="shared" si="12"/>
        <v/>
      </c>
      <c r="G34" s="6" t="str">
        <f t="shared" si="5"/>
        <v/>
      </c>
      <c r="H34" s="50" t="str">
        <f>_xlfn.IFNA(VLOOKUP(C:C,'Active Jobs'!B:K,8,0),"")</f>
        <v/>
      </c>
      <c r="I34" s="8" t="str">
        <f t="shared" si="6"/>
        <v/>
      </c>
      <c r="J34" s="50" t="str">
        <f t="shared" si="0"/>
        <v/>
      </c>
      <c r="K34" s="50" t="str">
        <f t="shared" si="1"/>
        <v/>
      </c>
      <c r="L34" s="9" t="str">
        <f t="shared" si="7"/>
        <v/>
      </c>
      <c r="O34" s="23" t="str">
        <f t="shared" si="10"/>
        <v/>
      </c>
      <c r="P34" s="23" t="str">
        <f t="shared" si="13"/>
        <v/>
      </c>
      <c r="Q34" s="23" t="str">
        <f t="shared" si="13"/>
        <v/>
      </c>
      <c r="R34" s="23" t="str">
        <f t="shared" si="13"/>
        <v/>
      </c>
      <c r="S34" s="23" t="str">
        <f t="shared" si="13"/>
        <v/>
      </c>
      <c r="T34" s="74" t="str">
        <f t="shared" si="11"/>
        <v/>
      </c>
    </row>
    <row r="35" spans="2:20" ht="25" customHeight="1">
      <c r="B35" s="15"/>
      <c r="D35" s="5"/>
      <c r="E35" s="5"/>
      <c r="F35" s="6" t="str">
        <f t="shared" si="12"/>
        <v/>
      </c>
      <c r="G35" s="6" t="str">
        <f t="shared" si="5"/>
        <v/>
      </c>
      <c r="H35" s="50" t="str">
        <f>_xlfn.IFNA(VLOOKUP(C:C,'Active Jobs'!B:K,8,0),"")</f>
        <v/>
      </c>
      <c r="I35" s="8" t="str">
        <f t="shared" si="6"/>
        <v/>
      </c>
      <c r="J35" s="50" t="str">
        <f t="shared" si="0"/>
        <v/>
      </c>
      <c r="K35" s="50" t="str">
        <f t="shared" si="1"/>
        <v/>
      </c>
      <c r="L35" s="9" t="str">
        <f t="shared" si="7"/>
        <v/>
      </c>
      <c r="O35" s="23" t="str">
        <f t="shared" si="10"/>
        <v/>
      </c>
      <c r="P35" s="23" t="str">
        <f t="shared" si="13"/>
        <v/>
      </c>
      <c r="Q35" s="23" t="str">
        <f t="shared" si="13"/>
        <v/>
      </c>
      <c r="R35" s="23" t="str">
        <f t="shared" si="13"/>
        <v/>
      </c>
      <c r="S35" s="23" t="str">
        <f t="shared" si="13"/>
        <v/>
      </c>
      <c r="T35" s="74" t="str">
        <f t="shared" si="11"/>
        <v/>
      </c>
    </row>
    <row r="36" spans="2:20" ht="25" customHeight="1">
      <c r="B36" s="15"/>
      <c r="D36" s="5"/>
      <c r="E36" s="5"/>
      <c r="F36" s="6" t="str">
        <f t="shared" si="12"/>
        <v/>
      </c>
      <c r="G36" s="6" t="str">
        <f t="shared" si="5"/>
        <v/>
      </c>
      <c r="H36" s="50" t="str">
        <f>_xlfn.IFNA(VLOOKUP(C:C,'Active Jobs'!B:K,8,0),"")</f>
        <v/>
      </c>
      <c r="I36" s="8" t="str">
        <f t="shared" si="6"/>
        <v/>
      </c>
      <c r="J36" s="50" t="str">
        <f t="shared" si="0"/>
        <v/>
      </c>
      <c r="K36" s="50" t="str">
        <f t="shared" si="1"/>
        <v/>
      </c>
      <c r="L36" s="9" t="str">
        <f t="shared" si="7"/>
        <v/>
      </c>
      <c r="O36" s="23" t="str">
        <f t="shared" si="10"/>
        <v/>
      </c>
      <c r="P36" s="23" t="str">
        <f t="shared" si="13"/>
        <v/>
      </c>
      <c r="Q36" s="23" t="str">
        <f t="shared" si="13"/>
        <v/>
      </c>
      <c r="R36" s="23" t="str">
        <f t="shared" si="13"/>
        <v/>
      </c>
      <c r="S36" s="23" t="str">
        <f t="shared" si="13"/>
        <v/>
      </c>
      <c r="T36" s="74" t="str">
        <f t="shared" si="11"/>
        <v/>
      </c>
    </row>
    <row r="37" spans="2:20" ht="25" customHeight="1">
      <c r="B37" s="15"/>
      <c r="D37" s="5"/>
      <c r="E37" s="5"/>
      <c r="F37" s="6" t="str">
        <f t="shared" si="12"/>
        <v/>
      </c>
      <c r="G37" s="6" t="str">
        <f t="shared" si="5"/>
        <v/>
      </c>
      <c r="H37" s="50" t="str">
        <f>_xlfn.IFNA(VLOOKUP(C:C,'Active Jobs'!B:K,8,0),"")</f>
        <v/>
      </c>
      <c r="I37" s="8" t="str">
        <f t="shared" si="6"/>
        <v/>
      </c>
      <c r="J37" s="50" t="str">
        <f t="shared" si="0"/>
        <v/>
      </c>
      <c r="K37" s="50" t="str">
        <f t="shared" si="1"/>
        <v/>
      </c>
      <c r="L37" s="9" t="str">
        <f t="shared" si="7"/>
        <v/>
      </c>
      <c r="O37" s="23" t="str">
        <f t="shared" si="10"/>
        <v/>
      </c>
      <c r="P37" s="23" t="str">
        <f t="shared" si="13"/>
        <v/>
      </c>
      <c r="Q37" s="23" t="str">
        <f t="shared" si="13"/>
        <v/>
      </c>
      <c r="R37" s="23" t="str">
        <f t="shared" si="13"/>
        <v/>
      </c>
      <c r="S37" s="23" t="str">
        <f t="shared" si="13"/>
        <v/>
      </c>
      <c r="T37" s="74" t="str">
        <f t="shared" si="11"/>
        <v/>
      </c>
    </row>
    <row r="38" spans="2:20" ht="25" customHeight="1">
      <c r="B38" s="15"/>
      <c r="D38" s="5"/>
      <c r="E38" s="5"/>
      <c r="F38" s="6" t="str">
        <f t="shared" si="12"/>
        <v/>
      </c>
      <c r="G38" s="6" t="str">
        <f t="shared" si="5"/>
        <v/>
      </c>
      <c r="H38" s="50" t="str">
        <f>_xlfn.IFNA(VLOOKUP(C:C,'Active Jobs'!B:K,8,0),"")</f>
        <v/>
      </c>
      <c r="I38" s="8" t="str">
        <f t="shared" si="6"/>
        <v/>
      </c>
      <c r="J38" s="50" t="str">
        <f t="shared" si="0"/>
        <v/>
      </c>
      <c r="K38" s="50" t="str">
        <f t="shared" si="1"/>
        <v/>
      </c>
      <c r="L38" s="9" t="str">
        <f t="shared" si="7"/>
        <v/>
      </c>
      <c r="O38" s="23" t="str">
        <f t="shared" si="10"/>
        <v/>
      </c>
      <c r="P38" s="23" t="str">
        <f t="shared" si="13"/>
        <v/>
      </c>
      <c r="Q38" s="23" t="str">
        <f t="shared" si="13"/>
        <v/>
      </c>
      <c r="R38" s="23" t="str">
        <f t="shared" si="13"/>
        <v/>
      </c>
      <c r="S38" s="23" t="str">
        <f t="shared" si="13"/>
        <v/>
      </c>
      <c r="T38" s="74" t="str">
        <f t="shared" si="11"/>
        <v/>
      </c>
    </row>
    <row r="39" spans="2:20" ht="25" customHeight="1">
      <c r="B39" s="15"/>
      <c r="D39" s="5"/>
      <c r="E39" s="5"/>
      <c r="F39" s="6" t="str">
        <f t="shared" si="12"/>
        <v/>
      </c>
      <c r="G39" s="6" t="str">
        <f t="shared" si="5"/>
        <v/>
      </c>
      <c r="H39" s="50" t="str">
        <f>_xlfn.IFNA(VLOOKUP(C:C,'Active Jobs'!B:K,8,0),"")</f>
        <v/>
      </c>
      <c r="I39" s="8" t="str">
        <f t="shared" si="6"/>
        <v/>
      </c>
      <c r="J39" s="50" t="str">
        <f t="shared" si="0"/>
        <v/>
      </c>
      <c r="K39" s="50" t="str">
        <f t="shared" si="1"/>
        <v/>
      </c>
      <c r="L39" s="9" t="str">
        <f t="shared" si="7"/>
        <v/>
      </c>
      <c r="O39" s="23" t="str">
        <f t="shared" si="10"/>
        <v/>
      </c>
      <c r="P39" s="23" t="str">
        <f t="shared" si="13"/>
        <v/>
      </c>
      <c r="Q39" s="23" t="str">
        <f t="shared" si="13"/>
        <v/>
      </c>
      <c r="R39" s="23" t="str">
        <f t="shared" si="13"/>
        <v/>
      </c>
      <c r="S39" s="23" t="str">
        <f t="shared" si="13"/>
        <v/>
      </c>
      <c r="T39" s="74" t="str">
        <f t="shared" si="11"/>
        <v/>
      </c>
    </row>
    <row r="40" spans="2:20" ht="25" customHeight="1">
      <c r="B40" s="15"/>
      <c r="D40" s="5"/>
      <c r="E40" s="5"/>
      <c r="F40" s="6" t="str">
        <f t="shared" si="12"/>
        <v/>
      </c>
      <c r="G40" s="6" t="str">
        <f t="shared" si="5"/>
        <v/>
      </c>
      <c r="H40" s="50" t="str">
        <f>_xlfn.IFNA(VLOOKUP(C:C,'Active Jobs'!B:K,8,0),"")</f>
        <v/>
      </c>
      <c r="I40" s="8" t="str">
        <f t="shared" si="6"/>
        <v/>
      </c>
      <c r="J40" s="50" t="str">
        <f t="shared" si="0"/>
        <v/>
      </c>
      <c r="K40" s="50" t="str">
        <f t="shared" si="1"/>
        <v/>
      </c>
      <c r="L40" s="9" t="str">
        <f t="shared" si="7"/>
        <v/>
      </c>
      <c r="O40" s="23" t="str">
        <f t="shared" si="10"/>
        <v/>
      </c>
      <c r="P40" s="23" t="str">
        <f t="shared" si="13"/>
        <v/>
      </c>
      <c r="Q40" s="23" t="str">
        <f t="shared" si="13"/>
        <v/>
      </c>
      <c r="R40" s="23" t="str">
        <f t="shared" si="13"/>
        <v/>
      </c>
      <c r="S40" s="23" t="str">
        <f t="shared" si="13"/>
        <v/>
      </c>
      <c r="T40" s="74" t="str">
        <f t="shared" si="11"/>
        <v/>
      </c>
    </row>
    <row r="41" spans="2:20" ht="25" customHeight="1">
      <c r="B41" s="15"/>
      <c r="D41" s="5"/>
      <c r="E41" s="5"/>
      <c r="F41" s="6" t="str">
        <f t="shared" si="12"/>
        <v/>
      </c>
      <c r="G41" s="6" t="str">
        <f t="shared" si="5"/>
        <v/>
      </c>
      <c r="H41" s="50" t="str">
        <f>_xlfn.IFNA(VLOOKUP(C:C,'Active Jobs'!B:K,8,0),"")</f>
        <v/>
      </c>
      <c r="I41" s="8" t="str">
        <f t="shared" si="6"/>
        <v/>
      </c>
      <c r="J41" s="50" t="str">
        <f t="shared" si="0"/>
        <v/>
      </c>
      <c r="K41" s="50" t="str">
        <f t="shared" si="1"/>
        <v/>
      </c>
      <c r="L41" s="9" t="str">
        <f t="shared" si="7"/>
        <v/>
      </c>
      <c r="O41" s="23" t="str">
        <f t="shared" si="10"/>
        <v/>
      </c>
      <c r="P41" s="23" t="str">
        <f t="shared" si="13"/>
        <v/>
      </c>
      <c r="Q41" s="23" t="str">
        <f t="shared" si="13"/>
        <v/>
      </c>
      <c r="R41" s="23" t="str">
        <f t="shared" si="13"/>
        <v/>
      </c>
      <c r="S41" s="23" t="str">
        <f t="shared" si="13"/>
        <v/>
      </c>
      <c r="T41" s="74" t="str">
        <f t="shared" si="11"/>
        <v/>
      </c>
    </row>
    <row r="42" spans="2:20" ht="25" customHeight="1">
      <c r="B42" s="15"/>
      <c r="D42" s="5"/>
      <c r="E42" s="5"/>
      <c r="F42" s="6" t="str">
        <f t="shared" si="12"/>
        <v/>
      </c>
      <c r="G42" s="6" t="str">
        <f t="shared" si="5"/>
        <v/>
      </c>
      <c r="H42" s="50" t="str">
        <f>_xlfn.IFNA(VLOOKUP(C:C,'Active Jobs'!B:K,8,0),"")</f>
        <v/>
      </c>
      <c r="I42" s="8" t="str">
        <f t="shared" si="6"/>
        <v/>
      </c>
      <c r="J42" s="50" t="str">
        <f t="shared" si="0"/>
        <v/>
      </c>
      <c r="K42" s="50" t="str">
        <f t="shared" si="1"/>
        <v/>
      </c>
      <c r="L42" s="9" t="str">
        <f t="shared" si="7"/>
        <v/>
      </c>
      <c r="O42" s="23" t="str">
        <f t="shared" si="10"/>
        <v/>
      </c>
      <c r="P42" s="23" t="str">
        <f t="shared" si="13"/>
        <v/>
      </c>
      <c r="Q42" s="23" t="str">
        <f t="shared" si="13"/>
        <v/>
      </c>
      <c r="R42" s="23" t="str">
        <f t="shared" si="13"/>
        <v/>
      </c>
      <c r="S42" s="23" t="str">
        <f t="shared" si="13"/>
        <v/>
      </c>
      <c r="T42" s="74" t="str">
        <f t="shared" si="11"/>
        <v/>
      </c>
    </row>
    <row r="43" spans="2:20" ht="25" customHeight="1">
      <c r="B43" s="15"/>
      <c r="D43" s="5"/>
      <c r="E43" s="5"/>
      <c r="F43" s="6" t="str">
        <f t="shared" si="12"/>
        <v/>
      </c>
      <c r="G43" s="6" t="str">
        <f t="shared" si="5"/>
        <v/>
      </c>
      <c r="H43" s="50" t="str">
        <f>_xlfn.IFNA(VLOOKUP(C:C,'Active Jobs'!B:K,8,0),"")</f>
        <v/>
      </c>
      <c r="I43" s="8" t="str">
        <f t="shared" si="6"/>
        <v/>
      </c>
      <c r="J43" s="50" t="str">
        <f t="shared" si="0"/>
        <v/>
      </c>
      <c r="K43" s="50" t="str">
        <f t="shared" si="1"/>
        <v/>
      </c>
      <c r="L43" s="9" t="str">
        <f t="shared" si="7"/>
        <v/>
      </c>
    </row>
    <row r="44" spans="2:20" ht="25" customHeight="1">
      <c r="B44" s="15"/>
      <c r="D44" s="5"/>
      <c r="E44" s="5"/>
      <c r="F44" s="6" t="str">
        <f t="shared" si="12"/>
        <v/>
      </c>
      <c r="G44" s="6" t="str">
        <f t="shared" si="5"/>
        <v/>
      </c>
      <c r="H44" s="50" t="str">
        <f>_xlfn.IFNA(VLOOKUP(C:C,'Active Jobs'!B:K,8,0),"")</f>
        <v/>
      </c>
      <c r="I44" s="8" t="str">
        <f t="shared" si="6"/>
        <v/>
      </c>
      <c r="J44" s="50" t="str">
        <f t="shared" si="0"/>
        <v/>
      </c>
      <c r="K44" s="50" t="str">
        <f t="shared" si="1"/>
        <v/>
      </c>
      <c r="L44" s="9" t="str">
        <f t="shared" si="7"/>
        <v/>
      </c>
    </row>
    <row r="45" spans="2:20" ht="25" customHeight="1">
      <c r="B45" s="15"/>
      <c r="D45" s="5"/>
      <c r="E45" s="5"/>
      <c r="F45" s="6" t="str">
        <f t="shared" si="12"/>
        <v/>
      </c>
      <c r="G45" s="6" t="str">
        <f t="shared" si="5"/>
        <v/>
      </c>
      <c r="H45" s="50" t="str">
        <f>_xlfn.IFNA(VLOOKUP(C:C,'Active Jobs'!B:K,8,0),"")</f>
        <v/>
      </c>
      <c r="I45" s="8" t="str">
        <f t="shared" si="6"/>
        <v/>
      </c>
      <c r="J45" s="50" t="str">
        <f t="shared" si="0"/>
        <v/>
      </c>
      <c r="K45" s="50" t="str">
        <f t="shared" si="1"/>
        <v/>
      </c>
      <c r="L45" s="9" t="str">
        <f t="shared" si="7"/>
        <v/>
      </c>
    </row>
    <row r="46" spans="2:20" ht="25" customHeight="1">
      <c r="B46" s="86"/>
      <c r="D46" s="5"/>
      <c r="E46" s="5"/>
      <c r="F46" s="6" t="str">
        <f t="shared" si="12"/>
        <v/>
      </c>
      <c r="G46" s="6" t="str">
        <f t="shared" si="5"/>
        <v/>
      </c>
      <c r="H46" s="50" t="str">
        <f>_xlfn.IFNA(VLOOKUP(C:C,'Active Jobs'!B:K,8,0),"")</f>
        <v/>
      </c>
      <c r="I46" s="8" t="str">
        <f t="shared" si="6"/>
        <v/>
      </c>
      <c r="J46" s="50" t="str">
        <f t="shared" si="0"/>
        <v/>
      </c>
      <c r="K46" s="50" t="str">
        <f t="shared" si="1"/>
        <v/>
      </c>
      <c r="L46" s="9" t="str">
        <f t="shared" si="7"/>
        <v/>
      </c>
    </row>
    <row r="47" spans="2:20" ht="25" customHeight="1">
      <c r="B47" s="86"/>
      <c r="D47" s="5"/>
      <c r="E47" s="5"/>
      <c r="F47" s="6" t="str">
        <f t="shared" si="12"/>
        <v/>
      </c>
      <c r="G47" s="6" t="str">
        <f t="shared" si="5"/>
        <v/>
      </c>
      <c r="H47" s="50" t="str">
        <f>_xlfn.IFNA(VLOOKUP(C:C,'Active Jobs'!B:K,8,0),"")</f>
        <v/>
      </c>
      <c r="I47" s="8" t="str">
        <f t="shared" si="6"/>
        <v/>
      </c>
      <c r="J47" s="50" t="str">
        <f t="shared" si="0"/>
        <v/>
      </c>
      <c r="K47" s="50" t="str">
        <f t="shared" si="1"/>
        <v/>
      </c>
      <c r="L47" s="9" t="str">
        <f t="shared" si="7"/>
        <v/>
      </c>
    </row>
    <row r="48" spans="2:20" ht="25" customHeight="1">
      <c r="D48" s="83"/>
      <c r="E48" s="83"/>
      <c r="F48" s="84"/>
      <c r="G48" s="6"/>
      <c r="H48" s="85">
        <f>SUBTOTAL(109,Table22612101416[Quoted])</f>
        <v>8960</v>
      </c>
      <c r="I48" s="81">
        <f>SUBTOTAL(109,Table22612101416[Hours Payable])</f>
        <v>102.11666666666667</v>
      </c>
      <c r="J48" s="85">
        <f>SUBTOTAL(109,Table22612101416[Wages (Incl. Super)])</f>
        <v>6852.0998149999987</v>
      </c>
      <c r="K48" s="85">
        <f>SUBTOTAL(109,Table22612101416[Profit])</f>
        <v>3055.1384000000007</v>
      </c>
      <c r="L48" s="82">
        <f>IF(L2="","",SUBTOTAL(101,Table22612101416[Quote/Wages]))</f>
        <v>0.67763105566300497</v>
      </c>
    </row>
  </sheetData>
  <conditionalFormatting sqref="B1 B49:B269">
    <cfRule type="expression" dxfId="103" priority="3">
      <formula>AND(ROW()&gt;1, E1&lt;&gt;"", COUNTIFS(A:A, $A1, B:B, $B1, F:F, "Yes")=0)</formula>
    </cfRule>
  </conditionalFormatting>
  <conditionalFormatting sqref="F1 F49:F269">
    <cfRule type="expression" dxfId="102" priority="4" stopIfTrue="1">
      <formula>AND(ROW()&gt;1, E1&lt;&gt;"", COUNTIFS(A:A, $A1, B:B, $B1, F:F, "Yes")=0)</formula>
    </cfRule>
  </conditionalFormatting>
  <conditionalFormatting sqref="B2:B45">
    <cfRule type="expression" dxfId="101" priority="1">
      <formula>AND(ROW()&gt;1, E2&lt;&gt;"", COUNTIFS(A:A, $A2, B:B, $B2, F:F, "Yes")=0)</formula>
    </cfRule>
  </conditionalFormatting>
  <conditionalFormatting sqref="F2:F47">
    <cfRule type="expression" dxfId="100" priority="2" stopIfTrue="1">
      <formula>AND(ROW()&gt;1, E2&lt;&gt;"", COUNTIFS(A:A, $A2, B:B, $B2, F:F, "Yes")=0)</formula>
    </cfRule>
  </conditionalFormatting>
  <dataValidations count="2">
    <dataValidation type="list" allowBlank="1" showErrorMessage="1" promptTitle="Select" sqref="B2:B45" xr:uid="{CF4F0674-EB1A-5C45-9479-6191793906C6}">
      <formula1>Teams</formula1>
    </dataValidation>
    <dataValidation type="list" allowBlank="1" showInputMessage="1" showErrorMessage="1" sqref="F2:F47" xr:uid="{BC68479A-E792-B648-B336-A64962F0C060}">
      <formula1>"No, Yes"</formula1>
    </dataValidation>
  </dataValidations>
  <pageMargins left="0.7" right="0.7" top="0.75" bottom="0.75" header="0.3" footer="0.3"/>
  <pageSetup paperSize="9" orientation="portrait" horizontalDpi="0" verticalDpi="0"/>
  <ignoredErrors>
    <ignoredError sqref="F17:F47" listDataValidation="1"/>
  </ignoredErrors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8C2DCD1-F33C-B54B-A08E-ADE4343B2F8B}">
          <x14:formula1>
            <xm:f>'Active Jobs'!$B$2:$B$154</xm:f>
          </x14:formula1>
          <xm:sqref>C2:C47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CF15-E3CB-49CD-A60A-DE83ED4BA2FC}">
  <sheetPr codeName="Sheet33"/>
  <dimension ref="A1:W48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45824</v>
      </c>
      <c r="P1" s="63">
        <v>45825</v>
      </c>
      <c r="Q1" s="63">
        <v>45826</v>
      </c>
      <c r="R1" s="63">
        <v>45827</v>
      </c>
      <c r="S1" s="63">
        <v>45828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45824</v>
      </c>
      <c r="B2" s="15" t="s">
        <v>344</v>
      </c>
      <c r="D2" s="5">
        <v>0.35416666666666669</v>
      </c>
      <c r="E2" s="5">
        <v>0.72916666666666663</v>
      </c>
      <c r="F2" s="6" t="s">
        <v>17</v>
      </c>
      <c r="G2" s="6">
        <f>IF(E2="","",IF(F2="Yes",(E2-D2)-TIME(0,30,0),E2-D2))</f>
        <v>0.35416666666666663</v>
      </c>
      <c r="H2" s="50" t="str">
        <f>_xlfn.IFNA(VLOOKUP(C:C,'Active Jobs'!B:K,8,0),"")</f>
        <v/>
      </c>
      <c r="I2" s="8">
        <f>IF(F2="Yes",(E2-D2)*24-0.5,IF(F2="No",(E2-D2)*24,""))</f>
        <v>8.4999999999999982</v>
      </c>
      <c r="J2" s="50">
        <f t="shared" ref="J2:J47" si="0">IF(G2="","",G2*24*HourlyRate*2*(1+Super))</f>
        <v>570.35595000000001</v>
      </c>
      <c r="K2" s="50" t="str">
        <f t="shared" ref="K2:K47" si="1">IF(H2="","",IF(E2="","",IF(J2=0,0,H2-J2)))</f>
        <v/>
      </c>
      <c r="L2" s="9" t="str">
        <f>IF(K2="","",IF(H2=0,1,J2/H2))</f>
        <v/>
      </c>
      <c r="M2" s="16">
        <v>2</v>
      </c>
      <c r="N2" s="41" t="str" cm="1">
        <f t="array" ref="N2:N7">IF(B2="","",_xlfn.UNIQUE(TRANSPOSE(_xlfn.TEXTSPLIT(_xlfn.TEXTJOIN(" &amp; ", TRUE, TRIM(B2:B219)), " &amp; "))))</f>
        <v>Sally Ann Kane</v>
      </c>
      <c r="O2" s="23">
        <f>IF(N2="","",ROUND(SUMIFS($I:$I,$A:$A,O$1,$B:$B,"*"&amp;$N2&amp;"*"),2))</f>
        <v>8.5</v>
      </c>
      <c r="P2" s="23">
        <f>IF(O2="","",ROUND(SUMIFS($I:$I,$A:$A,P$1,$B:$B,"*"&amp;$N2&amp;"*"),2))</f>
        <v>6.3</v>
      </c>
      <c r="Q2" s="23">
        <f>IF(P2="","",ROUND(SUMIFS($I:$I,$A:$A,Q$1,$B:$B,"*"&amp;$N2&amp;"*"),2))</f>
        <v>8.5</v>
      </c>
      <c r="R2" s="23">
        <f>IF(Q2="","",ROUND(SUMIFS($I:$I,$A:$A,R$1,$B:$B,"*"&amp;$N2&amp;"*"),2))</f>
        <v>8.5</v>
      </c>
      <c r="S2" s="23">
        <f>IF(R2="","",ROUND(SUMIFS($I:$I,$A:$A,S$1,$B:$B,"*"&amp;$N2&amp;"*"),2))</f>
        <v>8.75</v>
      </c>
      <c r="T2" s="10">
        <f t="shared" ref="T2:T42" si="2">IF(N2="","",SUM(O2:S2))</f>
        <v>40.549999999999997</v>
      </c>
      <c r="U2" s="24"/>
      <c r="V2" s="24">
        <f t="shared" ref="V2:V18" si="3">IF(N2="","",T2*HourlyRate)</f>
        <v>1220.1495</v>
      </c>
      <c r="W2" s="25">
        <f t="shared" ref="W2:W18" si="4">IF(N2="","",V2*Super)</f>
        <v>140.3171925</v>
      </c>
    </row>
    <row r="3" spans="1:23" ht="25" customHeight="1">
      <c r="A3" s="37">
        <v>45825</v>
      </c>
      <c r="B3" s="15" t="s">
        <v>344</v>
      </c>
      <c r="D3" s="5">
        <v>0.35416666666666669</v>
      </c>
      <c r="E3" s="5">
        <v>0.63749999999999996</v>
      </c>
      <c r="F3" s="6" t="s">
        <v>17</v>
      </c>
      <c r="G3" s="6">
        <f t="shared" ref="G3:G47" si="5">IF(E3="","",IF(F3="Yes",(E3-D3)-TIME(0,30,0),E3-D3))</f>
        <v>0.26249999999999996</v>
      </c>
      <c r="H3" s="50" t="str">
        <f>_xlfn.IFNA(VLOOKUP(C:C,'Active Jobs'!B:K,8,0),"")</f>
        <v/>
      </c>
      <c r="I3" s="8">
        <f t="shared" ref="I3:I47" si="6">IF(F3="Yes",(E3-D3)*24-0.5,IF(F3="No",(E3-D3)*24,""))</f>
        <v>6.2999999999999989</v>
      </c>
      <c r="J3" s="50">
        <f t="shared" si="0"/>
        <v>422.73440999999997</v>
      </c>
      <c r="K3" s="50" t="str">
        <f t="shared" si="1"/>
        <v/>
      </c>
      <c r="L3" s="9" t="str">
        <f t="shared" ref="L3:L47" si="7">IF(K3="","",IF(H3=0,1,J3/H3))</f>
        <v/>
      </c>
      <c r="M3" s="16">
        <v>2</v>
      </c>
      <c r="N3" s="42" t="str">
        <v>Georgia Howell</v>
      </c>
      <c r="O3" s="23">
        <f t="shared" ref="O3:S18" si="8">IF(N3="","",ROUND(SUMIFS($I:$I,$A:$A,O$1,$B:$B,"*"&amp;$N3&amp;"*"),2))</f>
        <v>0</v>
      </c>
      <c r="P3" s="23">
        <f t="shared" si="8"/>
        <v>0</v>
      </c>
      <c r="Q3" s="23">
        <f t="shared" si="8"/>
        <v>0</v>
      </c>
      <c r="R3" s="23">
        <f t="shared" si="8"/>
        <v>8.5</v>
      </c>
      <c r="S3" s="23">
        <f t="shared" si="8"/>
        <v>8.75</v>
      </c>
      <c r="T3" s="10">
        <f t="shared" si="2"/>
        <v>17.25</v>
      </c>
      <c r="U3" s="21"/>
      <c r="V3" s="24">
        <f t="shared" si="3"/>
        <v>519.05250000000001</v>
      </c>
      <c r="W3" s="25">
        <f t="shared" si="4"/>
        <v>59.6910375</v>
      </c>
    </row>
    <row r="4" spans="1:23" ht="25" customHeight="1">
      <c r="A4" s="37">
        <v>45826</v>
      </c>
      <c r="B4" s="15" t="s">
        <v>344</v>
      </c>
      <c r="D4" s="5">
        <v>0.35416666666666669</v>
      </c>
      <c r="E4" s="5">
        <v>0.72916666666666663</v>
      </c>
      <c r="F4" s="6" t="s">
        <v>17</v>
      </c>
      <c r="G4" s="6">
        <f t="shared" si="5"/>
        <v>0.35416666666666663</v>
      </c>
      <c r="H4" s="50" t="str">
        <f>_xlfn.IFNA(VLOOKUP(C:C,'Active Jobs'!B:K,8,0),"")</f>
        <v/>
      </c>
      <c r="I4" s="8">
        <f t="shared" si="6"/>
        <v>8.4999999999999982</v>
      </c>
      <c r="J4" s="50">
        <f t="shared" si="0"/>
        <v>570.35595000000001</v>
      </c>
      <c r="K4" s="50" t="str">
        <f t="shared" si="1"/>
        <v/>
      </c>
      <c r="L4" s="9" t="str">
        <f t="shared" si="7"/>
        <v/>
      </c>
      <c r="M4" s="16">
        <v>2</v>
      </c>
      <c r="N4" s="42" t="str">
        <v>Alice McLaren</v>
      </c>
      <c r="O4" s="23">
        <f t="shared" si="8"/>
        <v>6.35</v>
      </c>
      <c r="P4" s="23">
        <f t="shared" si="8"/>
        <v>6.48</v>
      </c>
      <c r="Q4" s="23">
        <f t="shared" si="8"/>
        <v>7.88</v>
      </c>
      <c r="R4" s="23">
        <f t="shared" si="8"/>
        <v>5.98</v>
      </c>
      <c r="S4" s="23">
        <f t="shared" si="8"/>
        <v>8.27</v>
      </c>
      <c r="T4" s="10">
        <f t="shared" si="2"/>
        <v>34.96</v>
      </c>
      <c r="U4" s="21"/>
      <c r="V4" s="24">
        <f t="shared" si="3"/>
        <v>1051.9464</v>
      </c>
      <c r="W4" s="25">
        <f t="shared" si="4"/>
        <v>120.97383600000001</v>
      </c>
    </row>
    <row r="5" spans="1:23" ht="25" customHeight="1">
      <c r="A5" s="37">
        <v>45827</v>
      </c>
      <c r="B5" s="15" t="s">
        <v>346</v>
      </c>
      <c r="D5" s="5">
        <v>0.35416666666666669</v>
      </c>
      <c r="E5" s="5">
        <v>0.72916666666666663</v>
      </c>
      <c r="F5" s="6" t="s">
        <v>17</v>
      </c>
      <c r="G5" s="6">
        <f t="shared" si="5"/>
        <v>0.35416666666666663</v>
      </c>
      <c r="H5" s="50" t="str">
        <f>_xlfn.IFNA(VLOOKUP(C:C,'Active Jobs'!B:K,8,0),"")</f>
        <v/>
      </c>
      <c r="I5" s="8">
        <f t="shared" si="6"/>
        <v>8.4999999999999982</v>
      </c>
      <c r="J5" s="50">
        <f t="shared" si="0"/>
        <v>570.35595000000001</v>
      </c>
      <c r="K5" s="50" t="str">
        <f t="shared" si="1"/>
        <v/>
      </c>
      <c r="L5" s="9" t="str">
        <f t="shared" si="7"/>
        <v/>
      </c>
      <c r="M5" s="16">
        <v>2</v>
      </c>
      <c r="N5" s="42" t="str">
        <v>Nancy Scott</v>
      </c>
      <c r="O5" s="23">
        <f t="shared" si="8"/>
        <v>6.35</v>
      </c>
      <c r="P5" s="23">
        <f t="shared" si="8"/>
        <v>6.48</v>
      </c>
      <c r="Q5" s="23">
        <f t="shared" si="8"/>
        <v>7.88</v>
      </c>
      <c r="R5" s="23">
        <f t="shared" si="8"/>
        <v>5.98</v>
      </c>
      <c r="S5" s="23">
        <f t="shared" si="8"/>
        <v>8.27</v>
      </c>
      <c r="T5" s="10">
        <f t="shared" si="2"/>
        <v>34.96</v>
      </c>
      <c r="U5" s="21"/>
      <c r="V5" s="24">
        <f t="shared" si="3"/>
        <v>1051.9464</v>
      </c>
      <c r="W5" s="25">
        <f t="shared" si="4"/>
        <v>120.97383600000001</v>
      </c>
    </row>
    <row r="6" spans="1:23" ht="25" customHeight="1">
      <c r="A6" s="37">
        <v>45828</v>
      </c>
      <c r="B6" s="15" t="s">
        <v>346</v>
      </c>
      <c r="D6" s="5">
        <v>0.35416666666666669</v>
      </c>
      <c r="E6" s="5">
        <v>0.73958333333333337</v>
      </c>
      <c r="F6" s="6" t="s">
        <v>17</v>
      </c>
      <c r="G6" s="6">
        <f t="shared" si="5"/>
        <v>0.36458333333333337</v>
      </c>
      <c r="H6" s="50" t="str">
        <f>_xlfn.IFNA(VLOOKUP(C:C,'Active Jobs'!B:K,8,0),"")</f>
        <v/>
      </c>
      <c r="I6" s="8">
        <f t="shared" si="6"/>
        <v>8.75</v>
      </c>
      <c r="J6" s="50">
        <f t="shared" si="0"/>
        <v>587.131125</v>
      </c>
      <c r="K6" s="50" t="str">
        <f t="shared" si="1"/>
        <v/>
      </c>
      <c r="L6" s="9" t="str">
        <f t="shared" si="7"/>
        <v/>
      </c>
      <c r="M6" s="16">
        <v>2</v>
      </c>
      <c r="N6" s="43" t="str">
        <v>Aoife O'Gorman</v>
      </c>
      <c r="O6" s="23">
        <f t="shared" si="8"/>
        <v>8</v>
      </c>
      <c r="P6" s="23">
        <f t="shared" si="8"/>
        <v>6.33</v>
      </c>
      <c r="Q6" s="23">
        <f t="shared" si="8"/>
        <v>6.5</v>
      </c>
      <c r="R6" s="23">
        <f t="shared" si="8"/>
        <v>6.5</v>
      </c>
      <c r="S6" s="23">
        <v>8</v>
      </c>
      <c r="T6" s="10">
        <f t="shared" si="2"/>
        <v>35.33</v>
      </c>
      <c r="U6" s="21"/>
      <c r="V6" s="24">
        <f t="shared" si="3"/>
        <v>1063.0797</v>
      </c>
      <c r="W6" s="25">
        <f t="shared" si="4"/>
        <v>122.2541655</v>
      </c>
    </row>
    <row r="7" spans="1:23" ht="25" customHeight="1">
      <c r="A7" s="37">
        <v>45824</v>
      </c>
      <c r="B7" s="15" t="s">
        <v>342</v>
      </c>
      <c r="D7" s="5">
        <v>0.35416666666666669</v>
      </c>
      <c r="E7" s="5">
        <v>0.63958333333333328</v>
      </c>
      <c r="F7" s="6" t="s">
        <v>17</v>
      </c>
      <c r="G7" s="6">
        <f t="shared" si="5"/>
        <v>0.26458333333333328</v>
      </c>
      <c r="H7" s="50" t="str">
        <f>_xlfn.IFNA(VLOOKUP(C:C,'Active Jobs'!B:K,8,0),"")</f>
        <v/>
      </c>
      <c r="I7" s="8">
        <f t="shared" si="6"/>
        <v>6.3499999999999979</v>
      </c>
      <c r="J7" s="50">
        <f t="shared" si="0"/>
        <v>426.0894449999999</v>
      </c>
      <c r="K7" s="50" t="str">
        <f t="shared" si="1"/>
        <v/>
      </c>
      <c r="L7" s="9" t="str">
        <f t="shared" si="7"/>
        <v/>
      </c>
      <c r="M7" s="16">
        <v>3</v>
      </c>
      <c r="N7" s="47" t="str">
        <v>Katie Black</v>
      </c>
      <c r="O7" s="23">
        <f t="shared" si="8"/>
        <v>8</v>
      </c>
      <c r="P7" s="23">
        <f t="shared" si="8"/>
        <v>6.33</v>
      </c>
      <c r="Q7" s="23">
        <f t="shared" si="8"/>
        <v>6.5</v>
      </c>
      <c r="R7" s="23">
        <f t="shared" si="8"/>
        <v>6.5</v>
      </c>
      <c r="S7" s="23">
        <f t="shared" si="8"/>
        <v>7.5</v>
      </c>
      <c r="T7" s="10">
        <f t="shared" si="2"/>
        <v>34.83</v>
      </c>
      <c r="U7" s="21"/>
      <c r="V7" s="24">
        <f t="shared" si="3"/>
        <v>1048.0346999999999</v>
      </c>
      <c r="W7" s="25">
        <f t="shared" si="4"/>
        <v>120.5239905</v>
      </c>
    </row>
    <row r="8" spans="1:23" ht="25" customHeight="1">
      <c r="A8" s="37">
        <v>45825</v>
      </c>
      <c r="B8" s="15" t="s">
        <v>342</v>
      </c>
      <c r="C8" s="49"/>
      <c r="D8" s="5">
        <v>0.35416666666666669</v>
      </c>
      <c r="E8" s="5">
        <v>0.64513888888888893</v>
      </c>
      <c r="F8" s="6" t="s">
        <v>17</v>
      </c>
      <c r="G8" s="6">
        <f t="shared" si="5"/>
        <v>0.27013888888888893</v>
      </c>
      <c r="H8" s="50" t="str">
        <f>_xlfn.IFNA(VLOOKUP(C:C,'Active Jobs'!B:K,8,0),"")</f>
        <v/>
      </c>
      <c r="I8" s="8">
        <f t="shared" si="6"/>
        <v>6.4833333333333343</v>
      </c>
      <c r="J8" s="50">
        <f t="shared" si="0"/>
        <v>435.03620500000005</v>
      </c>
      <c r="K8" s="50" t="str">
        <f t="shared" si="1"/>
        <v/>
      </c>
      <c r="L8" s="9" t="str">
        <f t="shared" si="7"/>
        <v/>
      </c>
      <c r="M8" s="16">
        <v>3</v>
      </c>
      <c r="N8" s="41"/>
      <c r="O8" s="23" t="str">
        <f t="shared" si="8"/>
        <v/>
      </c>
      <c r="P8" s="23" t="str">
        <f t="shared" si="8"/>
        <v/>
      </c>
      <c r="Q8" s="23" t="str">
        <f t="shared" si="8"/>
        <v/>
      </c>
      <c r="R8" s="23" t="str">
        <f t="shared" si="8"/>
        <v/>
      </c>
      <c r="S8" s="23" t="str">
        <f t="shared" si="8"/>
        <v/>
      </c>
      <c r="T8" s="10" t="str">
        <f t="shared" si="2"/>
        <v/>
      </c>
      <c r="U8" s="21"/>
      <c r="V8" s="24" t="str">
        <f t="shared" si="3"/>
        <v/>
      </c>
      <c r="W8" s="25" t="str">
        <f t="shared" si="4"/>
        <v/>
      </c>
    </row>
    <row r="9" spans="1:23" ht="25" customHeight="1">
      <c r="A9" s="37">
        <v>45826</v>
      </c>
      <c r="B9" s="15" t="s">
        <v>342</v>
      </c>
      <c r="D9" s="5">
        <v>0.35416666666666669</v>
      </c>
      <c r="E9" s="5">
        <v>0.70347222222222228</v>
      </c>
      <c r="F9" s="6" t="s">
        <v>17</v>
      </c>
      <c r="G9" s="6">
        <f t="shared" si="5"/>
        <v>0.32847222222222228</v>
      </c>
      <c r="H9" s="50" t="str">
        <f>_xlfn.IFNA(VLOOKUP(C:C,'Active Jobs'!B:K,8,0),"")</f>
        <v/>
      </c>
      <c r="I9" s="8">
        <f t="shared" si="6"/>
        <v>7.8833333333333346</v>
      </c>
      <c r="J9" s="50">
        <f t="shared" si="0"/>
        <v>528.97718500000008</v>
      </c>
      <c r="K9" s="50" t="str">
        <f t="shared" si="1"/>
        <v/>
      </c>
      <c r="L9" s="9" t="str">
        <f t="shared" si="7"/>
        <v/>
      </c>
      <c r="M9" s="16">
        <v>3</v>
      </c>
      <c r="N9" s="47"/>
      <c r="O9" s="23" t="str">
        <f t="shared" si="8"/>
        <v/>
      </c>
      <c r="P9" s="23" t="str">
        <f t="shared" si="8"/>
        <v/>
      </c>
      <c r="Q9" s="23" t="str">
        <f t="shared" si="8"/>
        <v/>
      </c>
      <c r="R9" s="23" t="str">
        <f t="shared" si="8"/>
        <v/>
      </c>
      <c r="S9" s="23" t="str">
        <f t="shared" si="8"/>
        <v/>
      </c>
      <c r="T9" s="10" t="str">
        <f t="shared" si="2"/>
        <v/>
      </c>
      <c r="U9" s="21"/>
      <c r="V9" s="24" t="str">
        <f t="shared" si="3"/>
        <v/>
      </c>
      <c r="W9" s="25" t="str">
        <f t="shared" si="4"/>
        <v/>
      </c>
    </row>
    <row r="10" spans="1:23" ht="25" customHeight="1">
      <c r="A10" s="37">
        <v>45827</v>
      </c>
      <c r="B10" s="15" t="s">
        <v>342</v>
      </c>
      <c r="D10" s="5">
        <v>0.35416666666666669</v>
      </c>
      <c r="E10" s="5">
        <v>0.62430555555555556</v>
      </c>
      <c r="F10" s="6" t="s">
        <v>17</v>
      </c>
      <c r="G10" s="6">
        <f t="shared" si="5"/>
        <v>0.24930555555555553</v>
      </c>
      <c r="H10" s="50" t="str">
        <f>_xlfn.IFNA(VLOOKUP(C:C,'Active Jobs'!B:K,8,0),"")</f>
        <v/>
      </c>
      <c r="I10" s="8">
        <f t="shared" si="6"/>
        <v>5.9833333333333325</v>
      </c>
      <c r="J10" s="50">
        <f t="shared" si="0"/>
        <v>401.48585499999996</v>
      </c>
      <c r="K10" s="50" t="str">
        <f t="shared" si="1"/>
        <v/>
      </c>
      <c r="L10" s="9" t="str">
        <f t="shared" si="7"/>
        <v/>
      </c>
      <c r="M10" s="16">
        <v>3</v>
      </c>
      <c r="O10" s="23" t="str">
        <f t="shared" si="8"/>
        <v/>
      </c>
      <c r="P10" s="23" t="str">
        <f t="shared" si="8"/>
        <v/>
      </c>
      <c r="Q10" s="23" t="str">
        <f t="shared" si="8"/>
        <v/>
      </c>
      <c r="R10" s="23" t="str">
        <f t="shared" si="8"/>
        <v/>
      </c>
      <c r="S10" s="23" t="str">
        <f t="shared" si="8"/>
        <v/>
      </c>
      <c r="T10" s="10" t="str">
        <f t="shared" si="2"/>
        <v/>
      </c>
      <c r="U10" s="21"/>
      <c r="V10" s="24" t="str">
        <f t="shared" si="3"/>
        <v/>
      </c>
      <c r="W10" s="25" t="str">
        <f t="shared" si="4"/>
        <v/>
      </c>
    </row>
    <row r="11" spans="1:23" ht="25" customHeight="1">
      <c r="A11" s="38">
        <v>45828</v>
      </c>
      <c r="B11" s="15" t="s">
        <v>342</v>
      </c>
      <c r="D11" s="5">
        <v>0.35416666666666669</v>
      </c>
      <c r="E11" s="5">
        <v>0.71944444444444444</v>
      </c>
      <c r="F11" s="6" t="s">
        <v>17</v>
      </c>
      <c r="G11" s="6">
        <f t="shared" si="5"/>
        <v>0.34444444444444444</v>
      </c>
      <c r="H11" s="50" t="str">
        <f>_xlfn.IFNA(VLOOKUP(C:C,'Active Jobs'!B:K,8,0),"")</f>
        <v/>
      </c>
      <c r="I11" s="8">
        <f t="shared" si="6"/>
        <v>8.2666666666666657</v>
      </c>
      <c r="J11" s="50">
        <f t="shared" si="0"/>
        <v>554.69911999999988</v>
      </c>
      <c r="K11" s="50" t="str">
        <f t="shared" si="1"/>
        <v/>
      </c>
      <c r="L11" s="9" t="str">
        <f t="shared" si="7"/>
        <v/>
      </c>
      <c r="M11" s="16">
        <v>3</v>
      </c>
      <c r="O11" s="23" t="str">
        <f t="shared" si="8"/>
        <v/>
      </c>
      <c r="P11" s="23" t="str">
        <f t="shared" si="8"/>
        <v/>
      </c>
      <c r="Q11" s="23" t="str">
        <f t="shared" si="8"/>
        <v/>
      </c>
      <c r="R11" s="23" t="str">
        <f t="shared" si="8"/>
        <v/>
      </c>
      <c r="S11" s="23" t="str">
        <f t="shared" si="8"/>
        <v/>
      </c>
      <c r="T11" s="10" t="str">
        <f t="shared" si="2"/>
        <v/>
      </c>
      <c r="U11" s="21"/>
      <c r="V11" s="24" t="str">
        <f t="shared" si="3"/>
        <v/>
      </c>
      <c r="W11" s="25" t="str">
        <f t="shared" si="4"/>
        <v/>
      </c>
    </row>
    <row r="12" spans="1:23" ht="25" customHeight="1">
      <c r="A12" s="38">
        <v>45824</v>
      </c>
      <c r="B12" s="15" t="s">
        <v>348</v>
      </c>
      <c r="D12" s="5">
        <v>0.35416666666666669</v>
      </c>
      <c r="E12" s="5">
        <v>0.70833333333333337</v>
      </c>
      <c r="F12" s="6" t="s">
        <v>17</v>
      </c>
      <c r="G12" s="6">
        <f t="shared" si="5"/>
        <v>0.33333333333333337</v>
      </c>
      <c r="H12" s="50" t="str">
        <f>_xlfn.IFNA(VLOOKUP(C:C,'Active Jobs'!B:K,8,0),"")</f>
        <v/>
      </c>
      <c r="I12" s="8">
        <f t="shared" si="6"/>
        <v>8</v>
      </c>
      <c r="J12" s="50">
        <f t="shared" si="0"/>
        <v>536.80560000000003</v>
      </c>
      <c r="K12" s="50" t="str">
        <f t="shared" si="1"/>
        <v/>
      </c>
      <c r="L12" s="9" t="str">
        <f t="shared" si="7"/>
        <v/>
      </c>
      <c r="M12" s="16">
        <v>1</v>
      </c>
      <c r="O12" s="23" t="str">
        <f t="shared" si="8"/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2"/>
        <v/>
      </c>
      <c r="V12" s="24" t="str">
        <f t="shared" si="3"/>
        <v/>
      </c>
      <c r="W12" s="25" t="str">
        <f t="shared" si="4"/>
        <v/>
      </c>
    </row>
    <row r="13" spans="1:23" ht="25" customHeight="1">
      <c r="A13" s="38">
        <v>45825</v>
      </c>
      <c r="B13" s="15" t="s">
        <v>348</v>
      </c>
      <c r="D13" s="5">
        <v>0.35416666666666669</v>
      </c>
      <c r="E13" s="5">
        <v>0.63888888888888884</v>
      </c>
      <c r="F13" s="6" t="s">
        <v>17</v>
      </c>
      <c r="G13" s="6">
        <f t="shared" si="5"/>
        <v>0.26388888888888884</v>
      </c>
      <c r="H13" s="50" t="str">
        <f>_xlfn.IFNA(VLOOKUP(C:C,'Active Jobs'!B:K,8,0),"")</f>
        <v/>
      </c>
      <c r="I13" s="8">
        <f t="shared" si="6"/>
        <v>6.3333333333333321</v>
      </c>
      <c r="J13" s="50">
        <f t="shared" si="0"/>
        <v>424.97109999999992</v>
      </c>
      <c r="K13" s="50" t="str">
        <f t="shared" si="1"/>
        <v/>
      </c>
      <c r="L13" s="9" t="str">
        <f t="shared" si="7"/>
        <v/>
      </c>
      <c r="M13" s="16">
        <v>1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2"/>
        <v/>
      </c>
      <c r="V13" s="24" t="str">
        <f t="shared" si="3"/>
        <v/>
      </c>
      <c r="W13" s="25" t="str">
        <f t="shared" si="4"/>
        <v/>
      </c>
    </row>
    <row r="14" spans="1:23" ht="25" customHeight="1">
      <c r="A14" s="38">
        <v>45826</v>
      </c>
      <c r="B14" s="15" t="s">
        <v>348</v>
      </c>
      <c r="D14" s="5">
        <v>0.35416666666666669</v>
      </c>
      <c r="E14" s="5">
        <v>0.64583333333333337</v>
      </c>
      <c r="F14" s="6" t="s">
        <v>17</v>
      </c>
      <c r="G14" s="6">
        <f t="shared" si="5"/>
        <v>0.27083333333333337</v>
      </c>
      <c r="H14" s="50" t="str">
        <f>_xlfn.IFNA(VLOOKUP(C:C,'Active Jobs'!B:K,8,0),"")</f>
        <v/>
      </c>
      <c r="I14" s="8">
        <f t="shared" si="6"/>
        <v>6.5</v>
      </c>
      <c r="J14" s="50">
        <f t="shared" si="0"/>
        <v>436.15455000000009</v>
      </c>
      <c r="K14" s="50" t="str">
        <f t="shared" si="1"/>
        <v/>
      </c>
      <c r="L14" s="9" t="str">
        <f t="shared" si="7"/>
        <v/>
      </c>
      <c r="M14" s="16">
        <v>1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2"/>
        <v/>
      </c>
      <c r="V14" s="24" t="str">
        <f t="shared" si="3"/>
        <v/>
      </c>
      <c r="W14" s="25" t="str">
        <f t="shared" si="4"/>
        <v/>
      </c>
    </row>
    <row r="15" spans="1:23" ht="25" customHeight="1">
      <c r="A15" s="38">
        <v>45827</v>
      </c>
      <c r="B15" s="15" t="s">
        <v>348</v>
      </c>
      <c r="D15" s="5">
        <v>0.35416666666666669</v>
      </c>
      <c r="E15" s="5">
        <v>0.64583333333333337</v>
      </c>
      <c r="F15" s="6" t="s">
        <v>17</v>
      </c>
      <c r="G15" s="6">
        <f t="shared" si="5"/>
        <v>0.27083333333333337</v>
      </c>
      <c r="H15" s="50" t="str">
        <f>_xlfn.IFNA(VLOOKUP(C:C,'Active Jobs'!B:K,8,0),"")</f>
        <v/>
      </c>
      <c r="I15" s="8">
        <f t="shared" si="6"/>
        <v>6.5</v>
      </c>
      <c r="J15" s="50">
        <f t="shared" si="0"/>
        <v>436.15455000000009</v>
      </c>
      <c r="K15" s="50" t="str">
        <f t="shared" si="1"/>
        <v/>
      </c>
      <c r="L15" s="9" t="str">
        <f t="shared" si="7"/>
        <v/>
      </c>
      <c r="M15" s="16">
        <v>1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10" t="str">
        <f t="shared" si="2"/>
        <v/>
      </c>
      <c r="V15" s="24" t="str">
        <f t="shared" si="3"/>
        <v/>
      </c>
      <c r="W15" s="25" t="str">
        <f t="shared" si="4"/>
        <v/>
      </c>
    </row>
    <row r="16" spans="1:23" ht="25" customHeight="1">
      <c r="A16" s="38">
        <v>45828</v>
      </c>
      <c r="B16" s="15" t="s">
        <v>348</v>
      </c>
      <c r="D16" s="5">
        <v>0.35416666666666669</v>
      </c>
      <c r="E16" s="5">
        <v>0.6875</v>
      </c>
      <c r="F16" s="6" t="s">
        <v>17</v>
      </c>
      <c r="G16" s="6">
        <f t="shared" si="5"/>
        <v>0.3125</v>
      </c>
      <c r="H16" s="50" t="str">
        <f>_xlfn.IFNA(VLOOKUP(C:C,'Active Jobs'!B:K,8,0),"")</f>
        <v/>
      </c>
      <c r="I16" s="8">
        <f t="shared" si="6"/>
        <v>7.5</v>
      </c>
      <c r="J16" s="50">
        <f t="shared" si="0"/>
        <v>503.25525000000005</v>
      </c>
      <c r="K16" s="50" t="str">
        <f t="shared" si="1"/>
        <v/>
      </c>
      <c r="L16" s="9" t="str">
        <f t="shared" si="7"/>
        <v/>
      </c>
      <c r="M16" s="16">
        <v>1</v>
      </c>
      <c r="O16" s="23" t="str">
        <f t="shared" si="8"/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10" t="str">
        <f t="shared" si="2"/>
        <v/>
      </c>
      <c r="V16" s="24" t="str">
        <f t="shared" si="3"/>
        <v/>
      </c>
      <c r="W16" s="25" t="str">
        <f t="shared" si="4"/>
        <v/>
      </c>
    </row>
    <row r="17" spans="2:23" ht="25" customHeight="1">
      <c r="B17" s="15"/>
      <c r="D17" s="5"/>
      <c r="E17" s="5"/>
      <c r="F17" s="6" t="str">
        <f t="shared" ref="F17:F47" si="9">IF(E17="","","No")</f>
        <v/>
      </c>
      <c r="G17" s="6" t="str">
        <f t="shared" si="5"/>
        <v/>
      </c>
      <c r="H17" s="50" t="str">
        <f>_xlfn.IFNA(VLOOKUP(C:C,'Active Jobs'!B:K,8,0),"")</f>
        <v/>
      </c>
      <c r="I17" s="8" t="str">
        <f t="shared" si="6"/>
        <v/>
      </c>
      <c r="J17" s="50" t="str">
        <f t="shared" si="0"/>
        <v/>
      </c>
      <c r="K17" s="50" t="str">
        <f t="shared" si="1"/>
        <v/>
      </c>
      <c r="L17" s="9" t="str">
        <f t="shared" si="7"/>
        <v/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2"/>
        <v/>
      </c>
      <c r="V17" s="24" t="str">
        <f t="shared" si="3"/>
        <v/>
      </c>
      <c r="W17" s="25" t="str">
        <f t="shared" si="4"/>
        <v/>
      </c>
    </row>
    <row r="18" spans="2:23" ht="25" customHeight="1">
      <c r="B18" s="15"/>
      <c r="D18" s="5"/>
      <c r="E18" s="5"/>
      <c r="F18" s="6" t="str">
        <f t="shared" si="9"/>
        <v/>
      </c>
      <c r="G18" s="6" t="str">
        <f t="shared" si="5"/>
        <v/>
      </c>
      <c r="H18" s="50" t="str">
        <f>_xlfn.IFNA(VLOOKUP(C:C,'Active Jobs'!B:K,8,0),"")</f>
        <v/>
      </c>
      <c r="I18" s="8" t="str">
        <f t="shared" si="6"/>
        <v/>
      </c>
      <c r="J18" s="50" t="str">
        <f t="shared" si="0"/>
        <v/>
      </c>
      <c r="K18" s="50" t="str">
        <f t="shared" si="1"/>
        <v/>
      </c>
      <c r="L18" s="9" t="str">
        <f t="shared" si="7"/>
        <v/>
      </c>
      <c r="O18" s="23" t="str">
        <f t="shared" si="8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10" t="str">
        <f t="shared" si="2"/>
        <v/>
      </c>
      <c r="V18" s="24" t="str">
        <f t="shared" si="3"/>
        <v/>
      </c>
      <c r="W18" s="25" t="str">
        <f t="shared" si="4"/>
        <v/>
      </c>
    </row>
    <row r="19" spans="2:23" ht="25" customHeight="1">
      <c r="B19" s="15"/>
      <c r="D19" s="5"/>
      <c r="E19" s="5"/>
      <c r="F19" s="6" t="str">
        <f t="shared" si="9"/>
        <v/>
      </c>
      <c r="G19" s="6" t="str">
        <f t="shared" si="5"/>
        <v/>
      </c>
      <c r="H19" s="50" t="str">
        <f>_xlfn.IFNA(VLOOKUP(C:C,'Active Jobs'!B:K,8,0),"")</f>
        <v/>
      </c>
      <c r="I19" s="8" t="str">
        <f t="shared" si="6"/>
        <v/>
      </c>
      <c r="J19" s="50" t="str">
        <f t="shared" si="0"/>
        <v/>
      </c>
      <c r="K19" s="50" t="str">
        <f t="shared" si="1"/>
        <v/>
      </c>
      <c r="L19" s="9" t="str">
        <f t="shared" si="7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2"/>
        <v/>
      </c>
    </row>
    <row r="20" spans="2:23" ht="25" customHeight="1">
      <c r="B20" s="15"/>
      <c r="D20" s="5"/>
      <c r="E20" s="5"/>
      <c r="F20" s="6" t="str">
        <f t="shared" si="9"/>
        <v/>
      </c>
      <c r="G20" s="6" t="str">
        <f t="shared" si="5"/>
        <v/>
      </c>
      <c r="H20" s="50" t="str">
        <f>_xlfn.IFNA(VLOOKUP(C:C,'Active Jobs'!B:K,8,0),"")</f>
        <v/>
      </c>
      <c r="I20" s="8" t="str">
        <f t="shared" si="6"/>
        <v/>
      </c>
      <c r="J20" s="50" t="str">
        <f t="shared" si="0"/>
        <v/>
      </c>
      <c r="K20" s="50" t="str">
        <f t="shared" si="1"/>
        <v/>
      </c>
      <c r="L20" s="9" t="str">
        <f t="shared" si="7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2"/>
        <v/>
      </c>
    </row>
    <row r="21" spans="2:23" ht="25" customHeight="1">
      <c r="B21" s="15"/>
      <c r="D21" s="5"/>
      <c r="E21" s="5"/>
      <c r="F21" s="6" t="str">
        <f t="shared" si="9"/>
        <v/>
      </c>
      <c r="G21" s="6" t="str">
        <f t="shared" si="5"/>
        <v/>
      </c>
      <c r="H21" s="50" t="str">
        <f>_xlfn.IFNA(VLOOKUP(C:C,'Active Jobs'!B:K,8,0),"")</f>
        <v/>
      </c>
      <c r="I21" s="8" t="str">
        <f t="shared" si="6"/>
        <v/>
      </c>
      <c r="J21" s="50" t="str">
        <f t="shared" si="0"/>
        <v/>
      </c>
      <c r="K21" s="50" t="str">
        <f t="shared" si="1"/>
        <v/>
      </c>
      <c r="L21" s="9" t="str">
        <f t="shared" si="7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2"/>
        <v/>
      </c>
    </row>
    <row r="22" spans="2:23" ht="25" customHeight="1">
      <c r="B22" s="15"/>
      <c r="D22" s="5"/>
      <c r="E22" s="5"/>
      <c r="F22" s="6" t="str">
        <f t="shared" si="9"/>
        <v/>
      </c>
      <c r="G22" s="6" t="str">
        <f t="shared" si="5"/>
        <v/>
      </c>
      <c r="H22" s="50" t="str">
        <f>_xlfn.IFNA(VLOOKUP(C:C,'Active Jobs'!B:K,8,0),"")</f>
        <v/>
      </c>
      <c r="I22" s="8" t="str">
        <f t="shared" si="6"/>
        <v/>
      </c>
      <c r="J22" s="50" t="str">
        <f t="shared" si="0"/>
        <v/>
      </c>
      <c r="K22" s="50" t="str">
        <f t="shared" si="1"/>
        <v/>
      </c>
      <c r="L22" s="9" t="str">
        <f t="shared" si="7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2"/>
        <v/>
      </c>
    </row>
    <row r="23" spans="2:23" ht="25" customHeight="1">
      <c r="B23" s="15"/>
      <c r="D23" s="5"/>
      <c r="E23" s="5"/>
      <c r="F23" s="6" t="str">
        <f t="shared" si="9"/>
        <v/>
      </c>
      <c r="G23" s="6" t="str">
        <f t="shared" si="5"/>
        <v/>
      </c>
      <c r="H23" s="50" t="str">
        <f>_xlfn.IFNA(VLOOKUP(C:C,'Active Jobs'!B:K,8,0),"")</f>
        <v/>
      </c>
      <c r="I23" s="8" t="str">
        <f t="shared" si="6"/>
        <v/>
      </c>
      <c r="J23" s="50" t="str">
        <f t="shared" si="0"/>
        <v/>
      </c>
      <c r="K23" s="50" t="str">
        <f t="shared" si="1"/>
        <v/>
      </c>
      <c r="L23" s="9" t="str">
        <f t="shared" si="7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2"/>
        <v/>
      </c>
    </row>
    <row r="24" spans="2:23" ht="25" customHeight="1">
      <c r="B24" s="15"/>
      <c r="D24" s="5"/>
      <c r="E24" s="5"/>
      <c r="F24" s="6" t="str">
        <f t="shared" si="9"/>
        <v/>
      </c>
      <c r="G24" s="6" t="str">
        <f t="shared" si="5"/>
        <v/>
      </c>
      <c r="H24" s="50" t="str">
        <f>_xlfn.IFNA(VLOOKUP(C:C,'Active Jobs'!B:K,8,0),"")</f>
        <v/>
      </c>
      <c r="I24" s="8" t="str">
        <f t="shared" si="6"/>
        <v/>
      </c>
      <c r="J24" s="50" t="str">
        <f t="shared" si="0"/>
        <v/>
      </c>
      <c r="K24" s="50" t="str">
        <f t="shared" si="1"/>
        <v/>
      </c>
      <c r="L24" s="9" t="str">
        <f t="shared" si="7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2"/>
        <v/>
      </c>
    </row>
    <row r="25" spans="2:23" ht="25" customHeight="1">
      <c r="B25" s="15"/>
      <c r="D25" s="5"/>
      <c r="E25" s="5"/>
      <c r="F25" s="6" t="str">
        <f t="shared" si="9"/>
        <v/>
      </c>
      <c r="G25" s="6" t="str">
        <f t="shared" si="5"/>
        <v/>
      </c>
      <c r="H25" s="50" t="str">
        <f>_xlfn.IFNA(VLOOKUP(C:C,'Active Jobs'!B:K,8,0),"")</f>
        <v/>
      </c>
      <c r="I25" s="8" t="str">
        <f t="shared" si="6"/>
        <v/>
      </c>
      <c r="J25" s="50" t="str">
        <f t="shared" si="0"/>
        <v/>
      </c>
      <c r="K25" s="50" t="str">
        <f t="shared" si="1"/>
        <v/>
      </c>
      <c r="L25" s="9" t="str">
        <f t="shared" si="7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2"/>
        <v/>
      </c>
    </row>
    <row r="26" spans="2:23" ht="25" customHeight="1">
      <c r="B26" s="15"/>
      <c r="D26" s="5"/>
      <c r="E26" s="5"/>
      <c r="F26" s="6" t="str">
        <f t="shared" si="9"/>
        <v/>
      </c>
      <c r="G26" s="6" t="str">
        <f t="shared" si="5"/>
        <v/>
      </c>
      <c r="H26" s="50" t="str">
        <f>_xlfn.IFNA(VLOOKUP(C:C,'Active Jobs'!B:K,8,0),"")</f>
        <v/>
      </c>
      <c r="I26" s="8" t="str">
        <f t="shared" si="6"/>
        <v/>
      </c>
      <c r="J26" s="50" t="str">
        <f t="shared" si="0"/>
        <v/>
      </c>
      <c r="K26" s="50" t="str">
        <f t="shared" si="1"/>
        <v/>
      </c>
      <c r="L26" s="9" t="str">
        <f t="shared" si="7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2"/>
        <v/>
      </c>
    </row>
    <row r="27" spans="2:23" ht="25" customHeight="1">
      <c r="B27" s="15"/>
      <c r="D27" s="5"/>
      <c r="E27" s="5"/>
      <c r="F27" s="6" t="str">
        <f t="shared" si="9"/>
        <v/>
      </c>
      <c r="G27" s="6" t="str">
        <f t="shared" si="5"/>
        <v/>
      </c>
      <c r="H27" s="50" t="str">
        <f>_xlfn.IFNA(VLOOKUP(C:C,'Active Jobs'!B:K,8,0),"")</f>
        <v/>
      </c>
      <c r="I27" s="8" t="str">
        <f t="shared" si="6"/>
        <v/>
      </c>
      <c r="J27" s="50" t="str">
        <f t="shared" si="0"/>
        <v/>
      </c>
      <c r="K27" s="50" t="str">
        <f t="shared" si="1"/>
        <v/>
      </c>
      <c r="L27" s="9" t="str">
        <f t="shared" si="7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2"/>
        <v/>
      </c>
    </row>
    <row r="28" spans="2:23" ht="25" customHeight="1">
      <c r="B28" s="15"/>
      <c r="D28" s="5"/>
      <c r="E28" s="5"/>
      <c r="F28" s="6" t="str">
        <f t="shared" si="9"/>
        <v/>
      </c>
      <c r="G28" s="6" t="str">
        <f t="shared" si="5"/>
        <v/>
      </c>
      <c r="H28" s="50" t="str">
        <f>_xlfn.IFNA(VLOOKUP(C:C,'Active Jobs'!B:K,8,0),"")</f>
        <v/>
      </c>
      <c r="I28" s="8" t="str">
        <f t="shared" si="6"/>
        <v/>
      </c>
      <c r="J28" s="50" t="str">
        <f t="shared" si="0"/>
        <v/>
      </c>
      <c r="K28" s="50" t="str">
        <f t="shared" si="1"/>
        <v/>
      </c>
      <c r="L28" s="9" t="str">
        <f t="shared" si="7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2"/>
        <v/>
      </c>
    </row>
    <row r="29" spans="2:23" ht="25" customHeight="1">
      <c r="B29" s="15"/>
      <c r="D29" s="5"/>
      <c r="E29" s="5"/>
      <c r="F29" s="6" t="str">
        <f t="shared" si="9"/>
        <v/>
      </c>
      <c r="G29" s="6" t="str">
        <f t="shared" si="5"/>
        <v/>
      </c>
      <c r="H29" s="50" t="str">
        <f>_xlfn.IFNA(VLOOKUP(C:C,'Active Jobs'!B:K,8,0),"")</f>
        <v/>
      </c>
      <c r="I29" s="8" t="str">
        <f t="shared" si="6"/>
        <v/>
      </c>
      <c r="J29" s="50" t="str">
        <f t="shared" si="0"/>
        <v/>
      </c>
      <c r="K29" s="50" t="str">
        <f t="shared" si="1"/>
        <v/>
      </c>
      <c r="L29" s="9" t="str">
        <f t="shared" si="7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2"/>
        <v/>
      </c>
    </row>
    <row r="30" spans="2:23" ht="25" customHeight="1">
      <c r="B30" s="15"/>
      <c r="D30" s="5"/>
      <c r="E30" s="5"/>
      <c r="F30" s="6" t="str">
        <f t="shared" si="9"/>
        <v/>
      </c>
      <c r="G30" s="6" t="str">
        <f t="shared" si="5"/>
        <v/>
      </c>
      <c r="H30" s="50" t="str">
        <f>_xlfn.IFNA(VLOOKUP(C:C,'Active Jobs'!B:K,8,0),"")</f>
        <v/>
      </c>
      <c r="I30" s="8" t="str">
        <f t="shared" si="6"/>
        <v/>
      </c>
      <c r="J30" s="50" t="str">
        <f t="shared" si="0"/>
        <v/>
      </c>
      <c r="K30" s="50" t="str">
        <f t="shared" si="1"/>
        <v/>
      </c>
      <c r="L30" s="9" t="str">
        <f t="shared" si="7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2"/>
        <v/>
      </c>
    </row>
    <row r="31" spans="2:23" ht="25" customHeight="1">
      <c r="B31" s="15"/>
      <c r="D31" s="5"/>
      <c r="E31" s="5"/>
      <c r="F31" s="6" t="str">
        <f t="shared" si="9"/>
        <v/>
      </c>
      <c r="G31" s="6" t="str">
        <f t="shared" si="5"/>
        <v/>
      </c>
      <c r="H31" s="50" t="str">
        <f>_xlfn.IFNA(VLOOKUP(C:C,'Active Jobs'!B:K,8,0),"")</f>
        <v/>
      </c>
      <c r="I31" s="8" t="str">
        <f t="shared" si="6"/>
        <v/>
      </c>
      <c r="J31" s="50" t="str">
        <f t="shared" si="0"/>
        <v/>
      </c>
      <c r="K31" s="50" t="str">
        <f t="shared" si="1"/>
        <v/>
      </c>
      <c r="L31" s="9" t="str">
        <f t="shared" si="7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2"/>
        <v/>
      </c>
    </row>
    <row r="32" spans="2:23" ht="25" customHeight="1">
      <c r="B32" s="15"/>
      <c r="D32" s="5"/>
      <c r="E32" s="5"/>
      <c r="F32" s="6" t="str">
        <f t="shared" si="9"/>
        <v/>
      </c>
      <c r="G32" s="6" t="str">
        <f t="shared" si="5"/>
        <v/>
      </c>
      <c r="H32" s="50" t="str">
        <f>_xlfn.IFNA(VLOOKUP(C:C,'Active Jobs'!B:K,8,0),"")</f>
        <v/>
      </c>
      <c r="I32" s="8" t="str">
        <f t="shared" si="6"/>
        <v/>
      </c>
      <c r="J32" s="50" t="str">
        <f t="shared" si="0"/>
        <v/>
      </c>
      <c r="K32" s="50" t="str">
        <f t="shared" si="1"/>
        <v/>
      </c>
      <c r="L32" s="9" t="str">
        <f t="shared" si="7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2"/>
        <v/>
      </c>
    </row>
    <row r="33" spans="2:20" ht="25" customHeight="1">
      <c r="B33" s="15"/>
      <c r="D33" s="5"/>
      <c r="E33" s="5"/>
      <c r="F33" s="6" t="str">
        <f t="shared" si="9"/>
        <v/>
      </c>
      <c r="G33" s="6" t="str">
        <f t="shared" si="5"/>
        <v/>
      </c>
      <c r="H33" s="50" t="str">
        <f>_xlfn.IFNA(VLOOKUP(C:C,'Active Jobs'!B:K,8,0),"")</f>
        <v/>
      </c>
      <c r="I33" s="8" t="str">
        <f t="shared" si="6"/>
        <v/>
      </c>
      <c r="J33" s="50" t="str">
        <f t="shared" si="0"/>
        <v/>
      </c>
      <c r="K33" s="50" t="str">
        <f t="shared" si="1"/>
        <v/>
      </c>
      <c r="L33" s="9" t="str">
        <f t="shared" si="7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2"/>
        <v/>
      </c>
    </row>
    <row r="34" spans="2:20" ht="25" customHeight="1">
      <c r="B34" s="15"/>
      <c r="D34" s="5"/>
      <c r="E34" s="5"/>
      <c r="F34" s="6" t="str">
        <f t="shared" si="9"/>
        <v/>
      </c>
      <c r="G34" s="6" t="str">
        <f t="shared" si="5"/>
        <v/>
      </c>
      <c r="H34" s="50" t="str">
        <f>_xlfn.IFNA(VLOOKUP(C:C,'Active Jobs'!B:K,8,0),"")</f>
        <v/>
      </c>
      <c r="I34" s="8" t="str">
        <f t="shared" si="6"/>
        <v/>
      </c>
      <c r="J34" s="50" t="str">
        <f t="shared" si="0"/>
        <v/>
      </c>
      <c r="K34" s="50" t="str">
        <f t="shared" si="1"/>
        <v/>
      </c>
      <c r="L34" s="9" t="str">
        <f t="shared" si="7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2"/>
        <v/>
      </c>
    </row>
    <row r="35" spans="2:20" ht="25" customHeight="1">
      <c r="B35" s="15"/>
      <c r="D35" s="5"/>
      <c r="E35" s="5"/>
      <c r="F35" s="6" t="str">
        <f t="shared" si="9"/>
        <v/>
      </c>
      <c r="G35" s="6" t="str">
        <f t="shared" si="5"/>
        <v/>
      </c>
      <c r="H35" s="50" t="str">
        <f>_xlfn.IFNA(VLOOKUP(C:C,'Active Jobs'!B:K,8,0),"")</f>
        <v/>
      </c>
      <c r="I35" s="8" t="str">
        <f t="shared" si="6"/>
        <v/>
      </c>
      <c r="J35" s="50" t="str">
        <f t="shared" si="0"/>
        <v/>
      </c>
      <c r="K35" s="50" t="str">
        <f t="shared" si="1"/>
        <v/>
      </c>
      <c r="L35" s="9" t="str">
        <f t="shared" si="7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2"/>
        <v/>
      </c>
    </row>
    <row r="36" spans="2:20" ht="25" customHeight="1">
      <c r="B36" s="15"/>
      <c r="D36" s="5"/>
      <c r="E36" s="5"/>
      <c r="F36" s="6" t="str">
        <f t="shared" si="9"/>
        <v/>
      </c>
      <c r="G36" s="6" t="str">
        <f t="shared" si="5"/>
        <v/>
      </c>
      <c r="H36" s="50" t="str">
        <f>_xlfn.IFNA(VLOOKUP(C:C,'Active Jobs'!B:K,8,0),"")</f>
        <v/>
      </c>
      <c r="I36" s="8" t="str">
        <f t="shared" si="6"/>
        <v/>
      </c>
      <c r="J36" s="50" t="str">
        <f t="shared" si="0"/>
        <v/>
      </c>
      <c r="K36" s="50" t="str">
        <f t="shared" si="1"/>
        <v/>
      </c>
      <c r="L36" s="9" t="str">
        <f t="shared" si="7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2"/>
        <v/>
      </c>
    </row>
    <row r="37" spans="2:20" ht="25" customHeight="1">
      <c r="B37" s="15"/>
      <c r="D37" s="5"/>
      <c r="E37" s="5"/>
      <c r="F37" s="6" t="str">
        <f t="shared" si="9"/>
        <v/>
      </c>
      <c r="G37" s="6" t="str">
        <f t="shared" si="5"/>
        <v/>
      </c>
      <c r="H37" s="50" t="str">
        <f>_xlfn.IFNA(VLOOKUP(C:C,'Active Jobs'!B:K,8,0),"")</f>
        <v/>
      </c>
      <c r="I37" s="8" t="str">
        <f t="shared" si="6"/>
        <v/>
      </c>
      <c r="J37" s="50" t="str">
        <f t="shared" si="0"/>
        <v/>
      </c>
      <c r="K37" s="50" t="str">
        <f t="shared" si="1"/>
        <v/>
      </c>
      <c r="L37" s="9" t="str">
        <f t="shared" si="7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2"/>
        <v/>
      </c>
    </row>
    <row r="38" spans="2:20" ht="25" customHeight="1">
      <c r="B38" s="15"/>
      <c r="D38" s="5"/>
      <c r="E38" s="5"/>
      <c r="F38" s="6" t="str">
        <f t="shared" si="9"/>
        <v/>
      </c>
      <c r="G38" s="6" t="str">
        <f t="shared" si="5"/>
        <v/>
      </c>
      <c r="H38" s="50" t="str">
        <f>_xlfn.IFNA(VLOOKUP(C:C,'Active Jobs'!B:K,8,0),"")</f>
        <v/>
      </c>
      <c r="I38" s="8" t="str">
        <f t="shared" si="6"/>
        <v/>
      </c>
      <c r="J38" s="50" t="str">
        <f t="shared" si="0"/>
        <v/>
      </c>
      <c r="K38" s="50" t="str">
        <f t="shared" si="1"/>
        <v/>
      </c>
      <c r="L38" s="9" t="str">
        <f t="shared" si="7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2"/>
        <v/>
      </c>
    </row>
    <row r="39" spans="2:20" ht="25" customHeight="1">
      <c r="B39" s="15"/>
      <c r="D39" s="5"/>
      <c r="E39" s="5"/>
      <c r="F39" s="6" t="str">
        <f t="shared" si="9"/>
        <v/>
      </c>
      <c r="G39" s="6" t="str">
        <f t="shared" si="5"/>
        <v/>
      </c>
      <c r="H39" s="50" t="str">
        <f>_xlfn.IFNA(VLOOKUP(C:C,'Active Jobs'!B:K,8,0),"")</f>
        <v/>
      </c>
      <c r="I39" s="8" t="str">
        <f t="shared" si="6"/>
        <v/>
      </c>
      <c r="J39" s="50" t="str">
        <f t="shared" si="0"/>
        <v/>
      </c>
      <c r="K39" s="50" t="str">
        <f t="shared" si="1"/>
        <v/>
      </c>
      <c r="L39" s="9" t="str">
        <f t="shared" si="7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2"/>
        <v/>
      </c>
    </row>
    <row r="40" spans="2:20" ht="25" customHeight="1">
      <c r="B40" s="15"/>
      <c r="D40" s="5"/>
      <c r="E40" s="5"/>
      <c r="F40" s="6" t="str">
        <f t="shared" si="9"/>
        <v/>
      </c>
      <c r="G40" s="6" t="str">
        <f t="shared" si="5"/>
        <v/>
      </c>
      <c r="H40" s="50" t="str">
        <f>_xlfn.IFNA(VLOOKUP(C:C,'Active Jobs'!B:K,8,0),"")</f>
        <v/>
      </c>
      <c r="I40" s="8" t="str">
        <f t="shared" si="6"/>
        <v/>
      </c>
      <c r="J40" s="50" t="str">
        <f t="shared" si="0"/>
        <v/>
      </c>
      <c r="K40" s="50" t="str">
        <f t="shared" si="1"/>
        <v/>
      </c>
      <c r="L40" s="9" t="str">
        <f t="shared" si="7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2"/>
        <v/>
      </c>
    </row>
    <row r="41" spans="2:20" ht="25" customHeight="1">
      <c r="B41" s="15"/>
      <c r="D41" s="5"/>
      <c r="E41" s="5"/>
      <c r="F41" s="6" t="str">
        <f t="shared" si="9"/>
        <v/>
      </c>
      <c r="G41" s="6" t="str">
        <f t="shared" si="5"/>
        <v/>
      </c>
      <c r="H41" s="50" t="str">
        <f>_xlfn.IFNA(VLOOKUP(C:C,'Active Jobs'!B:K,8,0),"")</f>
        <v/>
      </c>
      <c r="I41" s="8" t="str">
        <f t="shared" si="6"/>
        <v/>
      </c>
      <c r="J41" s="50" t="str">
        <f t="shared" si="0"/>
        <v/>
      </c>
      <c r="K41" s="50" t="str">
        <f t="shared" si="1"/>
        <v/>
      </c>
      <c r="L41" s="9" t="str">
        <f t="shared" si="7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2"/>
        <v/>
      </c>
    </row>
    <row r="42" spans="2:20" ht="25" customHeight="1">
      <c r="B42" s="15"/>
      <c r="D42" s="5"/>
      <c r="E42" s="5"/>
      <c r="F42" s="6" t="str">
        <f t="shared" si="9"/>
        <v/>
      </c>
      <c r="G42" s="6" t="str">
        <f t="shared" si="5"/>
        <v/>
      </c>
      <c r="H42" s="50" t="str">
        <f>_xlfn.IFNA(VLOOKUP(C:C,'Active Jobs'!B:K,8,0),"")</f>
        <v/>
      </c>
      <c r="I42" s="8" t="str">
        <f t="shared" si="6"/>
        <v/>
      </c>
      <c r="J42" s="50" t="str">
        <f t="shared" si="0"/>
        <v/>
      </c>
      <c r="K42" s="50" t="str">
        <f t="shared" si="1"/>
        <v/>
      </c>
      <c r="L42" s="9" t="str">
        <f t="shared" si="7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2"/>
        <v/>
      </c>
    </row>
    <row r="43" spans="2:20" ht="25" customHeight="1">
      <c r="B43" s="15"/>
      <c r="D43" s="5"/>
      <c r="E43" s="5"/>
      <c r="F43" s="6" t="str">
        <f t="shared" si="9"/>
        <v/>
      </c>
      <c r="G43" s="6" t="str">
        <f t="shared" si="5"/>
        <v/>
      </c>
      <c r="H43" s="50" t="str">
        <f>_xlfn.IFNA(VLOOKUP(C:C,'Active Jobs'!B:K,8,0),"")</f>
        <v/>
      </c>
      <c r="I43" s="8" t="str">
        <f t="shared" si="6"/>
        <v/>
      </c>
      <c r="J43" s="50" t="str">
        <f t="shared" si="0"/>
        <v/>
      </c>
      <c r="K43" s="50" t="str">
        <f t="shared" si="1"/>
        <v/>
      </c>
      <c r="L43" s="9" t="str">
        <f t="shared" si="7"/>
        <v/>
      </c>
    </row>
    <row r="44" spans="2:20" ht="25" customHeight="1">
      <c r="B44" s="15"/>
      <c r="D44" s="5"/>
      <c r="E44" s="5"/>
      <c r="F44" s="6" t="str">
        <f t="shared" si="9"/>
        <v/>
      </c>
      <c r="G44" s="6" t="str">
        <f t="shared" si="5"/>
        <v/>
      </c>
      <c r="H44" s="50" t="str">
        <f>_xlfn.IFNA(VLOOKUP(C:C,'Active Jobs'!B:K,8,0),"")</f>
        <v/>
      </c>
      <c r="I44" s="8" t="str">
        <f t="shared" si="6"/>
        <v/>
      </c>
      <c r="J44" s="50" t="str">
        <f t="shared" si="0"/>
        <v/>
      </c>
      <c r="K44" s="50" t="str">
        <f t="shared" si="1"/>
        <v/>
      </c>
      <c r="L44" s="9" t="str">
        <f t="shared" si="7"/>
        <v/>
      </c>
    </row>
    <row r="45" spans="2:20" ht="25" customHeight="1">
      <c r="B45" s="15"/>
      <c r="D45" s="5"/>
      <c r="E45" s="5"/>
      <c r="F45" s="6" t="str">
        <f t="shared" si="9"/>
        <v/>
      </c>
      <c r="G45" s="6" t="str">
        <f t="shared" si="5"/>
        <v/>
      </c>
      <c r="H45" s="50" t="str">
        <f>_xlfn.IFNA(VLOOKUP(C:C,'Active Jobs'!B:K,8,0),"")</f>
        <v/>
      </c>
      <c r="I45" s="8" t="str">
        <f t="shared" si="6"/>
        <v/>
      </c>
      <c r="J45" s="50" t="str">
        <f t="shared" si="0"/>
        <v/>
      </c>
      <c r="K45" s="50" t="str">
        <f t="shared" si="1"/>
        <v/>
      </c>
      <c r="L45" s="9" t="str">
        <f t="shared" si="7"/>
        <v/>
      </c>
    </row>
    <row r="46" spans="2:20" ht="25" customHeight="1">
      <c r="B46" s="86"/>
      <c r="D46" s="5"/>
      <c r="E46" s="5"/>
      <c r="F46" s="6" t="str">
        <f t="shared" si="9"/>
        <v/>
      </c>
      <c r="G46" s="6" t="str">
        <f t="shared" si="5"/>
        <v/>
      </c>
      <c r="H46" s="50" t="str">
        <f>_xlfn.IFNA(VLOOKUP(C:C,'Active Jobs'!B:K,8,0),"")</f>
        <v/>
      </c>
      <c r="I46" s="8" t="str">
        <f t="shared" si="6"/>
        <v/>
      </c>
      <c r="J46" s="50" t="str">
        <f t="shared" si="0"/>
        <v/>
      </c>
      <c r="K46" s="50" t="str">
        <f t="shared" si="1"/>
        <v/>
      </c>
      <c r="L46" s="9" t="str">
        <f t="shared" si="7"/>
        <v/>
      </c>
    </row>
    <row r="47" spans="2:20" ht="25" customHeight="1">
      <c r="B47" s="86"/>
      <c r="D47" s="5"/>
      <c r="E47" s="5"/>
      <c r="F47" s="6" t="str">
        <f t="shared" si="9"/>
        <v/>
      </c>
      <c r="G47" s="6" t="str">
        <f t="shared" si="5"/>
        <v/>
      </c>
      <c r="H47" s="50" t="str">
        <f>_xlfn.IFNA(VLOOKUP(C:C,'Active Jobs'!B:K,8,0),"")</f>
        <v/>
      </c>
      <c r="I47" s="8" t="str">
        <f t="shared" si="6"/>
        <v/>
      </c>
      <c r="J47" s="50" t="str">
        <f t="shared" si="0"/>
        <v/>
      </c>
      <c r="K47" s="50" t="str">
        <f t="shared" si="1"/>
        <v/>
      </c>
      <c r="L47" s="9" t="str">
        <f t="shared" si="7"/>
        <v/>
      </c>
    </row>
    <row r="48" spans="2:20" ht="25" customHeight="1">
      <c r="D48" s="83"/>
      <c r="E48" s="83"/>
      <c r="F48" s="84"/>
      <c r="G48" s="6"/>
      <c r="H48" s="85">
        <f>SUBTOTAL(109,Table2261210141660[Quoted])</f>
        <v>0</v>
      </c>
      <c r="I48" s="81">
        <f>SUBTOTAL(109,Table2261210141660[Hours Payable])</f>
        <v>110.34999999999998</v>
      </c>
      <c r="J48" s="85">
        <f>SUBTOTAL(109,Table2261210141660[Wages (Incl. Super)])</f>
        <v>7404.5622450000001</v>
      </c>
      <c r="K48" s="85">
        <f>SUBTOTAL(109,Table2261210141660[Profit])</f>
        <v>0</v>
      </c>
      <c r="L48" s="82" t="str">
        <f>IF(L2="","",SUBTOTAL(101,Table2261210141660[Quote/Wages]))</f>
        <v/>
      </c>
    </row>
  </sheetData>
  <conditionalFormatting sqref="B1 B49:B269">
    <cfRule type="expression" dxfId="99" priority="3">
      <formula>AND(ROW()&gt;1, E1&lt;&gt;"", COUNTIFS(A:A, $A1, B:B, $B1, F:F, "Yes")=0)</formula>
    </cfRule>
  </conditionalFormatting>
  <conditionalFormatting sqref="F1 F49:F269">
    <cfRule type="expression" dxfId="98" priority="4" stopIfTrue="1">
      <formula>AND(ROW()&gt;1, E1&lt;&gt;"", COUNTIFS(A:A, $A1, B:B, $B1, F:F, "Yes")=0)</formula>
    </cfRule>
  </conditionalFormatting>
  <conditionalFormatting sqref="B2:B45">
    <cfRule type="expression" dxfId="97" priority="1">
      <formula>AND(ROW()&gt;1, E2&lt;&gt;"", COUNTIFS(A:A, $A2, B:B, $B2, F:F, "Yes")=0)</formula>
    </cfRule>
  </conditionalFormatting>
  <conditionalFormatting sqref="F2:F47">
    <cfRule type="expression" dxfId="96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F2E48D46-18BF-4369-A7B6-A3D51CF8C997}">
      <formula1>"No, Yes"</formula1>
    </dataValidation>
    <dataValidation type="list" allowBlank="1" showErrorMessage="1" promptTitle="Select" sqref="B2:B45" xr:uid="{68219117-E6E1-4EF5-AB0B-E0B64E7E85BD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1ACE15B-665B-4449-9B55-A7D6DB50F959}">
          <x14:formula1>
            <xm:f>'Active Jobs'!$B$2:$B$154</xm:f>
          </x14:formula1>
          <xm:sqref>C2:C47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82A58-8B78-4B3E-ADC3-E22F22194820}">
  <sheetPr codeName="Sheet32"/>
  <dimension ref="A1:W48"/>
  <sheetViews>
    <sheetView zoomScale="125" zoomScaleNormal="125" workbookViewId="0">
      <selection activeCell="B8" sqref="B8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R1">IF(B2="","",TRANSPOSE(_xlfn._xlws.FILTER(_xlfn.UNIQUE(A2:A219), _xlfn.UNIQUE(A2:A219)&lt;&gt;"")))</f>
        <v>45818</v>
      </c>
      <c r="P1" s="63">
        <v>45819</v>
      </c>
      <c r="Q1" s="63">
        <v>45820</v>
      </c>
      <c r="R1" s="63">
        <v>45821</v>
      </c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45818</v>
      </c>
      <c r="B2" s="15" t="s">
        <v>346</v>
      </c>
      <c r="C2" s="16" t="s">
        <v>19</v>
      </c>
      <c r="D2" s="5">
        <v>0.35416666666666669</v>
      </c>
      <c r="E2" s="5">
        <v>0.44791666666666669</v>
      </c>
      <c r="F2" s="6" t="str">
        <f t="shared" ref="F2:F47" si="0">IF(E2="","","No")</f>
        <v>No</v>
      </c>
      <c r="G2" s="6">
        <f>IF(E2="","",IF(F2="Yes",(E2-D2)-TIME(0,30,0),E2-D2))</f>
        <v>9.375E-2</v>
      </c>
      <c r="H2" s="50">
        <f>_xlfn.IFNA(VLOOKUP(C:C,'Active Jobs'!B:K,8,0),"")</f>
        <v>250</v>
      </c>
      <c r="I2" s="8">
        <f>IF(F2="Yes",(E2-D2)*24-0.5,IF(F2="No",(E2-D2)*24,""))</f>
        <v>2.25</v>
      </c>
      <c r="J2" s="50">
        <f t="shared" ref="J2:J47" si="1">IF(G2="","",G2*24*HourlyRate*2*(1+Super))</f>
        <v>150.976575</v>
      </c>
      <c r="K2" s="50">
        <f t="shared" ref="K2:K47" si="2">IF(H2="","",IF(E2="","",IF(J2=0,0,H2-J2)))</f>
        <v>99.023425000000003</v>
      </c>
      <c r="L2" s="9">
        <f>IF(K2="","",IF(H2=0,1,J2/H2))</f>
        <v>0.60390630000000001</v>
      </c>
      <c r="M2" s="16">
        <v>2</v>
      </c>
      <c r="N2" s="41" t="str" cm="1">
        <f t="array" ref="N2:N7">IF(B2="","",_xlfn.UNIQUE(TRANSPOSE(_xlfn.TEXTSPLIT(_xlfn.TEXTJOIN(" &amp; ", TRUE, TRIM(B2:B219)), " &amp; "))))</f>
        <v>Sally Ann Kane</v>
      </c>
      <c r="O2" s="23">
        <f>IF(N2="","",ROUND(SUMIFS($I:$I,$A:$A,O$1,$B:$B,"*"&amp;$N2&amp;"*"),2))</f>
        <v>9.0500000000000007</v>
      </c>
      <c r="P2" s="23">
        <f>IF(O2="","",ROUND(SUMIFS($I:$I,$A:$A,P$1,$B:$B,"*"&amp;$N2&amp;"*"),2))</f>
        <v>6.65</v>
      </c>
      <c r="Q2" s="23">
        <f>IF(P2="","",ROUND(SUMIFS($I:$I,$A:$A,Q$1,$B:$B,"*"&amp;$N2&amp;"*"),2))</f>
        <v>7.1</v>
      </c>
      <c r="R2" s="23">
        <f>IF(Q2="","",ROUND(SUMIFS($I:$I,$A:$A,R$1,$B:$B,"*"&amp;$N2&amp;"*"),2))</f>
        <v>6.67</v>
      </c>
      <c r="S2" s="23">
        <f>IF(R2="","",ROUND(SUMIFS($I:$I,$A:$A,S$1,$B:$B,"*"&amp;$N2&amp;"*"),2))</f>
        <v>0</v>
      </c>
      <c r="T2" s="10">
        <f t="shared" ref="T2:T42" si="3">IF(N2="","",SUM(O2:S2))</f>
        <v>29.47</v>
      </c>
      <c r="U2" s="24"/>
      <c r="V2" s="24">
        <f t="shared" ref="V2:V18" si="4">IF(N2="","",T2*HourlyRate)</f>
        <v>886.75229999999999</v>
      </c>
      <c r="W2" s="25">
        <f t="shared" ref="W2:W18" si="5">IF(N2="","",V2*Super)</f>
        <v>101.97651450000001</v>
      </c>
    </row>
    <row r="3" spans="1:23" ht="25" customHeight="1">
      <c r="A3" s="37">
        <v>45818</v>
      </c>
      <c r="B3" s="15" t="s">
        <v>346</v>
      </c>
      <c r="C3" s="16" t="s">
        <v>20</v>
      </c>
      <c r="D3" s="5">
        <v>0.45833333333333331</v>
      </c>
      <c r="E3" s="5">
        <v>0.5625</v>
      </c>
      <c r="F3" s="6" t="s">
        <v>17</v>
      </c>
      <c r="G3" s="6">
        <f t="shared" ref="G3:G47" si="6">IF(E3="","",IF(F3="Yes",(E3-D3)-TIME(0,30,0),E3-D3))</f>
        <v>8.3333333333333356E-2</v>
      </c>
      <c r="H3" s="50">
        <f>_xlfn.IFNA(VLOOKUP(C:C,'Active Jobs'!B:K,8,0),"")</f>
        <v>250</v>
      </c>
      <c r="I3" s="8">
        <f t="shared" ref="I3:I47" si="7">IF(F3="Yes",(E3-D3)*24-0.5,IF(F3="No",(E3-D3)*24,""))</f>
        <v>2.0000000000000004</v>
      </c>
      <c r="J3" s="50">
        <f t="shared" si="1"/>
        <v>134.20140000000004</v>
      </c>
      <c r="K3" s="50">
        <f t="shared" si="2"/>
        <v>115.79859999999996</v>
      </c>
      <c r="L3" s="9">
        <f t="shared" ref="L3:L47" si="8">IF(K3="","",IF(H3=0,1,J3/H3))</f>
        <v>0.5368056000000001</v>
      </c>
      <c r="M3" s="16">
        <v>2</v>
      </c>
      <c r="N3" s="42" t="str">
        <v>Georgia Howell</v>
      </c>
      <c r="O3" s="23">
        <f t="shared" ref="O3:S18" si="9">IF(N3="","",ROUND(SUMIFS($I:$I,$A:$A,O$1,$B:$B,"*"&amp;$N3&amp;"*"),2))</f>
        <v>9.0500000000000007</v>
      </c>
      <c r="P3" s="23">
        <f t="shared" si="9"/>
        <v>6.65</v>
      </c>
      <c r="Q3" s="23">
        <f t="shared" si="9"/>
        <v>7.1</v>
      </c>
      <c r="R3" s="23">
        <f t="shared" si="9"/>
        <v>6.67</v>
      </c>
      <c r="S3" s="23">
        <f t="shared" si="9"/>
        <v>0</v>
      </c>
      <c r="T3" s="10">
        <f t="shared" si="3"/>
        <v>29.47</v>
      </c>
      <c r="U3" s="21"/>
      <c r="V3" s="24">
        <f t="shared" si="4"/>
        <v>886.75229999999999</v>
      </c>
      <c r="W3" s="25">
        <f t="shared" si="5"/>
        <v>101.97651450000001</v>
      </c>
    </row>
    <row r="4" spans="1:23" ht="25" customHeight="1">
      <c r="A4" s="37">
        <v>45818</v>
      </c>
      <c r="B4" s="15" t="s">
        <v>346</v>
      </c>
      <c r="C4" s="16" t="s">
        <v>21</v>
      </c>
      <c r="D4" s="5">
        <v>0.56666666666666665</v>
      </c>
      <c r="E4" s="5">
        <v>0.65555555555555556</v>
      </c>
      <c r="F4" s="6" t="str">
        <f t="shared" si="0"/>
        <v>No</v>
      </c>
      <c r="G4" s="6">
        <f t="shared" si="6"/>
        <v>8.8888888888888906E-2</v>
      </c>
      <c r="H4" s="50">
        <f>_xlfn.IFNA(VLOOKUP(C:C,'Active Jobs'!B:K,8,0),"")</f>
        <v>220</v>
      </c>
      <c r="I4" s="8">
        <f t="shared" si="7"/>
        <v>2.1333333333333337</v>
      </c>
      <c r="J4" s="50">
        <f t="shared" si="1"/>
        <v>143.14816000000002</v>
      </c>
      <c r="K4" s="50">
        <f t="shared" si="2"/>
        <v>76.851839999999982</v>
      </c>
      <c r="L4" s="9">
        <f t="shared" si="8"/>
        <v>0.65067345454545467</v>
      </c>
      <c r="M4" s="16">
        <v>2</v>
      </c>
      <c r="N4" s="42" t="str">
        <v>Alice McLaren</v>
      </c>
      <c r="O4" s="23">
        <f t="shared" si="9"/>
        <v>7.12</v>
      </c>
      <c r="P4" s="23">
        <f t="shared" si="9"/>
        <v>6.17</v>
      </c>
      <c r="Q4" s="23">
        <f t="shared" si="9"/>
        <v>6.97</v>
      </c>
      <c r="R4" s="23">
        <f t="shared" si="9"/>
        <v>7.7</v>
      </c>
      <c r="S4" s="23">
        <f t="shared" si="9"/>
        <v>0</v>
      </c>
      <c r="T4" s="10">
        <f t="shared" si="3"/>
        <v>27.959999999999997</v>
      </c>
      <c r="U4" s="21"/>
      <c r="V4" s="24">
        <f t="shared" si="4"/>
        <v>841.31639999999993</v>
      </c>
      <c r="W4" s="25">
        <f t="shared" si="5"/>
        <v>96.751385999999997</v>
      </c>
    </row>
    <row r="5" spans="1:23" ht="25" customHeight="1">
      <c r="A5" s="37">
        <v>45818</v>
      </c>
      <c r="B5" s="15" t="s">
        <v>346</v>
      </c>
      <c r="C5" s="16" t="s">
        <v>22</v>
      </c>
      <c r="D5" s="5">
        <v>0.65555555555555556</v>
      </c>
      <c r="E5" s="5">
        <v>0.76666666666666672</v>
      </c>
      <c r="F5" s="6" t="str">
        <f t="shared" si="0"/>
        <v>No</v>
      </c>
      <c r="G5" s="6">
        <f t="shared" si="6"/>
        <v>0.11111111111111116</v>
      </c>
      <c r="H5" s="50">
        <f>_xlfn.IFNA(VLOOKUP(C:C,'Active Jobs'!B:K,8,0),"")</f>
        <v>380</v>
      </c>
      <c r="I5" s="8">
        <f t="shared" si="7"/>
        <v>2.6666666666666679</v>
      </c>
      <c r="J5" s="50">
        <f t="shared" si="1"/>
        <v>178.93520000000009</v>
      </c>
      <c r="K5" s="50">
        <f t="shared" si="2"/>
        <v>201.06479999999991</v>
      </c>
      <c r="L5" s="9">
        <f t="shared" si="8"/>
        <v>0.47088210526315816</v>
      </c>
      <c r="M5" s="16">
        <v>2</v>
      </c>
      <c r="N5" s="42" t="str">
        <v>Nancy Scott</v>
      </c>
      <c r="O5" s="23">
        <f t="shared" si="9"/>
        <v>7.12</v>
      </c>
      <c r="P5" s="23">
        <f t="shared" si="9"/>
        <v>6.17</v>
      </c>
      <c r="Q5" s="23">
        <f t="shared" si="9"/>
        <v>6.97</v>
      </c>
      <c r="R5" s="23">
        <f t="shared" si="9"/>
        <v>7.7</v>
      </c>
      <c r="S5" s="23">
        <f t="shared" si="9"/>
        <v>0</v>
      </c>
      <c r="T5" s="10">
        <f t="shared" si="3"/>
        <v>27.959999999999997</v>
      </c>
      <c r="U5" s="21"/>
      <c r="V5" s="24">
        <f t="shared" si="4"/>
        <v>841.31639999999993</v>
      </c>
      <c r="W5" s="25">
        <f t="shared" si="5"/>
        <v>96.751385999999997</v>
      </c>
    </row>
    <row r="6" spans="1:23" ht="25" customHeight="1">
      <c r="A6" s="37">
        <v>45819</v>
      </c>
      <c r="B6" s="15" t="s">
        <v>346</v>
      </c>
      <c r="C6" s="16" t="s">
        <v>23</v>
      </c>
      <c r="D6" s="5">
        <v>0.35416666666666669</v>
      </c>
      <c r="E6" s="5">
        <v>0.39930555555555558</v>
      </c>
      <c r="F6" s="6" t="str">
        <f t="shared" si="0"/>
        <v>No</v>
      </c>
      <c r="G6" s="6">
        <f t="shared" si="6"/>
        <v>4.5138888888888895E-2</v>
      </c>
      <c r="H6" s="50">
        <f>_xlfn.IFNA(VLOOKUP(C:C,'Active Jobs'!B:K,8,0),"")</f>
        <v>380</v>
      </c>
      <c r="I6" s="8">
        <f t="shared" si="7"/>
        <v>1.0833333333333335</v>
      </c>
      <c r="J6" s="50">
        <f t="shared" si="1"/>
        <v>72.692425000000014</v>
      </c>
      <c r="K6" s="50">
        <f t="shared" si="2"/>
        <v>307.30757499999999</v>
      </c>
      <c r="L6" s="9">
        <f t="shared" si="8"/>
        <v>0.19129585526315793</v>
      </c>
      <c r="M6" s="16">
        <v>2</v>
      </c>
      <c r="N6" s="43" t="str">
        <v>Aoife O'Gorman</v>
      </c>
      <c r="O6" s="23">
        <f t="shared" si="9"/>
        <v>7</v>
      </c>
      <c r="P6" s="23">
        <v>8.5</v>
      </c>
      <c r="Q6" s="23">
        <v>6.15</v>
      </c>
      <c r="R6" s="23">
        <v>8.5</v>
      </c>
      <c r="S6" s="23">
        <f t="shared" si="9"/>
        <v>0</v>
      </c>
      <c r="T6" s="10">
        <f t="shared" si="3"/>
        <v>30.15</v>
      </c>
      <c r="U6" s="21"/>
      <c r="V6" s="24">
        <f t="shared" si="4"/>
        <v>907.21349999999995</v>
      </c>
      <c r="W6" s="25">
        <f t="shared" si="5"/>
        <v>104.32955250000001</v>
      </c>
    </row>
    <row r="7" spans="1:23" ht="25" customHeight="1">
      <c r="A7" s="37">
        <v>45819</v>
      </c>
      <c r="B7" s="15" t="s">
        <v>346</v>
      </c>
      <c r="C7" s="16" t="s">
        <v>24</v>
      </c>
      <c r="D7" s="5">
        <v>0.39930555555555558</v>
      </c>
      <c r="E7" s="5">
        <v>0.56597222222222221</v>
      </c>
      <c r="F7" s="6" t="s">
        <v>17</v>
      </c>
      <c r="G7" s="6">
        <f t="shared" si="6"/>
        <v>0.14583333333333329</v>
      </c>
      <c r="H7" s="50">
        <v>445</v>
      </c>
      <c r="I7" s="8">
        <f t="shared" si="7"/>
        <v>3.4999999999999991</v>
      </c>
      <c r="J7" s="50">
        <f t="shared" si="1"/>
        <v>234.85244999999992</v>
      </c>
      <c r="K7" s="50">
        <f t="shared" si="2"/>
        <v>210.14755000000008</v>
      </c>
      <c r="L7" s="9">
        <f t="shared" si="8"/>
        <v>0.52775831460674139</v>
      </c>
      <c r="M7" s="16">
        <v>2</v>
      </c>
      <c r="N7" s="47" t="str">
        <v>Katie Black</v>
      </c>
      <c r="O7" s="23">
        <f t="shared" si="9"/>
        <v>7</v>
      </c>
      <c r="P7" s="23">
        <v>8.5</v>
      </c>
      <c r="Q7" s="23">
        <v>6.15</v>
      </c>
      <c r="R7" s="23">
        <v>8.5</v>
      </c>
      <c r="S7" s="23">
        <f t="shared" si="9"/>
        <v>0</v>
      </c>
      <c r="T7" s="10">
        <f t="shared" si="3"/>
        <v>30.15</v>
      </c>
      <c r="U7" s="21"/>
      <c r="V7" s="24">
        <f t="shared" si="4"/>
        <v>907.21349999999995</v>
      </c>
      <c r="W7" s="25">
        <f t="shared" si="5"/>
        <v>104.32955250000001</v>
      </c>
    </row>
    <row r="8" spans="1:23" ht="25" customHeight="1">
      <c r="A8" s="37">
        <v>45819</v>
      </c>
      <c r="B8" s="15" t="s">
        <v>346</v>
      </c>
      <c r="C8" s="49" t="s">
        <v>25</v>
      </c>
      <c r="D8" s="5">
        <v>0.56597222222222221</v>
      </c>
      <c r="E8" s="5">
        <v>0.65208333333333335</v>
      </c>
      <c r="F8" s="6" t="str">
        <f t="shared" si="0"/>
        <v>No</v>
      </c>
      <c r="G8" s="6">
        <f t="shared" si="6"/>
        <v>8.6111111111111138E-2</v>
      </c>
      <c r="H8" s="50">
        <f>_xlfn.IFNA(VLOOKUP(C:C,'Active Jobs'!B:K,8,0),"")</f>
        <v>220</v>
      </c>
      <c r="I8" s="8">
        <f t="shared" si="7"/>
        <v>2.0666666666666673</v>
      </c>
      <c r="J8" s="50">
        <f t="shared" si="1"/>
        <v>138.67478000000006</v>
      </c>
      <c r="K8" s="50">
        <f t="shared" si="2"/>
        <v>81.325219999999945</v>
      </c>
      <c r="L8" s="9">
        <f t="shared" si="8"/>
        <v>0.63033990909090931</v>
      </c>
      <c r="M8" s="16">
        <v>2</v>
      </c>
      <c r="N8" s="41"/>
      <c r="O8" s="23" t="str">
        <f t="shared" si="9"/>
        <v/>
      </c>
      <c r="P8" s="23" t="str">
        <f t="shared" si="9"/>
        <v/>
      </c>
      <c r="Q8" s="23" t="str">
        <f t="shared" si="9"/>
        <v/>
      </c>
      <c r="R8" s="23" t="str">
        <f t="shared" si="9"/>
        <v/>
      </c>
      <c r="S8" s="23" t="str">
        <f t="shared" si="9"/>
        <v/>
      </c>
      <c r="T8" s="10" t="str">
        <f t="shared" si="3"/>
        <v/>
      </c>
      <c r="U8" s="21"/>
      <c r="V8" s="24" t="str">
        <f t="shared" si="4"/>
        <v/>
      </c>
      <c r="W8" s="25" t="str">
        <f t="shared" si="5"/>
        <v/>
      </c>
    </row>
    <row r="9" spans="1:23" ht="25" customHeight="1">
      <c r="A9" s="37">
        <v>45820</v>
      </c>
      <c r="B9" s="15" t="s">
        <v>346</v>
      </c>
      <c r="C9" s="16" t="s">
        <v>26</v>
      </c>
      <c r="D9" s="5">
        <v>0.35416666666666669</v>
      </c>
      <c r="E9" s="5">
        <v>0.52083333333333337</v>
      </c>
      <c r="F9" s="6" t="s">
        <v>17</v>
      </c>
      <c r="G9" s="6">
        <f t="shared" si="6"/>
        <v>0.14583333333333334</v>
      </c>
      <c r="H9" s="50">
        <v>495</v>
      </c>
      <c r="I9" s="8">
        <f t="shared" si="7"/>
        <v>3.5</v>
      </c>
      <c r="J9" s="50">
        <f t="shared" si="1"/>
        <v>234.85245</v>
      </c>
      <c r="K9" s="50">
        <f t="shared" si="2"/>
        <v>260.14755000000002</v>
      </c>
      <c r="L9" s="9">
        <f t="shared" si="8"/>
        <v>0.47444939393939395</v>
      </c>
      <c r="M9" s="16">
        <v>2</v>
      </c>
      <c r="N9" s="47"/>
      <c r="O9" s="23" t="str">
        <f t="shared" si="9"/>
        <v/>
      </c>
      <c r="P9" s="23" t="str">
        <f t="shared" si="9"/>
        <v/>
      </c>
      <c r="Q9" s="23" t="str">
        <f t="shared" si="9"/>
        <v/>
      </c>
      <c r="R9" s="23" t="str">
        <f t="shared" si="9"/>
        <v/>
      </c>
      <c r="S9" s="23" t="str">
        <f t="shared" si="9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>
        <v>45820</v>
      </c>
      <c r="B10" s="15" t="s">
        <v>346</v>
      </c>
      <c r="C10" s="16" t="s">
        <v>27</v>
      </c>
      <c r="D10" s="5">
        <v>0.52083333333333337</v>
      </c>
      <c r="E10" s="5">
        <v>0.57916666666666672</v>
      </c>
      <c r="F10" s="6" t="str">
        <f t="shared" si="0"/>
        <v>No</v>
      </c>
      <c r="G10" s="6">
        <f t="shared" si="6"/>
        <v>5.8333333333333348E-2</v>
      </c>
      <c r="H10" s="50">
        <f>_xlfn.IFNA(VLOOKUP(C:C,'Active Jobs'!B:K,8,0),"")</f>
        <v>240</v>
      </c>
      <c r="I10" s="8">
        <f t="shared" si="7"/>
        <v>1.4000000000000004</v>
      </c>
      <c r="J10" s="50">
        <f t="shared" si="1"/>
        <v>93.940980000000025</v>
      </c>
      <c r="K10" s="50">
        <f t="shared" si="2"/>
        <v>146.05901999999998</v>
      </c>
      <c r="L10" s="9">
        <f t="shared" si="8"/>
        <v>0.39142075000000009</v>
      </c>
      <c r="M10" s="16">
        <v>2</v>
      </c>
      <c r="O10" s="23" t="str">
        <f t="shared" si="9"/>
        <v/>
      </c>
      <c r="P10" s="23" t="str">
        <f t="shared" si="9"/>
        <v/>
      </c>
      <c r="Q10" s="23" t="str">
        <f t="shared" si="9"/>
        <v/>
      </c>
      <c r="R10" s="23" t="str">
        <f t="shared" si="9"/>
        <v/>
      </c>
      <c r="S10" s="23" t="str">
        <f t="shared" si="9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A11" s="37">
        <v>45820</v>
      </c>
      <c r="B11" s="15" t="s">
        <v>346</v>
      </c>
      <c r="C11" s="16" t="s">
        <v>28</v>
      </c>
      <c r="D11" s="5">
        <v>0.57916666666666672</v>
      </c>
      <c r="E11" s="5">
        <v>0.67083333333333328</v>
      </c>
      <c r="F11" s="6" t="str">
        <f t="shared" si="0"/>
        <v>No</v>
      </c>
      <c r="G11" s="6">
        <f t="shared" si="6"/>
        <v>9.1666666666666563E-2</v>
      </c>
      <c r="H11" s="50">
        <f>_xlfn.IFNA(VLOOKUP(C:C,'Active Jobs'!B:K,8,0),"")</f>
        <v>200</v>
      </c>
      <c r="I11" s="8">
        <f t="shared" si="7"/>
        <v>2.1999999999999975</v>
      </c>
      <c r="J11" s="50">
        <f t="shared" si="1"/>
        <v>147.62153999999981</v>
      </c>
      <c r="K11" s="50">
        <f t="shared" si="2"/>
        <v>52.378460000000189</v>
      </c>
      <c r="L11" s="9">
        <f t="shared" si="8"/>
        <v>0.73810769999999903</v>
      </c>
      <c r="M11" s="16">
        <v>2</v>
      </c>
      <c r="O11" s="23" t="str">
        <f t="shared" si="9"/>
        <v/>
      </c>
      <c r="P11" s="23" t="str">
        <f t="shared" si="9"/>
        <v/>
      </c>
      <c r="Q11" s="23" t="str">
        <f t="shared" si="9"/>
        <v/>
      </c>
      <c r="R11" s="23" t="str">
        <f t="shared" si="9"/>
        <v/>
      </c>
      <c r="S11" s="23" t="str">
        <f t="shared" si="9"/>
        <v/>
      </c>
      <c r="T11" s="10" t="str">
        <f t="shared" si="3"/>
        <v/>
      </c>
      <c r="U11" s="21"/>
      <c r="V11" s="24" t="str">
        <f t="shared" si="4"/>
        <v/>
      </c>
      <c r="W11" s="25" t="str">
        <f t="shared" si="5"/>
        <v/>
      </c>
    </row>
    <row r="12" spans="1:23" ht="25" customHeight="1">
      <c r="A12" s="38">
        <v>45821</v>
      </c>
      <c r="B12" s="15" t="s">
        <v>346</v>
      </c>
      <c r="C12" s="16" t="s">
        <v>29</v>
      </c>
      <c r="D12" s="5">
        <v>0.35416666666666669</v>
      </c>
      <c r="E12" s="5">
        <v>0.5625</v>
      </c>
      <c r="F12" s="6" t="s">
        <v>17</v>
      </c>
      <c r="G12" s="6">
        <f t="shared" si="6"/>
        <v>0.18749999999999997</v>
      </c>
      <c r="H12" s="50">
        <f>_xlfn.IFNA(VLOOKUP(C:C,'Active Jobs'!B:K,8,0),"")</f>
        <v>200</v>
      </c>
      <c r="I12" s="8">
        <f t="shared" si="7"/>
        <v>4.5</v>
      </c>
      <c r="J12" s="50">
        <f t="shared" si="1"/>
        <v>301.95314999999994</v>
      </c>
      <c r="K12" s="50">
        <f t="shared" si="2"/>
        <v>-101.95314999999994</v>
      </c>
      <c r="L12" s="9">
        <f t="shared" si="8"/>
        <v>1.5097657499999997</v>
      </c>
      <c r="M12" s="16">
        <v>2</v>
      </c>
      <c r="O12" s="23" t="str">
        <f t="shared" si="9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A13" s="38">
        <v>45821</v>
      </c>
      <c r="B13" s="15" t="s">
        <v>346</v>
      </c>
      <c r="C13" s="16" t="s">
        <v>30</v>
      </c>
      <c r="D13" s="5">
        <v>0.5625</v>
      </c>
      <c r="E13" s="5">
        <v>0.65277777777777779</v>
      </c>
      <c r="F13" s="6" t="str">
        <f t="shared" si="0"/>
        <v>No</v>
      </c>
      <c r="G13" s="6">
        <f t="shared" si="6"/>
        <v>9.027777777777779E-2</v>
      </c>
      <c r="H13" s="50">
        <v>240</v>
      </c>
      <c r="I13" s="8">
        <f t="shared" si="7"/>
        <v>2.166666666666667</v>
      </c>
      <c r="J13" s="50">
        <f t="shared" si="1"/>
        <v>145.38485000000003</v>
      </c>
      <c r="K13" s="50">
        <f t="shared" si="2"/>
        <v>94.615149999999971</v>
      </c>
      <c r="L13" s="9">
        <f t="shared" si="8"/>
        <v>0.6057702083333335</v>
      </c>
      <c r="M13" s="16">
        <v>2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A14" s="38">
        <v>45818</v>
      </c>
      <c r="B14" s="15" t="s">
        <v>342</v>
      </c>
      <c r="C14" s="16" t="s">
        <v>31</v>
      </c>
      <c r="D14" s="5">
        <v>0.35416666666666669</v>
      </c>
      <c r="E14" s="5">
        <v>0.45833333333333331</v>
      </c>
      <c r="F14" s="6" t="str">
        <f t="shared" si="0"/>
        <v>No</v>
      </c>
      <c r="G14" s="6">
        <f t="shared" si="6"/>
        <v>0.10416666666666663</v>
      </c>
      <c r="H14" s="50">
        <f>_xlfn.IFNA(VLOOKUP(C:C,'Active Jobs'!B:K,8,0),"")</f>
        <v>220</v>
      </c>
      <c r="I14" s="8">
        <f t="shared" si="7"/>
        <v>2.4999999999999991</v>
      </c>
      <c r="J14" s="50">
        <f t="shared" si="1"/>
        <v>167.75174999999993</v>
      </c>
      <c r="K14" s="50">
        <f t="shared" si="2"/>
        <v>52.24825000000007</v>
      </c>
      <c r="L14" s="9">
        <f t="shared" si="8"/>
        <v>0.76250795454545428</v>
      </c>
      <c r="M14" s="16">
        <v>3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A15" s="38">
        <v>45818</v>
      </c>
      <c r="B15" s="15" t="s">
        <v>342</v>
      </c>
      <c r="C15" s="16" t="s">
        <v>32</v>
      </c>
      <c r="D15" s="5">
        <v>0.46736111111111112</v>
      </c>
      <c r="E15" s="5">
        <v>0.5625</v>
      </c>
      <c r="F15" s="6" t="s">
        <v>17</v>
      </c>
      <c r="G15" s="6">
        <f t="shared" si="6"/>
        <v>7.4305555555555555E-2</v>
      </c>
      <c r="H15" s="50">
        <v>195</v>
      </c>
      <c r="I15" s="8">
        <f t="shared" si="7"/>
        <v>1.7833333333333332</v>
      </c>
      <c r="J15" s="50">
        <f t="shared" si="1"/>
        <v>119.662915</v>
      </c>
      <c r="K15" s="50">
        <f t="shared" si="2"/>
        <v>75.337085000000002</v>
      </c>
      <c r="L15" s="9">
        <f t="shared" si="8"/>
        <v>0.61365597435897434</v>
      </c>
      <c r="M15" s="16">
        <v>3</v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A16" s="38">
        <v>45818</v>
      </c>
      <c r="B16" s="15" t="s">
        <v>342</v>
      </c>
      <c r="C16" s="16" t="s">
        <v>215</v>
      </c>
      <c r="D16" s="5">
        <v>0.5625</v>
      </c>
      <c r="E16" s="5">
        <v>0.63888888888888884</v>
      </c>
      <c r="F16" s="6" t="str">
        <f t="shared" si="0"/>
        <v>No</v>
      </c>
      <c r="G16" s="6">
        <f t="shared" si="6"/>
        <v>7.638888888888884E-2</v>
      </c>
      <c r="H16" s="50">
        <v>215</v>
      </c>
      <c r="I16" s="8">
        <f t="shared" si="7"/>
        <v>1.8333333333333321</v>
      </c>
      <c r="J16" s="50">
        <f t="shared" si="1"/>
        <v>123.01794999999991</v>
      </c>
      <c r="K16" s="50">
        <f t="shared" si="2"/>
        <v>91.982050000000086</v>
      </c>
      <c r="L16" s="9">
        <f t="shared" si="8"/>
        <v>0.57217651162790661</v>
      </c>
      <c r="M16" s="16">
        <v>3</v>
      </c>
      <c r="O16" s="23" t="str">
        <f t="shared" si="9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1:23" ht="25" customHeight="1">
      <c r="A17" s="38">
        <v>45818</v>
      </c>
      <c r="B17" s="15" t="s">
        <v>342</v>
      </c>
      <c r="C17" s="16" t="s">
        <v>33</v>
      </c>
      <c r="D17" s="5">
        <v>0.64583333333333337</v>
      </c>
      <c r="E17" s="5">
        <v>0.6875</v>
      </c>
      <c r="F17" s="6" t="str">
        <f t="shared" si="0"/>
        <v>No</v>
      </c>
      <c r="G17" s="6">
        <f t="shared" si="6"/>
        <v>4.166666666666663E-2</v>
      </c>
      <c r="H17" s="50">
        <v>195</v>
      </c>
      <c r="I17" s="8">
        <f t="shared" si="7"/>
        <v>0.99999999999999911</v>
      </c>
      <c r="J17" s="50">
        <f t="shared" si="1"/>
        <v>67.100699999999932</v>
      </c>
      <c r="K17" s="50">
        <f t="shared" si="2"/>
        <v>127.89930000000007</v>
      </c>
      <c r="L17" s="9">
        <f t="shared" si="8"/>
        <v>0.34410615384615351</v>
      </c>
      <c r="M17" s="16">
        <v>3</v>
      </c>
      <c r="O17" s="23" t="str">
        <f t="shared" si="9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1:23" ht="25" customHeight="1">
      <c r="A18" s="38">
        <v>45819</v>
      </c>
      <c r="B18" s="15" t="s">
        <v>342</v>
      </c>
      <c r="C18" s="16" t="s">
        <v>34</v>
      </c>
      <c r="D18" s="5">
        <v>0.35416666666666669</v>
      </c>
      <c r="E18" s="5">
        <v>0.45833333333333331</v>
      </c>
      <c r="F18" s="6" t="str">
        <f t="shared" si="0"/>
        <v>No</v>
      </c>
      <c r="G18" s="6">
        <f t="shared" si="6"/>
        <v>0.10416666666666663</v>
      </c>
      <c r="H18" s="50">
        <f>_xlfn.IFNA(VLOOKUP(C:C,'Active Jobs'!B:K,8,0),"")</f>
        <v>250</v>
      </c>
      <c r="I18" s="8">
        <f t="shared" si="7"/>
        <v>2.4999999999999991</v>
      </c>
      <c r="J18" s="50">
        <f t="shared" si="1"/>
        <v>167.75174999999993</v>
      </c>
      <c r="K18" s="50">
        <f t="shared" si="2"/>
        <v>82.24825000000007</v>
      </c>
      <c r="L18" s="9">
        <f t="shared" si="8"/>
        <v>0.67100699999999969</v>
      </c>
      <c r="M18" s="16">
        <v>3</v>
      </c>
      <c r="O18" s="23" t="str">
        <f t="shared" si="9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1:23" ht="25" customHeight="1">
      <c r="A19" s="38">
        <v>45819</v>
      </c>
      <c r="B19" s="15" t="s">
        <v>342</v>
      </c>
      <c r="C19" s="16" t="s">
        <v>35</v>
      </c>
      <c r="D19" s="5">
        <v>0.45833333333333331</v>
      </c>
      <c r="E19" s="5">
        <v>0.5625</v>
      </c>
      <c r="F19" s="6" t="s">
        <v>17</v>
      </c>
      <c r="G19" s="6">
        <f t="shared" si="6"/>
        <v>8.3333333333333356E-2</v>
      </c>
      <c r="H19" s="50">
        <v>215</v>
      </c>
      <c r="I19" s="8">
        <f t="shared" si="7"/>
        <v>2.0000000000000004</v>
      </c>
      <c r="J19" s="50">
        <f t="shared" si="1"/>
        <v>134.20140000000004</v>
      </c>
      <c r="K19" s="50">
        <f t="shared" si="2"/>
        <v>80.798599999999965</v>
      </c>
      <c r="L19" s="9">
        <f t="shared" si="8"/>
        <v>0.624192558139535</v>
      </c>
      <c r="M19" s="16">
        <v>3</v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3"/>
        <v/>
      </c>
    </row>
    <row r="20" spans="1:23" ht="25" customHeight="1">
      <c r="A20" s="38">
        <v>45819</v>
      </c>
      <c r="B20" s="15" t="s">
        <v>342</v>
      </c>
      <c r="C20" s="16" t="s">
        <v>36</v>
      </c>
      <c r="D20" s="5">
        <v>0.5625</v>
      </c>
      <c r="E20" s="5">
        <v>0.63194444444444442</v>
      </c>
      <c r="F20" s="6" t="str">
        <f t="shared" si="0"/>
        <v>No</v>
      </c>
      <c r="G20" s="6">
        <f t="shared" si="6"/>
        <v>6.944444444444442E-2</v>
      </c>
      <c r="H20" s="50">
        <v>200</v>
      </c>
      <c r="I20" s="8">
        <f t="shared" si="7"/>
        <v>1.6666666666666661</v>
      </c>
      <c r="J20" s="50">
        <f t="shared" si="1"/>
        <v>111.83449999999996</v>
      </c>
      <c r="K20" s="50">
        <f t="shared" si="2"/>
        <v>88.165500000000037</v>
      </c>
      <c r="L20" s="9">
        <f t="shared" si="8"/>
        <v>0.55917249999999985</v>
      </c>
      <c r="M20" s="16">
        <v>3</v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3"/>
        <v/>
      </c>
    </row>
    <row r="21" spans="1:23" ht="25" customHeight="1">
      <c r="A21" s="38">
        <v>45820</v>
      </c>
      <c r="B21" s="15" t="s">
        <v>342</v>
      </c>
      <c r="C21" s="16" t="s">
        <v>96</v>
      </c>
      <c r="D21" s="5">
        <v>0.35416666666666669</v>
      </c>
      <c r="E21" s="5">
        <v>0.44791666666666669</v>
      </c>
      <c r="F21" s="6" t="str">
        <f t="shared" si="0"/>
        <v>No</v>
      </c>
      <c r="G21" s="6">
        <f t="shared" si="6"/>
        <v>9.375E-2</v>
      </c>
      <c r="H21" s="50">
        <v>200</v>
      </c>
      <c r="I21" s="8">
        <f t="shared" si="7"/>
        <v>2.25</v>
      </c>
      <c r="J21" s="50">
        <f t="shared" si="1"/>
        <v>150.976575</v>
      </c>
      <c r="K21" s="50">
        <f t="shared" si="2"/>
        <v>49.023425000000003</v>
      </c>
      <c r="L21" s="9">
        <f t="shared" si="8"/>
        <v>0.75488287499999995</v>
      </c>
      <c r="M21" s="16">
        <v>3</v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3"/>
        <v/>
      </c>
    </row>
    <row r="22" spans="1:23" ht="25" customHeight="1">
      <c r="A22" s="38">
        <v>45820</v>
      </c>
      <c r="B22" s="15" t="s">
        <v>342</v>
      </c>
      <c r="C22" s="16" t="s">
        <v>37</v>
      </c>
      <c r="D22" s="5">
        <v>0.44791666666666669</v>
      </c>
      <c r="E22" s="5">
        <v>0.52083333333333337</v>
      </c>
      <c r="F22" s="6" t="s">
        <v>17</v>
      </c>
      <c r="G22" s="6">
        <f t="shared" si="6"/>
        <v>5.2083333333333356E-2</v>
      </c>
      <c r="H22" s="50">
        <v>120</v>
      </c>
      <c r="I22" s="8">
        <f t="shared" si="7"/>
        <v>1.2500000000000004</v>
      </c>
      <c r="J22" s="50">
        <f t="shared" si="1"/>
        <v>83.875875000000022</v>
      </c>
      <c r="K22" s="50">
        <f t="shared" si="2"/>
        <v>36.124124999999978</v>
      </c>
      <c r="L22" s="9">
        <f t="shared" si="8"/>
        <v>0.69896562500000015</v>
      </c>
      <c r="M22" s="16">
        <v>3</v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3"/>
        <v/>
      </c>
    </row>
    <row r="23" spans="1:23" ht="25" customHeight="1">
      <c r="A23" s="38">
        <v>45820</v>
      </c>
      <c r="B23" s="15" t="s">
        <v>342</v>
      </c>
      <c r="C23" s="16" t="s">
        <v>38</v>
      </c>
      <c r="D23" s="5">
        <v>0.52083333333333337</v>
      </c>
      <c r="E23" s="5">
        <v>0.60416666666666663</v>
      </c>
      <c r="F23" s="6" t="str">
        <f t="shared" si="0"/>
        <v>No</v>
      </c>
      <c r="G23" s="6">
        <f t="shared" si="6"/>
        <v>8.3333333333333259E-2</v>
      </c>
      <c r="H23" s="50">
        <f>_xlfn.IFNA(VLOOKUP(C:C,'Active Jobs'!B:K,8,0),"")</f>
        <v>200</v>
      </c>
      <c r="I23" s="8">
        <f t="shared" si="7"/>
        <v>1.9999999999999982</v>
      </c>
      <c r="J23" s="50">
        <f t="shared" si="1"/>
        <v>134.20139999999986</v>
      </c>
      <c r="K23" s="50">
        <f t="shared" si="2"/>
        <v>65.798600000000135</v>
      </c>
      <c r="L23" s="9">
        <f t="shared" si="8"/>
        <v>0.67100699999999935</v>
      </c>
      <c r="M23" s="16">
        <v>3</v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3"/>
        <v/>
      </c>
    </row>
    <row r="24" spans="1:23" ht="25" customHeight="1">
      <c r="A24" s="38">
        <v>45820</v>
      </c>
      <c r="B24" s="15" t="s">
        <v>342</v>
      </c>
      <c r="C24" s="16" t="s">
        <v>39</v>
      </c>
      <c r="D24" s="5">
        <v>0.60416666666666663</v>
      </c>
      <c r="E24" s="5">
        <v>0.66527777777777775</v>
      </c>
      <c r="F24" s="6" t="str">
        <f t="shared" si="0"/>
        <v>No</v>
      </c>
      <c r="G24" s="6">
        <f t="shared" si="6"/>
        <v>6.1111111111111116E-2</v>
      </c>
      <c r="H24" s="50">
        <f>_xlfn.IFNA(VLOOKUP(C:C,'Active Jobs'!B:K,8,0),"")</f>
        <v>200</v>
      </c>
      <c r="I24" s="8">
        <f t="shared" si="7"/>
        <v>1.4666666666666668</v>
      </c>
      <c r="J24" s="50">
        <f t="shared" si="1"/>
        <v>98.414360000000016</v>
      </c>
      <c r="K24" s="50">
        <f t="shared" si="2"/>
        <v>101.58563999999998</v>
      </c>
      <c r="L24" s="9">
        <f t="shared" si="8"/>
        <v>0.49207180000000006</v>
      </c>
      <c r="M24" s="16">
        <v>3</v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3"/>
        <v/>
      </c>
    </row>
    <row r="25" spans="1:23" ht="25" customHeight="1">
      <c r="A25" s="38">
        <v>45821</v>
      </c>
      <c r="B25" s="15" t="s">
        <v>342</v>
      </c>
      <c r="C25" s="16" t="s">
        <v>40</v>
      </c>
      <c r="D25" s="5">
        <v>0.35416666666666669</v>
      </c>
      <c r="E25" s="5">
        <v>0.45833333333333331</v>
      </c>
      <c r="F25" s="6" t="str">
        <f t="shared" si="0"/>
        <v>No</v>
      </c>
      <c r="G25" s="6">
        <f t="shared" si="6"/>
        <v>0.10416666666666663</v>
      </c>
      <c r="H25" s="50">
        <v>230</v>
      </c>
      <c r="I25" s="8">
        <f t="shared" si="7"/>
        <v>2.4999999999999991</v>
      </c>
      <c r="J25" s="50">
        <f t="shared" si="1"/>
        <v>167.75174999999993</v>
      </c>
      <c r="K25" s="50">
        <f t="shared" si="2"/>
        <v>62.24825000000007</v>
      </c>
      <c r="L25" s="9">
        <f t="shared" si="8"/>
        <v>0.72935543478260845</v>
      </c>
      <c r="M25" s="16">
        <v>3</v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3"/>
        <v/>
      </c>
    </row>
    <row r="26" spans="1:23" ht="25" customHeight="1">
      <c r="A26" s="38">
        <v>45821</v>
      </c>
      <c r="B26" s="15" t="s">
        <v>342</v>
      </c>
      <c r="C26" s="16" t="s">
        <v>41</v>
      </c>
      <c r="D26" s="5">
        <v>0.45833333333333331</v>
      </c>
      <c r="E26" s="5">
        <v>0.5625</v>
      </c>
      <c r="F26" s="6" t="s">
        <v>17</v>
      </c>
      <c r="G26" s="6">
        <f t="shared" si="6"/>
        <v>8.3333333333333356E-2</v>
      </c>
      <c r="H26" s="50">
        <v>200</v>
      </c>
      <c r="I26" s="8">
        <f t="shared" si="7"/>
        <v>2.0000000000000004</v>
      </c>
      <c r="J26" s="50">
        <f t="shared" si="1"/>
        <v>134.20140000000004</v>
      </c>
      <c r="K26" s="50">
        <f t="shared" si="2"/>
        <v>65.798599999999965</v>
      </c>
      <c r="L26" s="9">
        <f t="shared" si="8"/>
        <v>0.67100700000000013</v>
      </c>
      <c r="M26" s="16">
        <v>3</v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3"/>
        <v/>
      </c>
    </row>
    <row r="27" spans="1:23" ht="25" customHeight="1">
      <c r="A27" s="38">
        <v>45821</v>
      </c>
      <c r="B27" s="15" t="s">
        <v>342</v>
      </c>
      <c r="C27" s="16" t="s">
        <v>42</v>
      </c>
      <c r="D27" s="5">
        <v>0.5625</v>
      </c>
      <c r="E27" s="5">
        <v>0.64583333333333337</v>
      </c>
      <c r="F27" s="6" t="str">
        <f t="shared" si="0"/>
        <v>No</v>
      </c>
      <c r="G27" s="6">
        <f t="shared" si="6"/>
        <v>8.333333333333337E-2</v>
      </c>
      <c r="H27" s="50">
        <f>_xlfn.IFNA(VLOOKUP(C:C,'Active Jobs'!B:K,8,0),"")</f>
        <v>200</v>
      </c>
      <c r="I27" s="8">
        <f t="shared" si="7"/>
        <v>2.0000000000000009</v>
      </c>
      <c r="J27" s="50">
        <f t="shared" si="1"/>
        <v>134.20140000000006</v>
      </c>
      <c r="K27" s="50">
        <f t="shared" si="2"/>
        <v>65.798599999999936</v>
      </c>
      <c r="L27" s="9">
        <f t="shared" si="8"/>
        <v>0.67100700000000035</v>
      </c>
      <c r="M27" s="16">
        <v>3</v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3"/>
        <v/>
      </c>
    </row>
    <row r="28" spans="1:23" ht="25" customHeight="1">
      <c r="A28" s="38">
        <v>45821</v>
      </c>
      <c r="B28" s="15" t="s">
        <v>342</v>
      </c>
      <c r="C28" s="16" t="s">
        <v>43</v>
      </c>
      <c r="D28" s="5">
        <v>0.64583333333333337</v>
      </c>
      <c r="E28" s="5">
        <v>0.6958333333333333</v>
      </c>
      <c r="F28" s="6" t="str">
        <f t="shared" si="0"/>
        <v>No</v>
      </c>
      <c r="G28" s="6">
        <f t="shared" si="6"/>
        <v>4.9999999999999933E-2</v>
      </c>
      <c r="H28" s="50">
        <v>250</v>
      </c>
      <c r="I28" s="8">
        <f t="shared" si="7"/>
        <v>1.1999999999999984</v>
      </c>
      <c r="J28" s="50">
        <f t="shared" si="1"/>
        <v>80.520839999999893</v>
      </c>
      <c r="K28" s="50">
        <f t="shared" si="2"/>
        <v>169.47916000000009</v>
      </c>
      <c r="L28" s="9">
        <f t="shared" si="8"/>
        <v>0.3220833599999996</v>
      </c>
      <c r="M28" s="16">
        <v>3</v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3"/>
        <v/>
      </c>
    </row>
    <row r="29" spans="1:23" ht="25" customHeight="1">
      <c r="A29" s="38">
        <v>45818</v>
      </c>
      <c r="B29" s="15" t="s">
        <v>348</v>
      </c>
      <c r="C29" s="16" t="s">
        <v>44</v>
      </c>
      <c r="D29" s="5">
        <v>0.35416666666666669</v>
      </c>
      <c r="E29" s="5">
        <v>0.45833333333333331</v>
      </c>
      <c r="F29" s="6" t="str">
        <f t="shared" si="0"/>
        <v>No</v>
      </c>
      <c r="G29" s="6">
        <f t="shared" si="6"/>
        <v>0.10416666666666663</v>
      </c>
      <c r="H29" s="50">
        <f>_xlfn.IFNA(VLOOKUP(C:C,'Active Jobs'!B:K,8,0),"")</f>
        <v>200</v>
      </c>
      <c r="I29" s="8">
        <f t="shared" si="7"/>
        <v>2.4999999999999991</v>
      </c>
      <c r="J29" s="50">
        <f t="shared" si="1"/>
        <v>167.75174999999993</v>
      </c>
      <c r="K29" s="50">
        <f t="shared" si="2"/>
        <v>32.24825000000007</v>
      </c>
      <c r="L29" s="9">
        <f t="shared" si="8"/>
        <v>0.83875874999999966</v>
      </c>
      <c r="M29" s="16">
        <v>1</v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3"/>
        <v/>
      </c>
    </row>
    <row r="30" spans="1:23" ht="25" customHeight="1">
      <c r="A30" s="38">
        <v>45818</v>
      </c>
      <c r="B30" s="15" t="s">
        <v>348</v>
      </c>
      <c r="C30" s="16" t="s">
        <v>45</v>
      </c>
      <c r="D30" s="5">
        <v>0.45833333333333331</v>
      </c>
      <c r="E30" s="5">
        <v>0.58333333333333337</v>
      </c>
      <c r="F30" s="6" t="s">
        <v>17</v>
      </c>
      <c r="G30" s="6">
        <f t="shared" si="6"/>
        <v>0.10416666666666673</v>
      </c>
      <c r="H30" s="50">
        <f>_xlfn.IFNA(VLOOKUP(C:C,'Active Jobs'!B:K,8,0),"")</f>
        <v>275</v>
      </c>
      <c r="I30" s="8">
        <f t="shared" si="7"/>
        <v>2.5000000000000013</v>
      </c>
      <c r="J30" s="50">
        <f t="shared" si="1"/>
        <v>167.75175000000007</v>
      </c>
      <c r="K30" s="50">
        <f t="shared" si="2"/>
        <v>107.24824999999993</v>
      </c>
      <c r="L30" s="9">
        <f t="shared" si="8"/>
        <v>0.61000636363636385</v>
      </c>
      <c r="M30" s="16">
        <v>1</v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3"/>
        <v/>
      </c>
    </row>
    <row r="31" spans="1:23" ht="25" customHeight="1">
      <c r="A31" s="38">
        <v>45818</v>
      </c>
      <c r="B31" s="15" t="s">
        <v>348</v>
      </c>
      <c r="C31" s="16" t="s">
        <v>46</v>
      </c>
      <c r="D31" s="5">
        <v>0.58333333333333337</v>
      </c>
      <c r="E31" s="5">
        <v>0.66666666666666663</v>
      </c>
      <c r="F31" s="6" t="str">
        <f t="shared" si="0"/>
        <v>No</v>
      </c>
      <c r="G31" s="6">
        <f t="shared" si="6"/>
        <v>8.3333333333333259E-2</v>
      </c>
      <c r="H31" s="50" t="str">
        <f>_xlfn.IFNA(VLOOKUP(C:C,'Active Jobs'!B:K,8,0),"")</f>
        <v/>
      </c>
      <c r="I31" s="8">
        <f t="shared" si="7"/>
        <v>1.9999999999999982</v>
      </c>
      <c r="J31" s="50">
        <f t="shared" si="1"/>
        <v>134.20139999999986</v>
      </c>
      <c r="K31" s="50" t="str">
        <f t="shared" si="2"/>
        <v/>
      </c>
      <c r="L31" s="9" t="str">
        <f t="shared" si="8"/>
        <v/>
      </c>
      <c r="M31" s="16">
        <v>1</v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3"/>
        <v/>
      </c>
    </row>
    <row r="32" spans="1:23" ht="25" customHeight="1">
      <c r="A32" s="38">
        <v>45819</v>
      </c>
      <c r="B32" s="15" t="s">
        <v>348</v>
      </c>
      <c r="D32" s="5"/>
      <c r="E32" s="5"/>
      <c r="F32" s="6" t="str">
        <f t="shared" si="0"/>
        <v/>
      </c>
      <c r="G32" s="6" t="str">
        <f t="shared" si="6"/>
        <v/>
      </c>
      <c r="H32" s="50" t="str">
        <f>_xlfn.IFNA(VLOOKUP(C:C,'Active Jobs'!B:K,8,0),"")</f>
        <v/>
      </c>
      <c r="I32" s="8" t="str">
        <f t="shared" si="7"/>
        <v/>
      </c>
      <c r="J32" s="50" t="str">
        <f t="shared" si="1"/>
        <v/>
      </c>
      <c r="K32" s="50" t="str">
        <f t="shared" si="2"/>
        <v/>
      </c>
      <c r="L32" s="9" t="str">
        <f t="shared" si="8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3"/>
        <v/>
      </c>
    </row>
    <row r="33" spans="2:20" ht="25" customHeight="1">
      <c r="B33" s="15"/>
      <c r="D33" s="5"/>
      <c r="E33" s="5"/>
      <c r="F33" s="6" t="str">
        <f t="shared" si="0"/>
        <v/>
      </c>
      <c r="G33" s="6" t="str">
        <f t="shared" si="6"/>
        <v/>
      </c>
      <c r="H33" s="50" t="str">
        <f>_xlfn.IFNA(VLOOKUP(C:C,'Active Jobs'!B:K,8,0),"")</f>
        <v/>
      </c>
      <c r="I33" s="8" t="str">
        <f t="shared" si="7"/>
        <v/>
      </c>
      <c r="J33" s="50" t="str">
        <f t="shared" si="1"/>
        <v/>
      </c>
      <c r="K33" s="50" t="str">
        <f t="shared" si="2"/>
        <v/>
      </c>
      <c r="L33" s="9" t="str">
        <f t="shared" si="8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3"/>
        <v/>
      </c>
    </row>
    <row r="34" spans="2:20" ht="25" customHeight="1">
      <c r="B34" s="15"/>
      <c r="D34" s="5"/>
      <c r="E34" s="5"/>
      <c r="F34" s="6" t="str">
        <f t="shared" si="0"/>
        <v/>
      </c>
      <c r="G34" s="6" t="str">
        <f t="shared" si="6"/>
        <v/>
      </c>
      <c r="H34" s="50" t="str">
        <f>_xlfn.IFNA(VLOOKUP(C:C,'Active Jobs'!B:K,8,0),"")</f>
        <v/>
      </c>
      <c r="I34" s="8" t="str">
        <f t="shared" si="7"/>
        <v/>
      </c>
      <c r="J34" s="50" t="str">
        <f t="shared" si="1"/>
        <v/>
      </c>
      <c r="K34" s="50" t="str">
        <f t="shared" si="2"/>
        <v/>
      </c>
      <c r="L34" s="9" t="str">
        <f t="shared" si="8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3"/>
        <v/>
      </c>
    </row>
    <row r="35" spans="2:20" ht="25" customHeight="1">
      <c r="B35" s="15"/>
      <c r="D35" s="5"/>
      <c r="E35" s="5"/>
      <c r="F35" s="6" t="str">
        <f t="shared" si="0"/>
        <v/>
      </c>
      <c r="G35" s="6" t="str">
        <f t="shared" si="6"/>
        <v/>
      </c>
      <c r="H35" s="50" t="str">
        <f>_xlfn.IFNA(VLOOKUP(C:C,'Active Jobs'!B:K,8,0),"")</f>
        <v/>
      </c>
      <c r="I35" s="8" t="str">
        <f t="shared" si="7"/>
        <v/>
      </c>
      <c r="J35" s="50" t="str">
        <f t="shared" si="1"/>
        <v/>
      </c>
      <c r="K35" s="50" t="str">
        <f t="shared" si="2"/>
        <v/>
      </c>
      <c r="L35" s="9" t="str">
        <f t="shared" si="8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3"/>
        <v/>
      </c>
    </row>
    <row r="36" spans="2:20" ht="25" customHeight="1">
      <c r="B36" s="15"/>
      <c r="D36" s="5"/>
      <c r="E36" s="5"/>
      <c r="F36" s="6" t="str">
        <f t="shared" si="0"/>
        <v/>
      </c>
      <c r="G36" s="6" t="str">
        <f t="shared" si="6"/>
        <v/>
      </c>
      <c r="H36" s="50" t="str">
        <f>_xlfn.IFNA(VLOOKUP(C:C,'Active Jobs'!B:K,8,0),"")</f>
        <v/>
      </c>
      <c r="I36" s="8" t="str">
        <f t="shared" si="7"/>
        <v/>
      </c>
      <c r="J36" s="50" t="str">
        <f t="shared" si="1"/>
        <v/>
      </c>
      <c r="K36" s="50" t="str">
        <f t="shared" si="2"/>
        <v/>
      </c>
      <c r="L36" s="9" t="str">
        <f t="shared" si="8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3"/>
        <v/>
      </c>
    </row>
    <row r="37" spans="2:20" ht="25" customHeight="1">
      <c r="B37" s="15"/>
      <c r="D37" s="5"/>
      <c r="E37" s="5"/>
      <c r="F37" s="6" t="str">
        <f t="shared" si="0"/>
        <v/>
      </c>
      <c r="G37" s="6" t="str">
        <f t="shared" si="6"/>
        <v/>
      </c>
      <c r="H37" s="50" t="str">
        <f>_xlfn.IFNA(VLOOKUP(C:C,'Active Jobs'!B:K,8,0),"")</f>
        <v/>
      </c>
      <c r="I37" s="8" t="str">
        <f t="shared" si="7"/>
        <v/>
      </c>
      <c r="J37" s="50" t="str">
        <f t="shared" si="1"/>
        <v/>
      </c>
      <c r="K37" s="50" t="str">
        <f t="shared" si="2"/>
        <v/>
      </c>
      <c r="L37" s="9" t="str">
        <f t="shared" si="8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3"/>
        <v/>
      </c>
    </row>
    <row r="38" spans="2:20" ht="25" customHeight="1">
      <c r="B38" s="15"/>
      <c r="D38" s="5"/>
      <c r="E38" s="5"/>
      <c r="F38" s="6" t="str">
        <f t="shared" si="0"/>
        <v/>
      </c>
      <c r="G38" s="6" t="str">
        <f t="shared" si="6"/>
        <v/>
      </c>
      <c r="H38" s="50" t="str">
        <f>_xlfn.IFNA(VLOOKUP(C:C,'Active Jobs'!B:K,8,0),"")</f>
        <v/>
      </c>
      <c r="I38" s="8" t="str">
        <f t="shared" si="7"/>
        <v/>
      </c>
      <c r="J38" s="50" t="str">
        <f t="shared" si="1"/>
        <v/>
      </c>
      <c r="K38" s="50" t="str">
        <f t="shared" si="2"/>
        <v/>
      </c>
      <c r="L38" s="9" t="str">
        <f t="shared" si="8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3"/>
        <v/>
      </c>
    </row>
    <row r="39" spans="2:20" ht="25" customHeight="1">
      <c r="B39" s="15"/>
      <c r="D39" s="5"/>
      <c r="E39" s="5"/>
      <c r="F39" s="6" t="str">
        <f t="shared" si="0"/>
        <v/>
      </c>
      <c r="G39" s="6" t="str">
        <f t="shared" si="6"/>
        <v/>
      </c>
      <c r="H39" s="50" t="str">
        <f>_xlfn.IFNA(VLOOKUP(C:C,'Active Jobs'!B:K,8,0),"")</f>
        <v/>
      </c>
      <c r="I39" s="8" t="str">
        <f t="shared" si="7"/>
        <v/>
      </c>
      <c r="J39" s="50" t="str">
        <f t="shared" si="1"/>
        <v/>
      </c>
      <c r="K39" s="50" t="str">
        <f t="shared" si="2"/>
        <v/>
      </c>
      <c r="L39" s="9" t="str">
        <f t="shared" si="8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3"/>
        <v/>
      </c>
    </row>
    <row r="40" spans="2:20" ht="25" customHeight="1">
      <c r="B40" s="15"/>
      <c r="D40" s="5"/>
      <c r="E40" s="5"/>
      <c r="F40" s="6" t="str">
        <f t="shared" si="0"/>
        <v/>
      </c>
      <c r="G40" s="6" t="str">
        <f t="shared" si="6"/>
        <v/>
      </c>
      <c r="H40" s="50" t="str">
        <f>_xlfn.IFNA(VLOOKUP(C:C,'Active Jobs'!B:K,8,0),"")</f>
        <v/>
      </c>
      <c r="I40" s="8" t="str">
        <f t="shared" si="7"/>
        <v/>
      </c>
      <c r="J40" s="50" t="str">
        <f t="shared" si="1"/>
        <v/>
      </c>
      <c r="K40" s="50" t="str">
        <f t="shared" si="2"/>
        <v/>
      </c>
      <c r="L40" s="9" t="str">
        <f t="shared" si="8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3"/>
        <v/>
      </c>
    </row>
    <row r="41" spans="2:20" ht="25" customHeight="1">
      <c r="B41" s="15"/>
      <c r="D41" s="5"/>
      <c r="E41" s="5"/>
      <c r="F41" s="6" t="str">
        <f t="shared" si="0"/>
        <v/>
      </c>
      <c r="G41" s="6" t="str">
        <f t="shared" si="6"/>
        <v/>
      </c>
      <c r="H41" s="50" t="str">
        <f>_xlfn.IFNA(VLOOKUP(C:C,'Active Jobs'!B:K,8,0),"")</f>
        <v/>
      </c>
      <c r="I41" s="8" t="str">
        <f t="shared" si="7"/>
        <v/>
      </c>
      <c r="J41" s="50" t="str">
        <f t="shared" si="1"/>
        <v/>
      </c>
      <c r="K41" s="50" t="str">
        <f t="shared" si="2"/>
        <v/>
      </c>
      <c r="L41" s="9" t="str">
        <f t="shared" si="8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3"/>
        <v/>
      </c>
    </row>
    <row r="42" spans="2:20" ht="25" customHeight="1">
      <c r="B42" s="15"/>
      <c r="D42" s="5"/>
      <c r="E42" s="5"/>
      <c r="F42" s="6" t="str">
        <f t="shared" si="0"/>
        <v/>
      </c>
      <c r="G42" s="6" t="str">
        <f t="shared" si="6"/>
        <v/>
      </c>
      <c r="H42" s="50" t="str">
        <f>_xlfn.IFNA(VLOOKUP(C:C,'Active Jobs'!B:K,8,0),"")</f>
        <v/>
      </c>
      <c r="I42" s="8" t="str">
        <f t="shared" si="7"/>
        <v/>
      </c>
      <c r="J42" s="50" t="str">
        <f t="shared" si="1"/>
        <v/>
      </c>
      <c r="K42" s="50" t="str">
        <f t="shared" si="2"/>
        <v/>
      </c>
      <c r="L42" s="9" t="str">
        <f t="shared" si="8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3"/>
        <v/>
      </c>
    </row>
    <row r="43" spans="2:20" ht="25" customHeight="1">
      <c r="B43" s="15"/>
      <c r="D43" s="5"/>
      <c r="E43" s="5"/>
      <c r="F43" s="6" t="str">
        <f t="shared" si="0"/>
        <v/>
      </c>
      <c r="G43" s="6" t="str">
        <f t="shared" si="6"/>
        <v/>
      </c>
      <c r="H43" s="50" t="str">
        <f>_xlfn.IFNA(VLOOKUP(C:C,'Active Jobs'!B:K,8,0),"")</f>
        <v/>
      </c>
      <c r="I43" s="8" t="str">
        <f t="shared" si="7"/>
        <v/>
      </c>
      <c r="J43" s="50" t="str">
        <f t="shared" si="1"/>
        <v/>
      </c>
      <c r="K43" s="50" t="str">
        <f t="shared" si="2"/>
        <v/>
      </c>
      <c r="L43" s="9" t="str">
        <f t="shared" si="8"/>
        <v/>
      </c>
    </row>
    <row r="44" spans="2:20" ht="25" customHeight="1">
      <c r="B44" s="15"/>
      <c r="D44" s="5"/>
      <c r="E44" s="5"/>
      <c r="F44" s="6" t="str">
        <f t="shared" si="0"/>
        <v/>
      </c>
      <c r="G44" s="6" t="str">
        <f t="shared" si="6"/>
        <v/>
      </c>
      <c r="H44" s="50" t="str">
        <f>_xlfn.IFNA(VLOOKUP(C:C,'Active Jobs'!B:K,8,0),"")</f>
        <v/>
      </c>
      <c r="I44" s="8" t="str">
        <f t="shared" si="7"/>
        <v/>
      </c>
      <c r="J44" s="50" t="str">
        <f t="shared" si="1"/>
        <v/>
      </c>
      <c r="K44" s="50" t="str">
        <f t="shared" si="2"/>
        <v/>
      </c>
      <c r="L44" s="9" t="str">
        <f t="shared" si="8"/>
        <v/>
      </c>
    </row>
    <row r="45" spans="2:20" ht="25" customHeight="1">
      <c r="B45" s="15"/>
      <c r="D45" s="5"/>
      <c r="E45" s="5"/>
      <c r="F45" s="6" t="str">
        <f t="shared" si="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7"/>
        <v/>
      </c>
      <c r="J45" s="50" t="str">
        <f t="shared" si="1"/>
        <v/>
      </c>
      <c r="K45" s="50" t="str">
        <f t="shared" si="2"/>
        <v/>
      </c>
      <c r="L45" s="9" t="str">
        <f t="shared" si="8"/>
        <v/>
      </c>
    </row>
    <row r="46" spans="2:20" ht="25" customHeight="1">
      <c r="B46" s="86"/>
      <c r="D46" s="5"/>
      <c r="E46" s="5"/>
      <c r="F46" s="6" t="str">
        <f t="shared" si="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7"/>
        <v/>
      </c>
      <c r="J46" s="50" t="str">
        <f t="shared" si="1"/>
        <v/>
      </c>
      <c r="K46" s="50" t="str">
        <f t="shared" si="2"/>
        <v/>
      </c>
      <c r="L46" s="9" t="str">
        <f t="shared" si="8"/>
        <v/>
      </c>
    </row>
    <row r="47" spans="2:20" ht="25" customHeight="1">
      <c r="B47" s="86"/>
      <c r="D47" s="5"/>
      <c r="E47" s="5"/>
      <c r="F47" s="6" t="str">
        <f t="shared" si="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1"/>
        <v/>
      </c>
      <c r="K47" s="50" t="str">
        <f t="shared" si="2"/>
        <v/>
      </c>
      <c r="L47" s="9" t="str">
        <f t="shared" si="8"/>
        <v/>
      </c>
    </row>
    <row r="48" spans="2:20" ht="25" customHeight="1">
      <c r="D48" s="83"/>
      <c r="E48" s="83"/>
      <c r="F48" s="84"/>
      <c r="G48" s="6"/>
      <c r="H48" s="85">
        <f>SUBTOTAL(109,Table2261210141658[Quoted])</f>
        <v>7085</v>
      </c>
      <c r="I48" s="81">
        <f>SUBTOTAL(109,Table2261210141658[Hours Payable])</f>
        <v>64.416666666666657</v>
      </c>
      <c r="J48" s="85">
        <f>SUBTOTAL(109,Table2261210141658[Wages (Incl. Super)])</f>
        <v>4322.4034249999995</v>
      </c>
      <c r="K48" s="85">
        <f>SUBTOTAL(109,Table2261210141658[Profit])</f>
        <v>2896.7979750000013</v>
      </c>
      <c r="L48" s="82">
        <f>IF(L2="","",SUBTOTAL(101,Table2261210141658[Quote/Wages]))</f>
        <v>0.61852204144755651</v>
      </c>
    </row>
  </sheetData>
  <conditionalFormatting sqref="B1 B49:B269">
    <cfRule type="expression" dxfId="95" priority="3">
      <formula>AND(ROW()&gt;1, E1&lt;&gt;"", COUNTIFS(A:A, $A1, B:B, $B1, F:F, "Yes")=0)</formula>
    </cfRule>
  </conditionalFormatting>
  <conditionalFormatting sqref="F1 F49:F269">
    <cfRule type="expression" dxfId="94" priority="4" stopIfTrue="1">
      <formula>AND(ROW()&gt;1, E1&lt;&gt;"", COUNTIFS(A:A, $A1, B:B, $B1, F:F, "Yes")=0)</formula>
    </cfRule>
  </conditionalFormatting>
  <conditionalFormatting sqref="B2:B45">
    <cfRule type="expression" dxfId="93" priority="1">
      <formula>AND(ROW()&gt;1, E2&lt;&gt;"", COUNTIFS(A:A, $A2, B:B, $B2, F:F, "Yes")=0)</formula>
    </cfRule>
  </conditionalFormatting>
  <conditionalFormatting sqref="F2:F47">
    <cfRule type="expression" dxfId="92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16CA36FB-2A9B-45B0-AF22-90715FAD8464}">
      <formula1>"No, Yes"</formula1>
    </dataValidation>
    <dataValidation type="list" allowBlank="1" showErrorMessage="1" promptTitle="Select" sqref="B2:B45" xr:uid="{E4E0A864-B337-4CB9-BE58-8B4C6AB320C2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3356F8DC-06F3-496B-82C3-D07CD506EC6D}">
          <x14:formula1>
            <xm:f>'Active Jobs'!$B$2:$B$154</xm:f>
          </x14:formula1>
          <xm:sqref>C2:C47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FCC16-733D-449E-8DB3-AD64CB26C17E}">
  <sheetPr codeName="Sheet31"/>
  <dimension ref="A1:W48"/>
  <sheetViews>
    <sheetView zoomScale="125" zoomScaleNormal="125" workbookViewId="0">
      <selection activeCell="C4" sqref="C4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P1">IF(B2="","",TRANSPOSE(_xlfn._xlws.FILTER(_xlfn.UNIQUE(A2:A219), _xlfn.UNIQUE(A2:A219)&lt;&gt;"")))</f>
        <v>45813</v>
      </c>
      <c r="P1" s="63">
        <v>45814</v>
      </c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45813</v>
      </c>
      <c r="B2" s="15" t="s">
        <v>342</v>
      </c>
      <c r="C2" s="16" t="s">
        <v>47</v>
      </c>
      <c r="D2" s="5">
        <v>0.35416666666666669</v>
      </c>
      <c r="E2" s="5">
        <v>0.45833333333333331</v>
      </c>
      <c r="F2" s="6" t="str">
        <f t="shared" ref="F2:F47" si="0">IF(E2="","","No")</f>
        <v>No</v>
      </c>
      <c r="G2" s="6">
        <f>IF(E2="","",IF(F2="Yes",(E2-D2)-TIME(0,30,0),E2-D2))</f>
        <v>0.10416666666666663</v>
      </c>
      <c r="H2" s="50">
        <f>_xlfn.IFNA(VLOOKUP(C:C,'Active Jobs'!B:K,8,0),"")</f>
        <v>200</v>
      </c>
      <c r="I2" s="8">
        <f>IF(F2="Yes",(E2-D2)*24-0.5,IF(F2="No",(E2-D2)*24,""))</f>
        <v>2.4999999999999991</v>
      </c>
      <c r="J2" s="50">
        <f t="shared" ref="J2:J47" si="1">IF(G2="","",G2*24*HourlyRate*2*(1+Super))</f>
        <v>167.75174999999993</v>
      </c>
      <c r="K2" s="50">
        <f t="shared" ref="K2:K47" si="2">IF(H2="","",IF(E2="","",IF(J2=0,0,H2-J2)))</f>
        <v>32.24825000000007</v>
      </c>
      <c r="L2" s="9">
        <f>IF(K2="","",IF(H2=0,1,J2/H2))</f>
        <v>0.83875874999999966</v>
      </c>
      <c r="M2" s="16">
        <v>3</v>
      </c>
      <c r="N2" s="41" t="str" cm="1">
        <f t="array" ref="N2:N7">IF(B2="","",_xlfn.UNIQUE(TRANSPOSE(_xlfn.TEXTSPLIT(_xlfn.TEXTJOIN(" &amp; ", TRUE, TRIM(B2:B219)), " &amp; "))))</f>
        <v>Alice McLaren</v>
      </c>
      <c r="O2" s="23">
        <f>IF(N2="","",ROUND(SUMIFS($I:$I,$A:$A,O$1,$B:$B,"*"&amp;$N2&amp;"*"),2))</f>
        <v>4.17</v>
      </c>
      <c r="P2" s="23">
        <f>IF(O2="","",ROUND(SUMIFS($I:$I,$A:$A,P$1,$B:$B,"*"&amp;$N2&amp;"*"),2))</f>
        <v>7.57</v>
      </c>
      <c r="Q2" s="23">
        <f>IF(P2="","",ROUND(SUMIFS($I:$I,$A:$A,Q$1,$B:$B,"*"&amp;$N2&amp;"*"),2))</f>
        <v>0</v>
      </c>
      <c r="R2" s="23">
        <f>IF(Q2="","",ROUND(SUMIFS($I:$I,$A:$A,R$1,$B:$B,"*"&amp;$N2&amp;"*"),2))</f>
        <v>0</v>
      </c>
      <c r="S2" s="23">
        <f>IF(R2="","",ROUND(SUMIFS($I:$I,$A:$A,S$1,$B:$B,"*"&amp;$N2&amp;"*"),2))</f>
        <v>0</v>
      </c>
      <c r="T2" s="10">
        <f t="shared" ref="T2:T42" si="3">IF(N2="","",SUM(O2:S2))</f>
        <v>11.74</v>
      </c>
      <c r="U2" s="24"/>
      <c r="V2" s="24">
        <f t="shared" ref="V2:V18" si="4">IF(N2="","",T2*HourlyRate)</f>
        <v>353.25659999999999</v>
      </c>
      <c r="W2" s="25">
        <f t="shared" ref="W2:W18" si="5">IF(N2="","",V2*Super)</f>
        <v>40.624509000000003</v>
      </c>
    </row>
    <row r="3" spans="1:23" ht="25" customHeight="1">
      <c r="A3" s="37">
        <v>45813</v>
      </c>
      <c r="B3" s="15" t="s">
        <v>342</v>
      </c>
      <c r="C3" s="16" t="s">
        <v>48</v>
      </c>
      <c r="D3" s="5">
        <v>0.45833333333333331</v>
      </c>
      <c r="E3" s="5">
        <v>0.52777777777777779</v>
      </c>
      <c r="F3" s="6" t="str">
        <f t="shared" si="0"/>
        <v>No</v>
      </c>
      <c r="G3" s="6">
        <f t="shared" ref="G3:G47" si="6">IF(E3="","",IF(F3="Yes",(E3-D3)-TIME(0,30,0),E3-D3))</f>
        <v>6.9444444444444475E-2</v>
      </c>
      <c r="H3" s="50">
        <f>_xlfn.IFNA(VLOOKUP(C:C,'Active Jobs'!B:K,8,0),"")</f>
        <v>215</v>
      </c>
      <c r="I3" s="8">
        <f t="shared" ref="I3:I47" si="7">IF(F3="Yes",(E3-D3)*24-0.5,IF(F3="No",(E3-D3)*24,""))</f>
        <v>1.6666666666666674</v>
      </c>
      <c r="J3" s="50">
        <f t="shared" si="1"/>
        <v>111.83450000000005</v>
      </c>
      <c r="K3" s="50">
        <f t="shared" si="2"/>
        <v>103.16549999999995</v>
      </c>
      <c r="L3" s="9">
        <f t="shared" ref="L3:L47" si="8">IF(K3="","",IF(H3=0,1,J3/H3))</f>
        <v>0.52016046511627934</v>
      </c>
      <c r="M3" s="16">
        <v>3</v>
      </c>
      <c r="N3" s="42" t="str">
        <v>Nancy Scott</v>
      </c>
      <c r="O3" s="23">
        <f t="shared" ref="O3:S18" si="9">IF(N3="","",ROUND(SUMIFS($I:$I,$A:$A,O$1,$B:$B,"*"&amp;$N3&amp;"*"),2))</f>
        <v>4.17</v>
      </c>
      <c r="P3" s="23">
        <f t="shared" si="9"/>
        <v>7.57</v>
      </c>
      <c r="Q3" s="23">
        <f t="shared" si="9"/>
        <v>0</v>
      </c>
      <c r="R3" s="23">
        <f t="shared" si="9"/>
        <v>0</v>
      </c>
      <c r="S3" s="23">
        <f t="shared" si="9"/>
        <v>0</v>
      </c>
      <c r="T3" s="10">
        <f t="shared" si="3"/>
        <v>11.74</v>
      </c>
      <c r="U3" s="21"/>
      <c r="V3" s="24">
        <f t="shared" si="4"/>
        <v>353.25659999999999</v>
      </c>
      <c r="W3" s="25">
        <f t="shared" si="5"/>
        <v>40.624509000000003</v>
      </c>
    </row>
    <row r="4" spans="1:23" ht="25" customHeight="1">
      <c r="A4" s="37">
        <v>45813</v>
      </c>
      <c r="B4" s="15" t="s">
        <v>346</v>
      </c>
      <c r="C4" s="16" t="s">
        <v>49</v>
      </c>
      <c r="D4" s="5">
        <v>0.35416666666666669</v>
      </c>
      <c r="E4" s="5">
        <v>0.48958333333333331</v>
      </c>
      <c r="F4" s="6" t="s">
        <v>17</v>
      </c>
      <c r="G4" s="6">
        <f t="shared" si="6"/>
        <v>0.1145833333333333</v>
      </c>
      <c r="H4" s="50">
        <f>_xlfn.IFNA(VLOOKUP(C:C,'Active Jobs'!B:K,8,0),"")</f>
        <v>240</v>
      </c>
      <c r="I4" s="8">
        <f t="shared" si="7"/>
        <v>2.7499999999999991</v>
      </c>
      <c r="J4" s="50">
        <f t="shared" si="1"/>
        <v>184.52692499999995</v>
      </c>
      <c r="K4" s="50">
        <f t="shared" si="2"/>
        <v>55.473075000000051</v>
      </c>
      <c r="L4" s="9">
        <f t="shared" si="8"/>
        <v>0.76886218749999979</v>
      </c>
      <c r="M4" s="16">
        <v>2</v>
      </c>
      <c r="N4" s="42" t="str">
        <v>Sally Ann Kane</v>
      </c>
      <c r="O4" s="23">
        <f t="shared" si="9"/>
        <v>5.42</v>
      </c>
      <c r="P4" s="23">
        <f t="shared" si="9"/>
        <v>5.92</v>
      </c>
      <c r="Q4" s="23">
        <f t="shared" si="9"/>
        <v>0</v>
      </c>
      <c r="R4" s="23">
        <f t="shared" si="9"/>
        <v>0</v>
      </c>
      <c r="S4" s="23">
        <f t="shared" si="9"/>
        <v>0</v>
      </c>
      <c r="T4" s="10">
        <f t="shared" si="3"/>
        <v>11.34</v>
      </c>
      <c r="U4" s="21"/>
      <c r="V4" s="24">
        <f t="shared" si="4"/>
        <v>341.22059999999999</v>
      </c>
      <c r="W4" s="25">
        <f t="shared" si="5"/>
        <v>39.240369000000001</v>
      </c>
    </row>
    <row r="5" spans="1:23" ht="25" customHeight="1">
      <c r="A5" s="37">
        <v>45813</v>
      </c>
      <c r="B5" s="15" t="s">
        <v>346</v>
      </c>
      <c r="C5" s="16" t="s">
        <v>50</v>
      </c>
      <c r="D5" s="5">
        <v>0.48958333333333331</v>
      </c>
      <c r="E5" s="5">
        <v>0.60069444444444442</v>
      </c>
      <c r="F5" s="6" t="str">
        <f t="shared" si="0"/>
        <v>No</v>
      </c>
      <c r="G5" s="6">
        <f t="shared" si="6"/>
        <v>0.1111111111111111</v>
      </c>
      <c r="H5" s="50">
        <f>_xlfn.IFNA(VLOOKUP(C:C,'Active Jobs'!B:K,8,0),"")</f>
        <v>250</v>
      </c>
      <c r="I5" s="8">
        <f t="shared" si="7"/>
        <v>2.6666666666666665</v>
      </c>
      <c r="J5" s="50">
        <f t="shared" si="1"/>
        <v>178.93519999999998</v>
      </c>
      <c r="K5" s="50">
        <f t="shared" si="2"/>
        <v>71.06480000000002</v>
      </c>
      <c r="L5" s="9">
        <f t="shared" si="8"/>
        <v>0.71574079999999995</v>
      </c>
      <c r="M5" s="16">
        <v>2</v>
      </c>
      <c r="N5" s="42" t="str">
        <v>Georgia Howell</v>
      </c>
      <c r="O5" s="23">
        <f t="shared" si="9"/>
        <v>5.42</v>
      </c>
      <c r="P5" s="23">
        <f t="shared" si="9"/>
        <v>5.92</v>
      </c>
      <c r="Q5" s="23">
        <f t="shared" si="9"/>
        <v>0</v>
      </c>
      <c r="R5" s="23">
        <f t="shared" si="9"/>
        <v>0</v>
      </c>
      <c r="S5" s="23">
        <f t="shared" si="9"/>
        <v>0</v>
      </c>
      <c r="T5" s="10">
        <f t="shared" si="3"/>
        <v>11.34</v>
      </c>
      <c r="U5" s="21"/>
      <c r="V5" s="24">
        <f t="shared" si="4"/>
        <v>341.22059999999999</v>
      </c>
      <c r="W5" s="25">
        <f t="shared" si="5"/>
        <v>39.240369000000001</v>
      </c>
    </row>
    <row r="6" spans="1:23" ht="25" customHeight="1">
      <c r="A6" s="37">
        <v>45813</v>
      </c>
      <c r="B6" s="15" t="s">
        <v>348</v>
      </c>
      <c r="C6" s="16" t="s">
        <v>27</v>
      </c>
      <c r="D6" s="5">
        <v>0.35416666666666669</v>
      </c>
      <c r="E6" s="5">
        <v>0.46875</v>
      </c>
      <c r="F6" s="6" t="str">
        <f t="shared" si="0"/>
        <v>No</v>
      </c>
      <c r="G6" s="6">
        <f t="shared" si="6"/>
        <v>0.11458333333333331</v>
      </c>
      <c r="H6" s="50">
        <v>240</v>
      </c>
      <c r="I6" s="8">
        <f t="shared" si="7"/>
        <v>2.7499999999999996</v>
      </c>
      <c r="J6" s="50">
        <f t="shared" si="1"/>
        <v>184.52692499999998</v>
      </c>
      <c r="K6" s="50">
        <f t="shared" si="2"/>
        <v>55.473075000000023</v>
      </c>
      <c r="L6" s="9">
        <f t="shared" si="8"/>
        <v>0.76886218749999991</v>
      </c>
      <c r="M6" s="16">
        <v>1</v>
      </c>
      <c r="N6" s="43" t="str">
        <v>Aoife O'Gorman</v>
      </c>
      <c r="O6" s="23">
        <f t="shared" si="9"/>
        <v>4.75</v>
      </c>
      <c r="P6" s="23">
        <f t="shared" si="9"/>
        <v>0</v>
      </c>
      <c r="Q6" s="23">
        <f t="shared" si="9"/>
        <v>0</v>
      </c>
      <c r="R6" s="23">
        <f t="shared" si="9"/>
        <v>0</v>
      </c>
      <c r="S6" s="23">
        <f t="shared" si="9"/>
        <v>0</v>
      </c>
      <c r="T6" s="10">
        <f t="shared" si="3"/>
        <v>4.75</v>
      </c>
      <c r="U6" s="21"/>
      <c r="V6" s="24">
        <f t="shared" si="4"/>
        <v>142.92750000000001</v>
      </c>
      <c r="W6" s="25">
        <f t="shared" si="5"/>
        <v>16.436662500000001</v>
      </c>
    </row>
    <row r="7" spans="1:23" ht="25" customHeight="1">
      <c r="A7" s="37">
        <v>45813</v>
      </c>
      <c r="B7" s="15" t="s">
        <v>348</v>
      </c>
      <c r="C7" s="16" t="s">
        <v>51</v>
      </c>
      <c r="D7" s="5">
        <v>0.46875</v>
      </c>
      <c r="E7" s="5">
        <v>0.57291666666666663</v>
      </c>
      <c r="F7" s="6" t="s">
        <v>17</v>
      </c>
      <c r="G7" s="6">
        <f t="shared" si="6"/>
        <v>8.3333333333333301E-2</v>
      </c>
      <c r="H7" s="50">
        <f>_xlfn.IFNA(VLOOKUP(C:C,'Active Jobs'!B:K,8,0),"")</f>
        <v>250</v>
      </c>
      <c r="I7" s="8">
        <f t="shared" si="7"/>
        <v>1.9999999999999991</v>
      </c>
      <c r="J7" s="50">
        <f t="shared" si="1"/>
        <v>134.20139999999992</v>
      </c>
      <c r="K7" s="50">
        <f t="shared" si="2"/>
        <v>115.79860000000008</v>
      </c>
      <c r="L7" s="9">
        <f t="shared" si="8"/>
        <v>0.53680559999999966</v>
      </c>
      <c r="M7" s="16">
        <v>1</v>
      </c>
      <c r="N7" s="47" t="str">
        <v>Katie Black</v>
      </c>
      <c r="O7" s="23">
        <f t="shared" si="9"/>
        <v>4.75</v>
      </c>
      <c r="P7" s="23">
        <f t="shared" si="9"/>
        <v>0</v>
      </c>
      <c r="Q7" s="23">
        <f t="shared" si="9"/>
        <v>0</v>
      </c>
      <c r="R7" s="23">
        <f t="shared" si="9"/>
        <v>0</v>
      </c>
      <c r="S7" s="23">
        <f t="shared" si="9"/>
        <v>0</v>
      </c>
      <c r="T7" s="10">
        <f t="shared" si="3"/>
        <v>4.75</v>
      </c>
      <c r="U7" s="21"/>
      <c r="V7" s="24">
        <f t="shared" si="4"/>
        <v>142.92750000000001</v>
      </c>
      <c r="W7" s="25">
        <f t="shared" si="5"/>
        <v>16.436662500000001</v>
      </c>
    </row>
    <row r="8" spans="1:23" ht="25" customHeight="1">
      <c r="A8" s="37">
        <v>45814</v>
      </c>
      <c r="B8" s="15" t="s">
        <v>342</v>
      </c>
      <c r="C8" s="49" t="s">
        <v>52</v>
      </c>
      <c r="D8" s="5">
        <v>0.35416666666666669</v>
      </c>
      <c r="E8" s="5">
        <v>0.45833333333333331</v>
      </c>
      <c r="F8" s="6" t="s">
        <v>53</v>
      </c>
      <c r="G8" s="6">
        <v>0.10416666666666667</v>
      </c>
      <c r="H8" s="50">
        <v>220</v>
      </c>
      <c r="I8" s="8">
        <v>2.5</v>
      </c>
      <c r="J8" s="50">
        <f t="shared" si="1"/>
        <v>167.75174999999999</v>
      </c>
      <c r="K8" s="50">
        <f t="shared" si="2"/>
        <v>52.248250000000013</v>
      </c>
      <c r="L8" s="9"/>
      <c r="M8" s="16">
        <v>3</v>
      </c>
      <c r="N8" s="41"/>
      <c r="O8" s="23"/>
      <c r="P8" s="23"/>
      <c r="Q8" s="23"/>
      <c r="R8" s="23"/>
      <c r="S8" s="23"/>
      <c r="T8" s="10"/>
      <c r="U8" s="21"/>
      <c r="V8" s="24"/>
      <c r="W8" s="25"/>
    </row>
    <row r="9" spans="1:23" ht="25" customHeight="1">
      <c r="A9" s="37">
        <v>45814</v>
      </c>
      <c r="B9" s="15" t="s">
        <v>342</v>
      </c>
      <c r="C9" s="16" t="s">
        <v>54</v>
      </c>
      <c r="D9" s="5">
        <v>0.46875</v>
      </c>
      <c r="E9" s="5">
        <v>0.5625</v>
      </c>
      <c r="F9" s="6" t="s">
        <v>17</v>
      </c>
      <c r="G9" s="6">
        <f t="shared" si="6"/>
        <v>7.2916666666666671E-2</v>
      </c>
      <c r="H9" s="50">
        <f>_xlfn.IFNA(VLOOKUP(C:C,'Active Jobs'!B:K,8,0),"")</f>
        <v>200</v>
      </c>
      <c r="I9" s="8">
        <f t="shared" si="7"/>
        <v>1.75</v>
      </c>
      <c r="J9" s="50">
        <f t="shared" si="1"/>
        <v>117.426225</v>
      </c>
      <c r="K9" s="50">
        <f t="shared" si="2"/>
        <v>82.573774999999998</v>
      </c>
      <c r="L9" s="9">
        <f t="shared" si="8"/>
        <v>0.58713112499999998</v>
      </c>
      <c r="M9" s="16">
        <v>3</v>
      </c>
      <c r="N9" s="47"/>
      <c r="O9" s="23" t="str">
        <f t="shared" si="9"/>
        <v/>
      </c>
      <c r="P9" s="23" t="str">
        <f t="shared" si="9"/>
        <v/>
      </c>
      <c r="Q9" s="23" t="str">
        <f t="shared" si="9"/>
        <v/>
      </c>
      <c r="R9" s="23" t="str">
        <f t="shared" si="9"/>
        <v/>
      </c>
      <c r="S9" s="23" t="str">
        <f t="shared" si="9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>
        <v>45814</v>
      </c>
      <c r="B10" s="15" t="s">
        <v>342</v>
      </c>
      <c r="C10" s="16" t="s">
        <v>55</v>
      </c>
      <c r="D10" s="5">
        <v>0.5625</v>
      </c>
      <c r="E10" s="5">
        <v>0.7006944444444444</v>
      </c>
      <c r="F10" s="6" t="str">
        <f t="shared" si="0"/>
        <v>No</v>
      </c>
      <c r="G10" s="6">
        <f t="shared" si="6"/>
        <v>0.1381944444444444</v>
      </c>
      <c r="H10" s="50">
        <f>_xlfn.IFNA(VLOOKUP(C:C,'Active Jobs'!B:K,8,0),"")</f>
        <v>220</v>
      </c>
      <c r="I10" s="8">
        <f t="shared" si="7"/>
        <v>3.3166666666666655</v>
      </c>
      <c r="J10" s="50">
        <f t="shared" si="1"/>
        <v>222.55065499999992</v>
      </c>
      <c r="K10" s="50">
        <f t="shared" si="2"/>
        <v>-2.5506549999999208</v>
      </c>
      <c r="L10" s="9">
        <f t="shared" si="8"/>
        <v>1.011593886363636</v>
      </c>
      <c r="M10" s="16">
        <v>3</v>
      </c>
      <c r="O10" s="23" t="str">
        <f t="shared" si="9"/>
        <v/>
      </c>
      <c r="P10" s="23" t="str">
        <f t="shared" si="9"/>
        <v/>
      </c>
      <c r="Q10" s="23" t="str">
        <f t="shared" si="9"/>
        <v/>
      </c>
      <c r="R10" s="23" t="str">
        <f t="shared" si="9"/>
        <v/>
      </c>
      <c r="S10" s="23" t="str">
        <f t="shared" si="9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A11" s="37">
        <v>45814</v>
      </c>
      <c r="B11" s="15" t="s">
        <v>346</v>
      </c>
      <c r="C11" s="16" t="s">
        <v>56</v>
      </c>
      <c r="D11" s="5">
        <v>0.35416666666666669</v>
      </c>
      <c r="E11" s="5">
        <v>0.45833333333333331</v>
      </c>
      <c r="F11" s="6"/>
      <c r="G11" s="6"/>
      <c r="H11" s="50"/>
      <c r="I11" s="8"/>
      <c r="J11" s="50"/>
      <c r="K11" s="50"/>
      <c r="L11" s="9"/>
      <c r="M11" s="16">
        <v>2</v>
      </c>
      <c r="O11" s="23"/>
      <c r="P11" s="23"/>
      <c r="Q11" s="23"/>
      <c r="R11" s="23"/>
      <c r="S11" s="23"/>
      <c r="T11" s="10"/>
      <c r="U11" s="21"/>
      <c r="V11" s="24"/>
      <c r="W11" s="25"/>
    </row>
    <row r="12" spans="1:23" ht="25" customHeight="1">
      <c r="A12" s="37">
        <v>45814</v>
      </c>
      <c r="B12" s="15" t="s">
        <v>346</v>
      </c>
      <c r="C12" s="16" t="s">
        <v>57</v>
      </c>
      <c r="D12" s="5">
        <v>0.45833333333333331</v>
      </c>
      <c r="E12" s="5">
        <v>0.5625</v>
      </c>
      <c r="F12" s="6" t="s">
        <v>17</v>
      </c>
      <c r="G12" s="6">
        <f t="shared" si="6"/>
        <v>8.3333333333333356E-2</v>
      </c>
      <c r="H12" s="50" t="str">
        <f>_xlfn.IFNA(VLOOKUP(C:C,'Active Jobs'!B:K,8,0),"")</f>
        <v/>
      </c>
      <c r="I12" s="8">
        <f t="shared" si="7"/>
        <v>2.0000000000000004</v>
      </c>
      <c r="J12" s="50">
        <f t="shared" si="1"/>
        <v>134.20140000000004</v>
      </c>
      <c r="K12" s="50" t="str">
        <f t="shared" si="2"/>
        <v/>
      </c>
      <c r="L12" s="9" t="str">
        <f t="shared" si="8"/>
        <v/>
      </c>
      <c r="M12" s="16">
        <v>2</v>
      </c>
      <c r="O12" s="23" t="str">
        <f t="shared" si="9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A13" s="37">
        <v>45814</v>
      </c>
      <c r="B13" s="15" t="s">
        <v>346</v>
      </c>
      <c r="C13" s="16" t="s">
        <v>360</v>
      </c>
      <c r="D13" s="5">
        <v>0.5625</v>
      </c>
      <c r="E13" s="5">
        <v>0.66666666666666663</v>
      </c>
      <c r="F13" s="6" t="str">
        <f t="shared" si="0"/>
        <v>No</v>
      </c>
      <c r="G13" s="6">
        <f t="shared" si="6"/>
        <v>0.10416666666666663</v>
      </c>
      <c r="H13" s="50" t="str">
        <f>_xlfn.IFNA(VLOOKUP(C:C,'Active Jobs'!B:K,8,0),"")</f>
        <v/>
      </c>
      <c r="I13" s="8">
        <f t="shared" si="7"/>
        <v>2.4999999999999991</v>
      </c>
      <c r="J13" s="50">
        <f t="shared" si="1"/>
        <v>167.75174999999993</v>
      </c>
      <c r="K13" s="50" t="str">
        <f t="shared" si="2"/>
        <v/>
      </c>
      <c r="L13" s="9" t="str">
        <f t="shared" si="8"/>
        <v/>
      </c>
      <c r="M13" s="16">
        <v>2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A14" s="37">
        <v>45814</v>
      </c>
      <c r="B14" s="15" t="s">
        <v>346</v>
      </c>
      <c r="C14" s="16" t="s">
        <v>58</v>
      </c>
      <c r="D14" s="5">
        <v>0.66666666666666663</v>
      </c>
      <c r="E14" s="5">
        <v>0.72569444444444442</v>
      </c>
      <c r="F14" s="6" t="str">
        <f t="shared" si="0"/>
        <v>No</v>
      </c>
      <c r="G14" s="6">
        <f t="shared" si="6"/>
        <v>5.902777777777779E-2</v>
      </c>
      <c r="H14" s="50" t="str">
        <f>_xlfn.IFNA(VLOOKUP(C:C,'Active Jobs'!B:K,8,0),"")</f>
        <v/>
      </c>
      <c r="I14" s="8">
        <f t="shared" si="7"/>
        <v>1.416666666666667</v>
      </c>
      <c r="J14" s="50">
        <f t="shared" si="1"/>
        <v>95.05932500000003</v>
      </c>
      <c r="K14" s="50" t="str">
        <f t="shared" si="2"/>
        <v/>
      </c>
      <c r="L14" s="9" t="str">
        <f t="shared" si="8"/>
        <v/>
      </c>
      <c r="M14" s="16">
        <v>2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B15" s="15"/>
      <c r="D15" s="5"/>
      <c r="E15" s="5"/>
      <c r="F15" s="6" t="str">
        <f t="shared" si="0"/>
        <v/>
      </c>
      <c r="G15" s="6" t="str">
        <f t="shared" si="6"/>
        <v/>
      </c>
      <c r="H15" s="50" t="str">
        <f>_xlfn.IFNA(VLOOKUP(C:C,'Active Jobs'!B:K,8,0),"")</f>
        <v/>
      </c>
      <c r="I15" s="8" t="str">
        <f t="shared" si="7"/>
        <v/>
      </c>
      <c r="J15" s="50" t="str">
        <f t="shared" si="1"/>
        <v/>
      </c>
      <c r="K15" s="50" t="str">
        <f t="shared" si="2"/>
        <v/>
      </c>
      <c r="L15" s="9" t="str">
        <f t="shared" si="8"/>
        <v/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B16" s="15"/>
      <c r="D16" s="5"/>
      <c r="E16" s="5"/>
      <c r="F16" s="6" t="str">
        <f t="shared" si="0"/>
        <v/>
      </c>
      <c r="G16" s="6" t="str">
        <f t="shared" si="6"/>
        <v/>
      </c>
      <c r="H16" s="50" t="str">
        <f>_xlfn.IFNA(VLOOKUP(C:C,'Active Jobs'!B:K,8,0),"")</f>
        <v/>
      </c>
      <c r="I16" s="8" t="str">
        <f t="shared" si="7"/>
        <v/>
      </c>
      <c r="J16" s="50" t="str">
        <f t="shared" si="1"/>
        <v/>
      </c>
      <c r="K16" s="50" t="str">
        <f t="shared" si="2"/>
        <v/>
      </c>
      <c r="L16" s="9" t="str">
        <f t="shared" si="8"/>
        <v/>
      </c>
      <c r="O16" s="23" t="str">
        <f t="shared" si="9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2:23" ht="25" customHeight="1">
      <c r="B17" s="15"/>
      <c r="D17" s="5"/>
      <c r="E17" s="5"/>
      <c r="F17" s="6" t="str">
        <f t="shared" si="0"/>
        <v/>
      </c>
      <c r="G17" s="6" t="str">
        <f t="shared" si="6"/>
        <v/>
      </c>
      <c r="H17" s="50" t="str">
        <f>_xlfn.IFNA(VLOOKUP(C:C,'Active Jobs'!B:K,8,0),"")</f>
        <v/>
      </c>
      <c r="I17" s="8" t="str">
        <f t="shared" si="7"/>
        <v/>
      </c>
      <c r="J17" s="50" t="str">
        <f t="shared" si="1"/>
        <v/>
      </c>
      <c r="K17" s="50" t="str">
        <f t="shared" si="2"/>
        <v/>
      </c>
      <c r="L17" s="9" t="str">
        <f t="shared" si="8"/>
        <v/>
      </c>
      <c r="O17" s="23" t="str">
        <f t="shared" si="9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2:23" ht="25" customHeight="1">
      <c r="B18" s="15"/>
      <c r="D18" s="5"/>
      <c r="E18" s="5"/>
      <c r="F18" s="6" t="str">
        <f t="shared" si="0"/>
        <v/>
      </c>
      <c r="G18" s="6" t="str">
        <f t="shared" si="6"/>
        <v/>
      </c>
      <c r="H18" s="50" t="str">
        <f>_xlfn.IFNA(VLOOKUP(C:C,'Active Jobs'!B:K,8,0),"")</f>
        <v/>
      </c>
      <c r="I18" s="8" t="str">
        <f t="shared" si="7"/>
        <v/>
      </c>
      <c r="J18" s="50" t="str">
        <f t="shared" si="1"/>
        <v/>
      </c>
      <c r="K18" s="50" t="str">
        <f t="shared" si="2"/>
        <v/>
      </c>
      <c r="L18" s="9" t="str">
        <f t="shared" si="8"/>
        <v/>
      </c>
      <c r="O18" s="23" t="str">
        <f t="shared" si="9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2:23" ht="25" customHeight="1">
      <c r="B19" s="15"/>
      <c r="D19" s="5"/>
      <c r="E19" s="5"/>
      <c r="F19" s="6" t="str">
        <f t="shared" si="0"/>
        <v/>
      </c>
      <c r="G19" s="6" t="str">
        <f t="shared" si="6"/>
        <v/>
      </c>
      <c r="H19" s="50" t="str">
        <f>_xlfn.IFNA(VLOOKUP(C:C,'Active Jobs'!B:K,8,0),"")</f>
        <v/>
      </c>
      <c r="I19" s="8" t="str">
        <f t="shared" si="7"/>
        <v/>
      </c>
      <c r="J19" s="50" t="str">
        <f t="shared" si="1"/>
        <v/>
      </c>
      <c r="K19" s="50" t="str">
        <f t="shared" si="2"/>
        <v/>
      </c>
      <c r="L19" s="9" t="str">
        <f t="shared" si="8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3"/>
        <v/>
      </c>
    </row>
    <row r="20" spans="2:23" ht="25" customHeight="1">
      <c r="B20" s="15"/>
      <c r="D20" s="5"/>
      <c r="E20" s="5"/>
      <c r="F20" s="6" t="str">
        <f t="shared" si="0"/>
        <v/>
      </c>
      <c r="G20" s="6" t="str">
        <f t="shared" si="6"/>
        <v/>
      </c>
      <c r="H20" s="50" t="str">
        <f>_xlfn.IFNA(VLOOKUP(C:C,'Active Jobs'!B:K,8,0),"")</f>
        <v/>
      </c>
      <c r="I20" s="8" t="str">
        <f t="shared" si="7"/>
        <v/>
      </c>
      <c r="J20" s="50" t="str">
        <f t="shared" si="1"/>
        <v/>
      </c>
      <c r="K20" s="50" t="str">
        <f t="shared" si="2"/>
        <v/>
      </c>
      <c r="L20" s="9" t="str">
        <f t="shared" si="8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3"/>
        <v/>
      </c>
    </row>
    <row r="21" spans="2:23" ht="25" customHeight="1">
      <c r="B21" s="15"/>
      <c r="D21" s="5"/>
      <c r="E21" s="5"/>
      <c r="F21" s="6" t="str">
        <f t="shared" si="0"/>
        <v/>
      </c>
      <c r="G21" s="6" t="str">
        <f t="shared" si="6"/>
        <v/>
      </c>
      <c r="H21" s="50" t="str">
        <f>_xlfn.IFNA(VLOOKUP(C:C,'Active Jobs'!B:K,8,0),"")</f>
        <v/>
      </c>
      <c r="I21" s="8" t="str">
        <f t="shared" si="7"/>
        <v/>
      </c>
      <c r="J21" s="50" t="str">
        <f t="shared" si="1"/>
        <v/>
      </c>
      <c r="K21" s="50" t="str">
        <f t="shared" si="2"/>
        <v/>
      </c>
      <c r="L21" s="9" t="str">
        <f t="shared" si="8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3"/>
        <v/>
      </c>
    </row>
    <row r="22" spans="2:23" ht="25" customHeight="1">
      <c r="B22" s="15"/>
      <c r="D22" s="5"/>
      <c r="E22" s="5"/>
      <c r="F22" s="6" t="str">
        <f t="shared" si="0"/>
        <v/>
      </c>
      <c r="G22" s="6" t="str">
        <f t="shared" si="6"/>
        <v/>
      </c>
      <c r="H22" s="50" t="str">
        <f>_xlfn.IFNA(VLOOKUP(C:C,'Active Jobs'!B:K,8,0),"")</f>
        <v/>
      </c>
      <c r="I22" s="8" t="str">
        <f t="shared" si="7"/>
        <v/>
      </c>
      <c r="J22" s="50" t="str">
        <f t="shared" si="1"/>
        <v/>
      </c>
      <c r="K22" s="50" t="str">
        <f t="shared" si="2"/>
        <v/>
      </c>
      <c r="L22" s="9" t="str">
        <f t="shared" si="8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3"/>
        <v/>
      </c>
    </row>
    <row r="23" spans="2:23" ht="25" customHeight="1">
      <c r="B23" s="15"/>
      <c r="D23" s="5"/>
      <c r="E23" s="5"/>
      <c r="F23" s="6" t="str">
        <f t="shared" si="0"/>
        <v/>
      </c>
      <c r="G23" s="6" t="str">
        <f t="shared" si="6"/>
        <v/>
      </c>
      <c r="H23" s="50" t="str">
        <f>_xlfn.IFNA(VLOOKUP(C:C,'Active Jobs'!B:K,8,0),"")</f>
        <v/>
      </c>
      <c r="I23" s="8" t="str">
        <f t="shared" si="7"/>
        <v/>
      </c>
      <c r="J23" s="50" t="str">
        <f t="shared" si="1"/>
        <v/>
      </c>
      <c r="K23" s="50" t="str">
        <f t="shared" si="2"/>
        <v/>
      </c>
      <c r="L23" s="9" t="str">
        <f t="shared" si="8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3"/>
        <v/>
      </c>
    </row>
    <row r="24" spans="2:23" ht="25" customHeight="1">
      <c r="B24" s="15"/>
      <c r="D24" s="5"/>
      <c r="E24" s="5"/>
      <c r="F24" s="6" t="str">
        <f t="shared" si="0"/>
        <v/>
      </c>
      <c r="G24" s="6" t="str">
        <f t="shared" si="6"/>
        <v/>
      </c>
      <c r="H24" s="50" t="str">
        <f>_xlfn.IFNA(VLOOKUP(C:C,'Active Jobs'!B:K,8,0),"")</f>
        <v/>
      </c>
      <c r="I24" s="8" t="str">
        <f t="shared" si="7"/>
        <v/>
      </c>
      <c r="J24" s="50" t="str">
        <f t="shared" si="1"/>
        <v/>
      </c>
      <c r="K24" s="50" t="str">
        <f t="shared" si="2"/>
        <v/>
      </c>
      <c r="L24" s="9" t="str">
        <f t="shared" si="8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3"/>
        <v/>
      </c>
    </row>
    <row r="25" spans="2:23" ht="25" customHeight="1">
      <c r="B25" s="15"/>
      <c r="D25" s="5"/>
      <c r="E25" s="5"/>
      <c r="F25" s="6" t="str">
        <f t="shared" si="0"/>
        <v/>
      </c>
      <c r="G25" s="6" t="str">
        <f t="shared" si="6"/>
        <v/>
      </c>
      <c r="H25" s="50" t="str">
        <f>_xlfn.IFNA(VLOOKUP(C:C,'Active Jobs'!B:K,8,0),"")</f>
        <v/>
      </c>
      <c r="I25" s="8" t="str">
        <f t="shared" si="7"/>
        <v/>
      </c>
      <c r="J25" s="50" t="str">
        <f t="shared" si="1"/>
        <v/>
      </c>
      <c r="K25" s="50" t="str">
        <f t="shared" si="2"/>
        <v/>
      </c>
      <c r="L25" s="9" t="str">
        <f t="shared" si="8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3"/>
        <v/>
      </c>
    </row>
    <row r="26" spans="2:23" ht="25" customHeight="1">
      <c r="B26" s="15"/>
      <c r="D26" s="5"/>
      <c r="E26" s="5"/>
      <c r="F26" s="6" t="str">
        <f t="shared" si="0"/>
        <v/>
      </c>
      <c r="G26" s="6" t="str">
        <f t="shared" si="6"/>
        <v/>
      </c>
      <c r="H26" s="50" t="str">
        <f>_xlfn.IFNA(VLOOKUP(C:C,'Active Jobs'!B:K,8,0),"")</f>
        <v/>
      </c>
      <c r="I26" s="8" t="str">
        <f t="shared" si="7"/>
        <v/>
      </c>
      <c r="J26" s="50" t="str">
        <f t="shared" si="1"/>
        <v/>
      </c>
      <c r="K26" s="50" t="str">
        <f t="shared" si="2"/>
        <v/>
      </c>
      <c r="L26" s="9" t="str">
        <f t="shared" si="8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3"/>
        <v/>
      </c>
    </row>
    <row r="27" spans="2:23" ht="25" customHeight="1">
      <c r="B27" s="15"/>
      <c r="D27" s="5"/>
      <c r="E27" s="5"/>
      <c r="F27" s="6" t="str">
        <f t="shared" si="0"/>
        <v/>
      </c>
      <c r="G27" s="6" t="str">
        <f t="shared" si="6"/>
        <v/>
      </c>
      <c r="H27" s="50" t="str">
        <f>_xlfn.IFNA(VLOOKUP(C:C,'Active Jobs'!B:K,8,0),"")</f>
        <v/>
      </c>
      <c r="I27" s="8" t="str">
        <f t="shared" si="7"/>
        <v/>
      </c>
      <c r="J27" s="50" t="str">
        <f t="shared" si="1"/>
        <v/>
      </c>
      <c r="K27" s="50" t="str">
        <f t="shared" si="2"/>
        <v/>
      </c>
      <c r="L27" s="9" t="str">
        <f t="shared" si="8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3"/>
        <v/>
      </c>
    </row>
    <row r="28" spans="2:23" ht="25" customHeight="1">
      <c r="B28" s="15"/>
      <c r="D28" s="5"/>
      <c r="E28" s="5"/>
      <c r="F28" s="6" t="str">
        <f t="shared" si="0"/>
        <v/>
      </c>
      <c r="G28" s="6" t="str">
        <f t="shared" si="6"/>
        <v/>
      </c>
      <c r="H28" s="50" t="str">
        <f>_xlfn.IFNA(VLOOKUP(C:C,'Active Jobs'!B:K,8,0),"")</f>
        <v/>
      </c>
      <c r="I28" s="8" t="str">
        <f t="shared" si="7"/>
        <v/>
      </c>
      <c r="J28" s="50" t="str">
        <f t="shared" si="1"/>
        <v/>
      </c>
      <c r="K28" s="50" t="str">
        <f t="shared" si="2"/>
        <v/>
      </c>
      <c r="L28" s="9" t="str">
        <f t="shared" si="8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3"/>
        <v/>
      </c>
    </row>
    <row r="29" spans="2:23" ht="25" customHeight="1">
      <c r="B29" s="15"/>
      <c r="D29" s="5"/>
      <c r="E29" s="5"/>
      <c r="F29" s="6" t="str">
        <f t="shared" si="0"/>
        <v/>
      </c>
      <c r="G29" s="6" t="str">
        <f t="shared" si="6"/>
        <v/>
      </c>
      <c r="H29" s="50" t="str">
        <f>_xlfn.IFNA(VLOOKUP(C:C,'Active Jobs'!B:K,8,0),"")</f>
        <v/>
      </c>
      <c r="I29" s="8" t="str">
        <f t="shared" si="7"/>
        <v/>
      </c>
      <c r="J29" s="50" t="str">
        <f t="shared" si="1"/>
        <v/>
      </c>
      <c r="K29" s="50" t="str">
        <f t="shared" si="2"/>
        <v/>
      </c>
      <c r="L29" s="9" t="str">
        <f t="shared" si="8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3"/>
        <v/>
      </c>
    </row>
    <row r="30" spans="2:23" ht="25" customHeight="1">
      <c r="B30" s="15"/>
      <c r="D30" s="5"/>
      <c r="E30" s="5"/>
      <c r="F30" s="6" t="str">
        <f t="shared" si="0"/>
        <v/>
      </c>
      <c r="G30" s="6" t="str">
        <f t="shared" si="6"/>
        <v/>
      </c>
      <c r="H30" s="50" t="str">
        <f>_xlfn.IFNA(VLOOKUP(C:C,'Active Jobs'!B:K,8,0),"")</f>
        <v/>
      </c>
      <c r="I30" s="8" t="str">
        <f t="shared" si="7"/>
        <v/>
      </c>
      <c r="J30" s="50" t="str">
        <f t="shared" si="1"/>
        <v/>
      </c>
      <c r="K30" s="50" t="str">
        <f t="shared" si="2"/>
        <v/>
      </c>
      <c r="L30" s="9" t="str">
        <f t="shared" si="8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3"/>
        <v/>
      </c>
    </row>
    <row r="31" spans="2:23" ht="25" customHeight="1">
      <c r="B31" s="15"/>
      <c r="D31" s="5"/>
      <c r="E31" s="5"/>
      <c r="F31" s="6" t="str">
        <f t="shared" si="0"/>
        <v/>
      </c>
      <c r="G31" s="6" t="str">
        <f t="shared" si="6"/>
        <v/>
      </c>
      <c r="H31" s="50" t="str">
        <f>_xlfn.IFNA(VLOOKUP(C:C,'Active Jobs'!B:K,8,0),"")</f>
        <v/>
      </c>
      <c r="I31" s="8" t="str">
        <f t="shared" si="7"/>
        <v/>
      </c>
      <c r="J31" s="50" t="str">
        <f t="shared" si="1"/>
        <v/>
      </c>
      <c r="K31" s="50" t="str">
        <f t="shared" si="2"/>
        <v/>
      </c>
      <c r="L31" s="9" t="str">
        <f t="shared" si="8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3"/>
        <v/>
      </c>
    </row>
    <row r="32" spans="2:23" ht="25" customHeight="1">
      <c r="B32" s="15"/>
      <c r="D32" s="5"/>
      <c r="E32" s="5"/>
      <c r="F32" s="6" t="str">
        <f t="shared" si="0"/>
        <v/>
      </c>
      <c r="G32" s="6" t="str">
        <f t="shared" si="6"/>
        <v/>
      </c>
      <c r="H32" s="50" t="str">
        <f>_xlfn.IFNA(VLOOKUP(C:C,'Active Jobs'!B:K,8,0),"")</f>
        <v/>
      </c>
      <c r="I32" s="8" t="str">
        <f t="shared" si="7"/>
        <v/>
      </c>
      <c r="J32" s="50" t="str">
        <f t="shared" si="1"/>
        <v/>
      </c>
      <c r="K32" s="50" t="str">
        <f t="shared" si="2"/>
        <v/>
      </c>
      <c r="L32" s="9" t="str">
        <f t="shared" si="8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3"/>
        <v/>
      </c>
    </row>
    <row r="33" spans="2:20" ht="25" customHeight="1">
      <c r="B33" s="15"/>
      <c r="D33" s="5"/>
      <c r="E33" s="5"/>
      <c r="F33" s="6" t="str">
        <f t="shared" si="0"/>
        <v/>
      </c>
      <c r="G33" s="6" t="str">
        <f t="shared" si="6"/>
        <v/>
      </c>
      <c r="H33" s="50" t="str">
        <f>_xlfn.IFNA(VLOOKUP(C:C,'Active Jobs'!B:K,8,0),"")</f>
        <v/>
      </c>
      <c r="I33" s="8" t="str">
        <f t="shared" si="7"/>
        <v/>
      </c>
      <c r="J33" s="50" t="str">
        <f t="shared" si="1"/>
        <v/>
      </c>
      <c r="K33" s="50" t="str">
        <f t="shared" si="2"/>
        <v/>
      </c>
      <c r="L33" s="9" t="str">
        <f t="shared" si="8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3"/>
        <v/>
      </c>
    </row>
    <row r="34" spans="2:20" ht="25" customHeight="1">
      <c r="B34" s="15"/>
      <c r="D34" s="5"/>
      <c r="E34" s="5"/>
      <c r="F34" s="6" t="str">
        <f t="shared" si="0"/>
        <v/>
      </c>
      <c r="G34" s="6" t="str">
        <f t="shared" si="6"/>
        <v/>
      </c>
      <c r="H34" s="50" t="str">
        <f>_xlfn.IFNA(VLOOKUP(C:C,'Active Jobs'!B:K,8,0),"")</f>
        <v/>
      </c>
      <c r="I34" s="8" t="str">
        <f t="shared" si="7"/>
        <v/>
      </c>
      <c r="J34" s="50" t="str">
        <f t="shared" si="1"/>
        <v/>
      </c>
      <c r="K34" s="50" t="str">
        <f t="shared" si="2"/>
        <v/>
      </c>
      <c r="L34" s="9" t="str">
        <f t="shared" si="8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3"/>
        <v/>
      </c>
    </row>
    <row r="35" spans="2:20" ht="25" customHeight="1">
      <c r="B35" s="15"/>
      <c r="D35" s="5"/>
      <c r="E35" s="5"/>
      <c r="F35" s="6" t="str">
        <f t="shared" si="0"/>
        <v/>
      </c>
      <c r="G35" s="6" t="str">
        <f t="shared" si="6"/>
        <v/>
      </c>
      <c r="H35" s="50" t="str">
        <f>_xlfn.IFNA(VLOOKUP(C:C,'Active Jobs'!B:K,8,0),"")</f>
        <v/>
      </c>
      <c r="I35" s="8" t="str">
        <f t="shared" si="7"/>
        <v/>
      </c>
      <c r="J35" s="50" t="str">
        <f t="shared" si="1"/>
        <v/>
      </c>
      <c r="K35" s="50" t="str">
        <f t="shared" si="2"/>
        <v/>
      </c>
      <c r="L35" s="9" t="str">
        <f t="shared" si="8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3"/>
        <v/>
      </c>
    </row>
    <row r="36" spans="2:20" ht="25" customHeight="1">
      <c r="B36" s="15"/>
      <c r="D36" s="5"/>
      <c r="E36" s="5"/>
      <c r="F36" s="6" t="str">
        <f t="shared" si="0"/>
        <v/>
      </c>
      <c r="G36" s="6" t="str">
        <f t="shared" si="6"/>
        <v/>
      </c>
      <c r="H36" s="50" t="str">
        <f>_xlfn.IFNA(VLOOKUP(C:C,'Active Jobs'!B:K,8,0),"")</f>
        <v/>
      </c>
      <c r="I36" s="8" t="str">
        <f t="shared" si="7"/>
        <v/>
      </c>
      <c r="J36" s="50" t="str">
        <f t="shared" si="1"/>
        <v/>
      </c>
      <c r="K36" s="50" t="str">
        <f t="shared" si="2"/>
        <v/>
      </c>
      <c r="L36" s="9" t="str">
        <f t="shared" si="8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3"/>
        <v/>
      </c>
    </row>
    <row r="37" spans="2:20" ht="25" customHeight="1">
      <c r="B37" s="15"/>
      <c r="D37" s="5"/>
      <c r="E37" s="5"/>
      <c r="F37" s="6" t="str">
        <f t="shared" si="0"/>
        <v/>
      </c>
      <c r="G37" s="6" t="str">
        <f t="shared" si="6"/>
        <v/>
      </c>
      <c r="H37" s="50" t="str">
        <f>_xlfn.IFNA(VLOOKUP(C:C,'Active Jobs'!B:K,8,0),"")</f>
        <v/>
      </c>
      <c r="I37" s="8" t="str">
        <f t="shared" si="7"/>
        <v/>
      </c>
      <c r="J37" s="50" t="str">
        <f t="shared" si="1"/>
        <v/>
      </c>
      <c r="K37" s="50" t="str">
        <f t="shared" si="2"/>
        <v/>
      </c>
      <c r="L37" s="9" t="str">
        <f t="shared" si="8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3"/>
        <v/>
      </c>
    </row>
    <row r="38" spans="2:20" ht="25" customHeight="1">
      <c r="B38" s="15"/>
      <c r="D38" s="5"/>
      <c r="E38" s="5"/>
      <c r="F38" s="6" t="str">
        <f t="shared" si="0"/>
        <v/>
      </c>
      <c r="G38" s="6" t="str">
        <f t="shared" si="6"/>
        <v/>
      </c>
      <c r="H38" s="50" t="str">
        <f>_xlfn.IFNA(VLOOKUP(C:C,'Active Jobs'!B:K,8,0),"")</f>
        <v/>
      </c>
      <c r="I38" s="8" t="str">
        <f t="shared" si="7"/>
        <v/>
      </c>
      <c r="J38" s="50" t="str">
        <f t="shared" si="1"/>
        <v/>
      </c>
      <c r="K38" s="50" t="str">
        <f t="shared" si="2"/>
        <v/>
      </c>
      <c r="L38" s="9" t="str">
        <f t="shared" si="8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3"/>
        <v/>
      </c>
    </row>
    <row r="39" spans="2:20" ht="25" customHeight="1">
      <c r="B39" s="15"/>
      <c r="D39" s="5"/>
      <c r="E39" s="5"/>
      <c r="F39" s="6" t="str">
        <f t="shared" si="0"/>
        <v/>
      </c>
      <c r="G39" s="6" t="str">
        <f t="shared" si="6"/>
        <v/>
      </c>
      <c r="H39" s="50" t="str">
        <f>_xlfn.IFNA(VLOOKUP(C:C,'Active Jobs'!B:K,8,0),"")</f>
        <v/>
      </c>
      <c r="I39" s="8" t="str">
        <f t="shared" si="7"/>
        <v/>
      </c>
      <c r="J39" s="50" t="str">
        <f t="shared" si="1"/>
        <v/>
      </c>
      <c r="K39" s="50" t="str">
        <f t="shared" si="2"/>
        <v/>
      </c>
      <c r="L39" s="9" t="str">
        <f t="shared" si="8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3"/>
        <v/>
      </c>
    </row>
    <row r="40" spans="2:20" ht="25" customHeight="1">
      <c r="B40" s="15"/>
      <c r="D40" s="5"/>
      <c r="E40" s="5"/>
      <c r="F40" s="6" t="str">
        <f t="shared" si="0"/>
        <v/>
      </c>
      <c r="G40" s="6" t="str">
        <f t="shared" si="6"/>
        <v/>
      </c>
      <c r="H40" s="50" t="str">
        <f>_xlfn.IFNA(VLOOKUP(C:C,'Active Jobs'!B:K,8,0),"")</f>
        <v/>
      </c>
      <c r="I40" s="8" t="str">
        <f t="shared" si="7"/>
        <v/>
      </c>
      <c r="J40" s="50" t="str">
        <f t="shared" si="1"/>
        <v/>
      </c>
      <c r="K40" s="50" t="str">
        <f t="shared" si="2"/>
        <v/>
      </c>
      <c r="L40" s="9" t="str">
        <f t="shared" si="8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3"/>
        <v/>
      </c>
    </row>
    <row r="41" spans="2:20" ht="25" customHeight="1">
      <c r="B41" s="15"/>
      <c r="D41" s="5"/>
      <c r="E41" s="5"/>
      <c r="F41" s="6" t="str">
        <f t="shared" si="0"/>
        <v/>
      </c>
      <c r="G41" s="6" t="str">
        <f t="shared" si="6"/>
        <v/>
      </c>
      <c r="H41" s="50" t="str">
        <f>_xlfn.IFNA(VLOOKUP(C:C,'Active Jobs'!B:K,8,0),"")</f>
        <v/>
      </c>
      <c r="I41" s="8" t="str">
        <f t="shared" si="7"/>
        <v/>
      </c>
      <c r="J41" s="50" t="str">
        <f t="shared" si="1"/>
        <v/>
      </c>
      <c r="K41" s="50" t="str">
        <f t="shared" si="2"/>
        <v/>
      </c>
      <c r="L41" s="9" t="str">
        <f t="shared" si="8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3"/>
        <v/>
      </c>
    </row>
    <row r="42" spans="2:20" ht="25" customHeight="1">
      <c r="B42" s="15"/>
      <c r="D42" s="5"/>
      <c r="E42" s="5"/>
      <c r="F42" s="6" t="str">
        <f t="shared" si="0"/>
        <v/>
      </c>
      <c r="G42" s="6" t="str">
        <f t="shared" si="6"/>
        <v/>
      </c>
      <c r="H42" s="50" t="str">
        <f>_xlfn.IFNA(VLOOKUP(C:C,'Active Jobs'!B:K,8,0),"")</f>
        <v/>
      </c>
      <c r="I42" s="8" t="str">
        <f t="shared" si="7"/>
        <v/>
      </c>
      <c r="J42" s="50" t="str">
        <f t="shared" si="1"/>
        <v/>
      </c>
      <c r="K42" s="50" t="str">
        <f t="shared" si="2"/>
        <v/>
      </c>
      <c r="L42" s="9" t="str">
        <f t="shared" si="8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3"/>
        <v/>
      </c>
    </row>
    <row r="43" spans="2:20" ht="25" customHeight="1">
      <c r="B43" s="15"/>
      <c r="D43" s="5"/>
      <c r="E43" s="5"/>
      <c r="F43" s="6" t="str">
        <f t="shared" si="0"/>
        <v/>
      </c>
      <c r="G43" s="6" t="str">
        <f t="shared" si="6"/>
        <v/>
      </c>
      <c r="H43" s="50" t="str">
        <f>_xlfn.IFNA(VLOOKUP(C:C,'Active Jobs'!B:K,8,0),"")</f>
        <v/>
      </c>
      <c r="I43" s="8" t="str">
        <f t="shared" si="7"/>
        <v/>
      </c>
      <c r="J43" s="50" t="str">
        <f t="shared" si="1"/>
        <v/>
      </c>
      <c r="K43" s="50" t="str">
        <f t="shared" si="2"/>
        <v/>
      </c>
      <c r="L43" s="9" t="str">
        <f t="shared" si="8"/>
        <v/>
      </c>
    </row>
    <row r="44" spans="2:20" ht="25" customHeight="1">
      <c r="B44" s="15"/>
      <c r="D44" s="5"/>
      <c r="E44" s="5"/>
      <c r="F44" s="6" t="str">
        <f t="shared" si="0"/>
        <v/>
      </c>
      <c r="G44" s="6" t="str">
        <f t="shared" si="6"/>
        <v/>
      </c>
      <c r="H44" s="50" t="str">
        <f>_xlfn.IFNA(VLOOKUP(C:C,'Active Jobs'!B:K,8,0),"")</f>
        <v/>
      </c>
      <c r="I44" s="8" t="str">
        <f t="shared" si="7"/>
        <v/>
      </c>
      <c r="J44" s="50" t="str">
        <f t="shared" si="1"/>
        <v/>
      </c>
      <c r="K44" s="50" t="str">
        <f t="shared" si="2"/>
        <v/>
      </c>
      <c r="L44" s="9" t="str">
        <f t="shared" si="8"/>
        <v/>
      </c>
    </row>
    <row r="45" spans="2:20" ht="25" customHeight="1">
      <c r="B45" s="15"/>
      <c r="D45" s="5"/>
      <c r="E45" s="5"/>
      <c r="F45" s="6" t="str">
        <f t="shared" si="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7"/>
        <v/>
      </c>
      <c r="J45" s="50" t="str">
        <f t="shared" si="1"/>
        <v/>
      </c>
      <c r="K45" s="50" t="str">
        <f t="shared" si="2"/>
        <v/>
      </c>
      <c r="L45" s="9" t="str">
        <f t="shared" si="8"/>
        <v/>
      </c>
    </row>
    <row r="46" spans="2:20" ht="25" customHeight="1">
      <c r="B46" s="86"/>
      <c r="D46" s="5"/>
      <c r="E46" s="5"/>
      <c r="F46" s="6" t="str">
        <f t="shared" si="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7"/>
        <v/>
      </c>
      <c r="J46" s="50" t="str">
        <f t="shared" si="1"/>
        <v/>
      </c>
      <c r="K46" s="50" t="str">
        <f t="shared" si="2"/>
        <v/>
      </c>
      <c r="L46" s="9" t="str">
        <f t="shared" si="8"/>
        <v/>
      </c>
    </row>
    <row r="47" spans="2:20" ht="25" customHeight="1">
      <c r="B47" s="86"/>
      <c r="D47" s="5"/>
      <c r="E47" s="5"/>
      <c r="F47" s="6" t="str">
        <f t="shared" si="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1"/>
        <v/>
      </c>
      <c r="K47" s="50" t="str">
        <f t="shared" si="2"/>
        <v/>
      </c>
      <c r="L47" s="9" t="str">
        <f t="shared" si="8"/>
        <v/>
      </c>
    </row>
    <row r="48" spans="2:20" ht="25" customHeight="1">
      <c r="D48" s="83"/>
      <c r="E48" s="83"/>
      <c r="F48" s="84"/>
      <c r="G48" s="6"/>
      <c r="H48" s="85">
        <f>SUBTOTAL(109,Table2261210141656[Quoted])</f>
        <v>2035</v>
      </c>
      <c r="I48" s="81">
        <f>SUBTOTAL(109,Table2261210141656[Hours Payable])</f>
        <v>27.816666666666666</v>
      </c>
      <c r="J48" s="85">
        <f>SUBTOTAL(109,Table2261210141656[Wages (Incl. Super)])</f>
        <v>1866.5178049999997</v>
      </c>
      <c r="K48" s="85">
        <f>SUBTOTAL(109,Table2261210141656[Profit])</f>
        <v>565.49467000000027</v>
      </c>
      <c r="L48" s="82">
        <f>IF(L2="","",SUBTOTAL(101,Table2261210141656[Quote/Wages]))</f>
        <v>0.71848937518498934</v>
      </c>
    </row>
  </sheetData>
  <conditionalFormatting sqref="B1 B49:B269">
    <cfRule type="expression" dxfId="91" priority="3">
      <formula>AND(ROW()&gt;1, E1&lt;&gt;"", COUNTIFS(A:A, $A1, B:B, $B1, F:F, "Yes")=0)</formula>
    </cfRule>
  </conditionalFormatting>
  <conditionalFormatting sqref="F1 F49:F269">
    <cfRule type="expression" dxfId="90" priority="4" stopIfTrue="1">
      <formula>AND(ROW()&gt;1, E1&lt;&gt;"", COUNTIFS(A:A, $A1, B:B, $B1, F:F, "Yes")=0)</formula>
    </cfRule>
  </conditionalFormatting>
  <conditionalFormatting sqref="B2:B45">
    <cfRule type="expression" dxfId="89" priority="1">
      <formula>AND(ROW()&gt;1, E2&lt;&gt;"", COUNTIFS(A:A, $A2, B:B, $B2, F:F, "Yes")=0)</formula>
    </cfRule>
  </conditionalFormatting>
  <conditionalFormatting sqref="F2:F47">
    <cfRule type="expression" dxfId="88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9CD05BD4-3461-4722-8824-430510FB493B}">
      <formula1>"No, Yes"</formula1>
    </dataValidation>
    <dataValidation type="list" allowBlank="1" showErrorMessage="1" promptTitle="Select" sqref="B2:B45" xr:uid="{EDDD69A1-6922-4B26-8ED3-1F8B0A00BD7A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C04871DD-14A9-4DDE-B7D4-27FFE726ADD5}">
          <x14:formula1>
            <xm:f>'Active Jobs'!$B$2:$B$154</xm:f>
          </x14:formula1>
          <xm:sqref>C2:C47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55D8F-7997-4DD2-BD31-B3B3755042AB}">
  <sheetPr codeName="Sheet26"/>
  <dimension ref="A1:W48"/>
  <sheetViews>
    <sheetView zoomScale="125" zoomScaleNormal="125" workbookViewId="0">
      <selection activeCell="C23" sqref="C23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str" cm="1">
        <f t="array" ref="O1">IF(B2="","",TRANSPOSE(_xlfn._xlws.FILTER(_xlfn.UNIQUE(A2:A219), _xlfn.UNIQUE(A2:A219)&lt;&gt;"")))</f>
        <v/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25" t="str">
        <f t="shared" ref="W2:W18" si="0">IF(N2="","",V2*Super)</f>
        <v/>
      </c>
    </row>
    <row r="3" spans="1:23" ht="25" customHeight="1">
      <c r="A3" s="95" t="s">
        <v>59</v>
      </c>
      <c r="B3" s="96"/>
      <c r="C3" s="96"/>
      <c r="D3" s="96"/>
      <c r="E3" s="96"/>
      <c r="F3" s="96"/>
      <c r="G3" s="96"/>
      <c r="H3" s="97" t="s">
        <v>60</v>
      </c>
      <c r="I3" s="96"/>
      <c r="J3" s="97">
        <v>0</v>
      </c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8"/>
      <c r="W3" s="25" t="str">
        <f t="shared" si="0"/>
        <v/>
      </c>
    </row>
    <row r="4" spans="1:23" ht="25" customHeight="1">
      <c r="A4" s="99" t="s">
        <v>61</v>
      </c>
      <c r="B4" s="100" t="s">
        <v>62</v>
      </c>
      <c r="C4" s="101"/>
      <c r="D4" s="102"/>
      <c r="E4" s="102"/>
      <c r="F4" s="102"/>
      <c r="G4" s="102"/>
      <c r="H4" s="102"/>
      <c r="I4" s="103"/>
      <c r="J4" s="102"/>
      <c r="K4" s="102"/>
      <c r="L4" s="102"/>
      <c r="M4" s="102"/>
      <c r="N4" s="102" t="s">
        <v>63</v>
      </c>
      <c r="O4" s="102"/>
      <c r="P4" s="102"/>
      <c r="Q4" s="102"/>
      <c r="R4" s="104"/>
      <c r="S4" s="102"/>
      <c r="T4" s="104"/>
      <c r="U4" s="105"/>
      <c r="V4" s="105"/>
      <c r="W4" s="25">
        <f t="shared" si="0"/>
        <v>0</v>
      </c>
    </row>
    <row r="5" spans="1:23" ht="25" customHeight="1">
      <c r="A5" s="106"/>
      <c r="B5" s="107" t="s">
        <v>64</v>
      </c>
      <c r="C5" s="108" t="s">
        <v>65</v>
      </c>
      <c r="D5" s="109" t="s">
        <v>66</v>
      </c>
      <c r="E5" s="109" t="s">
        <v>67</v>
      </c>
      <c r="F5" s="109" t="s">
        <v>68</v>
      </c>
      <c r="G5" s="109" t="s">
        <v>69</v>
      </c>
      <c r="H5" s="110" t="s">
        <v>70</v>
      </c>
      <c r="I5" s="141" t="s">
        <v>71</v>
      </c>
      <c r="J5" s="141" t="s">
        <v>65</v>
      </c>
      <c r="K5" s="141" t="s">
        <v>66</v>
      </c>
      <c r="L5" s="141" t="s">
        <v>67</v>
      </c>
      <c r="M5" s="144" t="s">
        <v>68</v>
      </c>
      <c r="N5" s="144" t="s">
        <v>69</v>
      </c>
      <c r="O5" s="141" t="s">
        <v>72</v>
      </c>
      <c r="P5" s="141" t="s">
        <v>73</v>
      </c>
      <c r="Q5" s="110" t="s">
        <v>73</v>
      </c>
      <c r="R5" s="110">
        <v>0</v>
      </c>
      <c r="S5" s="110">
        <v>237.59</v>
      </c>
      <c r="T5" s="111"/>
      <c r="U5" s="112"/>
      <c r="V5" s="112"/>
      <c r="W5" s="25">
        <f t="shared" si="0"/>
        <v>0</v>
      </c>
    </row>
    <row r="6" spans="1:23" ht="25" customHeight="1">
      <c r="A6" s="113" t="s">
        <v>74</v>
      </c>
      <c r="B6" s="114"/>
      <c r="C6" s="115"/>
      <c r="D6" s="116"/>
      <c r="E6" s="116"/>
      <c r="F6" s="116"/>
      <c r="G6" s="116"/>
      <c r="H6" s="116" t="s">
        <v>75</v>
      </c>
      <c r="I6" s="142"/>
      <c r="J6" s="142"/>
      <c r="K6" s="142"/>
      <c r="L6" s="142"/>
      <c r="M6" s="145"/>
      <c r="N6" s="145"/>
      <c r="O6" s="142"/>
      <c r="P6" s="142"/>
      <c r="Q6" s="118" t="s">
        <v>76</v>
      </c>
      <c r="R6" s="117" t="s">
        <v>77</v>
      </c>
      <c r="S6" s="117" t="s">
        <v>78</v>
      </c>
      <c r="T6" s="119" t="s">
        <v>79</v>
      </c>
      <c r="U6" s="117" t="s">
        <v>80</v>
      </c>
      <c r="V6" s="117" t="s">
        <v>81</v>
      </c>
      <c r="W6" s="25" t="str">
        <f t="shared" si="0"/>
        <v/>
      </c>
    </row>
    <row r="7" spans="1:23" ht="25" customHeight="1">
      <c r="A7" s="125" t="s">
        <v>343</v>
      </c>
      <c r="B7" s="126">
        <v>30.38</v>
      </c>
      <c r="C7" s="125">
        <v>9.17</v>
      </c>
      <c r="D7" s="125">
        <v>6.08</v>
      </c>
      <c r="E7" s="125">
        <v>6.58</v>
      </c>
      <c r="F7" s="125">
        <v>4</v>
      </c>
      <c r="G7" s="125">
        <v>8.5</v>
      </c>
      <c r="H7" s="125">
        <v>34.33</v>
      </c>
      <c r="I7" s="127">
        <v>30.09</v>
      </c>
      <c r="J7" s="125">
        <v>275.93</v>
      </c>
      <c r="K7" s="125">
        <v>182.95</v>
      </c>
      <c r="L7" s="125">
        <v>197.99</v>
      </c>
      <c r="M7" s="125">
        <v>120.36</v>
      </c>
      <c r="N7" s="125">
        <v>255.77</v>
      </c>
      <c r="O7" s="125">
        <v>0</v>
      </c>
      <c r="P7" s="127">
        <v>1033</v>
      </c>
      <c r="Q7" s="127">
        <v>1063.3800000000001</v>
      </c>
      <c r="R7" s="125"/>
      <c r="S7" s="125">
        <v>118.8</v>
      </c>
      <c r="T7" s="128">
        <v>1063.3800000000001</v>
      </c>
      <c r="U7" s="129">
        <v>1064</v>
      </c>
      <c r="V7" s="125" t="s">
        <v>343</v>
      </c>
      <c r="W7" s="25" t="e">
        <f t="shared" si="0"/>
        <v>#VALUE!</v>
      </c>
    </row>
    <row r="8" spans="1:23" ht="25" customHeight="1">
      <c r="A8" s="125" t="s">
        <v>335</v>
      </c>
      <c r="B8" s="126"/>
      <c r="C8" s="138" t="s">
        <v>82</v>
      </c>
      <c r="D8" s="138" t="s">
        <v>82</v>
      </c>
      <c r="E8" s="138" t="s">
        <v>82</v>
      </c>
      <c r="F8" s="138" t="s">
        <v>82</v>
      </c>
      <c r="G8" s="138" t="s">
        <v>82</v>
      </c>
      <c r="H8" s="125">
        <v>0</v>
      </c>
      <c r="I8" s="127">
        <v>30.09</v>
      </c>
      <c r="J8" s="125">
        <v>0</v>
      </c>
      <c r="K8" s="125">
        <v>0</v>
      </c>
      <c r="L8" s="125">
        <v>0</v>
      </c>
      <c r="M8" s="125">
        <v>0</v>
      </c>
      <c r="N8" s="125">
        <v>0</v>
      </c>
      <c r="O8" s="125">
        <v>0</v>
      </c>
      <c r="P8" s="127">
        <v>0</v>
      </c>
      <c r="Q8" s="127">
        <v>0</v>
      </c>
      <c r="R8" s="125"/>
      <c r="S8" s="125">
        <v>0</v>
      </c>
      <c r="T8" s="128">
        <v>0</v>
      </c>
      <c r="U8" s="129">
        <v>0</v>
      </c>
      <c r="V8" s="125" t="s">
        <v>335</v>
      </c>
      <c r="W8" s="25" t="e">
        <f t="shared" si="0"/>
        <v>#VALUE!</v>
      </c>
    </row>
    <row r="9" spans="1:23" ht="25" customHeight="1">
      <c r="A9" s="130" t="s">
        <v>83</v>
      </c>
      <c r="B9" s="131"/>
      <c r="C9" s="125">
        <v>9.17</v>
      </c>
      <c r="D9" s="125">
        <v>6.08</v>
      </c>
      <c r="E9" s="125">
        <v>6.58</v>
      </c>
      <c r="F9" s="125">
        <v>4</v>
      </c>
      <c r="G9" s="125">
        <v>8.5</v>
      </c>
      <c r="H9" s="125">
        <v>34.33</v>
      </c>
      <c r="I9" s="127">
        <v>30.09</v>
      </c>
      <c r="J9" s="125">
        <v>275.93</v>
      </c>
      <c r="K9" s="125">
        <v>182.95</v>
      </c>
      <c r="L9" s="125">
        <v>197.99</v>
      </c>
      <c r="M9" s="125">
        <v>120.36</v>
      </c>
      <c r="N9" s="125">
        <v>255.77</v>
      </c>
      <c r="O9" s="125">
        <v>0</v>
      </c>
      <c r="P9" s="127">
        <v>1033</v>
      </c>
      <c r="Q9" s="127">
        <v>1033</v>
      </c>
      <c r="R9" s="125"/>
      <c r="S9" s="125">
        <v>118.8</v>
      </c>
      <c r="T9" s="128">
        <v>1033</v>
      </c>
      <c r="U9" s="129">
        <v>1033</v>
      </c>
      <c r="V9" s="130" t="s">
        <v>83</v>
      </c>
      <c r="W9" s="25" t="e">
        <f t="shared" si="0"/>
        <v>#VALUE!</v>
      </c>
    </row>
    <row r="10" spans="1:23" ht="25" customHeight="1">
      <c r="A10" s="130" t="s">
        <v>84</v>
      </c>
      <c r="B10" s="131"/>
      <c r="C10" s="138" t="s">
        <v>82</v>
      </c>
      <c r="D10" s="138" t="s">
        <v>82</v>
      </c>
      <c r="E10" s="138" t="s">
        <v>82</v>
      </c>
      <c r="F10" s="138" t="s">
        <v>82</v>
      </c>
      <c r="G10" s="138" t="s">
        <v>82</v>
      </c>
      <c r="H10" s="125">
        <v>0</v>
      </c>
      <c r="I10" s="127">
        <v>30.09</v>
      </c>
      <c r="J10" s="125">
        <v>0</v>
      </c>
      <c r="K10" s="125">
        <v>0</v>
      </c>
      <c r="L10" s="125">
        <v>0</v>
      </c>
      <c r="M10" s="125">
        <v>0</v>
      </c>
      <c r="N10" s="125">
        <v>0</v>
      </c>
      <c r="O10" s="125">
        <v>0</v>
      </c>
      <c r="P10" s="127">
        <v>0</v>
      </c>
      <c r="Q10" s="127">
        <v>0</v>
      </c>
      <c r="R10" s="125"/>
      <c r="S10" s="125">
        <v>0</v>
      </c>
      <c r="T10" s="128">
        <v>0</v>
      </c>
      <c r="U10" s="129">
        <v>0</v>
      </c>
      <c r="V10" s="130" t="s">
        <v>84</v>
      </c>
      <c r="W10" s="25" t="e">
        <f t="shared" si="0"/>
        <v>#VALUE!</v>
      </c>
    </row>
    <row r="11" spans="1:23" ht="25" customHeight="1">
      <c r="A11" s="130" t="s">
        <v>85</v>
      </c>
      <c r="B11" s="133">
        <v>30.38</v>
      </c>
      <c r="C11" s="133">
        <v>18.34</v>
      </c>
      <c r="D11" s="133">
        <v>12.16</v>
      </c>
      <c r="E11" s="133">
        <v>13.16</v>
      </c>
      <c r="F11" s="133">
        <v>8</v>
      </c>
      <c r="G11" s="133">
        <v>17</v>
      </c>
      <c r="H11" s="133">
        <v>68.66</v>
      </c>
      <c r="I11" s="134"/>
      <c r="J11" s="134">
        <v>551.86</v>
      </c>
      <c r="K11" s="134">
        <v>365.9</v>
      </c>
      <c r="L11" s="134">
        <v>395.98</v>
      </c>
      <c r="M11" s="134">
        <v>240.72</v>
      </c>
      <c r="N11" s="134">
        <v>511.54</v>
      </c>
      <c r="O11" s="134">
        <v>0</v>
      </c>
      <c r="P11" s="134">
        <v>2066</v>
      </c>
      <c r="Q11" s="134">
        <v>2096.38</v>
      </c>
      <c r="R11" s="134">
        <v>0</v>
      </c>
      <c r="S11" s="134">
        <v>237.59</v>
      </c>
      <c r="T11" s="134">
        <v>2096.38</v>
      </c>
      <c r="U11" s="134">
        <v>2097</v>
      </c>
      <c r="V11" s="112"/>
      <c r="W11" s="25">
        <f t="shared" si="0"/>
        <v>0</v>
      </c>
    </row>
    <row r="12" spans="1:23" ht="25" customHeight="1">
      <c r="A12" s="135"/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6"/>
      <c r="R12" s="136"/>
      <c r="S12" s="136"/>
      <c r="T12" s="136"/>
      <c r="U12" s="137"/>
      <c r="V12" s="137"/>
      <c r="W12" s="25" t="str">
        <f t="shared" si="0"/>
        <v/>
      </c>
    </row>
    <row r="13" spans="1:23" ht="25" customHeight="1">
      <c r="A13" s="135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6"/>
      <c r="R13" s="136"/>
      <c r="S13" s="136"/>
      <c r="T13" s="136"/>
      <c r="U13" s="137"/>
      <c r="V13" s="137"/>
      <c r="W13" s="25" t="str">
        <f t="shared" si="0"/>
        <v/>
      </c>
    </row>
    <row r="14" spans="1:23" ht="25" customHeight="1">
      <c r="A14" s="135"/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7"/>
      <c r="V14" s="137"/>
      <c r="W14" s="25" t="str">
        <f t="shared" si="0"/>
        <v/>
      </c>
    </row>
    <row r="15" spans="1:23" ht="25" customHeight="1">
      <c r="B15" s="15"/>
      <c r="D15" s="5"/>
      <c r="E15" s="5"/>
      <c r="F15" s="6" t="str">
        <f t="shared" ref="F15:F47" si="1">IF(E15="","","No")</f>
        <v/>
      </c>
      <c r="G15" s="6" t="str">
        <f t="shared" ref="G15:G47" si="2">IF(E15="","",IF(F15="Yes",(E15-D15)-TIME(0,30,0),E15-D15))</f>
        <v/>
      </c>
      <c r="H15" s="50" t="str">
        <f>_xlfn.IFNA(VLOOKUP(C:C,'Active Jobs'!B:K,8,0),"")</f>
        <v/>
      </c>
      <c r="I15" s="8" t="str">
        <f t="shared" ref="I15:I47" si="3">IF(F15="Yes",(E15-D15)*24-0.5,IF(F15="No",(E15-D15)*24,""))</f>
        <v/>
      </c>
      <c r="J15" s="50" t="str">
        <f t="shared" ref="J15:J47" si="4">IF(G15="","",G15*24*HourlyRate*2*(1+Super))</f>
        <v/>
      </c>
      <c r="K15" s="50" t="str">
        <f t="shared" ref="K15:K47" si="5">IF(H15="","",IF(E15="","",IF(J15=0,0,H15-J15)))</f>
        <v/>
      </c>
      <c r="L15" s="9" t="str">
        <f t="shared" ref="L15:L47" si="6">IF(K15="","",IF(H15=0,1,J15/H15))</f>
        <v/>
      </c>
      <c r="O15" s="23" t="str">
        <f t="shared" ref="O15:S18" si="7">IF(N15="","",ROUND(SUMIFS($I:$I,$A:$A,O$1,$B:$B,"*"&amp;$N15&amp;"*"),2))</f>
        <v/>
      </c>
      <c r="P15" s="23" t="str">
        <f t="shared" si="7"/>
        <v/>
      </c>
      <c r="Q15" s="23" t="str">
        <f t="shared" si="7"/>
        <v/>
      </c>
      <c r="R15" s="23" t="str">
        <f t="shared" si="7"/>
        <v/>
      </c>
      <c r="S15" s="23" t="str">
        <f t="shared" si="7"/>
        <v/>
      </c>
      <c r="T15" s="10" t="str">
        <f t="shared" ref="T15:T42" si="8">IF(N15="","",SUM(O15:S15))</f>
        <v/>
      </c>
      <c r="V15" s="24" t="str">
        <f t="shared" ref="V15:V18" si="9">IF(N15="","",T15*HourlyRate)</f>
        <v/>
      </c>
      <c r="W15" s="25" t="str">
        <f t="shared" si="0"/>
        <v/>
      </c>
    </row>
    <row r="16" spans="1:23" ht="25" customHeight="1">
      <c r="B16" s="15"/>
      <c r="D16" s="5"/>
      <c r="E16" s="5"/>
      <c r="F16" s="6" t="str">
        <f t="shared" si="1"/>
        <v/>
      </c>
      <c r="G16" s="6" t="str">
        <f t="shared" si="2"/>
        <v/>
      </c>
      <c r="H16" s="50" t="str">
        <f>_xlfn.IFNA(VLOOKUP(C:C,'Active Jobs'!B:K,8,0),"")</f>
        <v/>
      </c>
      <c r="I16" s="8" t="str">
        <f t="shared" si="3"/>
        <v/>
      </c>
      <c r="J16" s="50" t="str">
        <f t="shared" si="4"/>
        <v/>
      </c>
      <c r="K16" s="50" t="str">
        <f t="shared" si="5"/>
        <v/>
      </c>
      <c r="L16" s="9" t="str">
        <f t="shared" si="6"/>
        <v/>
      </c>
      <c r="O16" s="23" t="str">
        <f t="shared" si="7"/>
        <v/>
      </c>
      <c r="P16" s="23" t="str">
        <f t="shared" si="7"/>
        <v/>
      </c>
      <c r="Q16" s="23" t="str">
        <f t="shared" si="7"/>
        <v/>
      </c>
      <c r="R16" s="23" t="str">
        <f t="shared" si="7"/>
        <v/>
      </c>
      <c r="S16" s="23" t="str">
        <f t="shared" si="7"/>
        <v/>
      </c>
      <c r="T16" s="10" t="str">
        <f t="shared" si="8"/>
        <v/>
      </c>
      <c r="V16" s="24" t="str">
        <f t="shared" si="9"/>
        <v/>
      </c>
      <c r="W16" s="25" t="str">
        <f t="shared" si="0"/>
        <v/>
      </c>
    </row>
    <row r="17" spans="2:23" ht="25" customHeight="1">
      <c r="B17" s="15"/>
      <c r="D17" s="5"/>
      <c r="E17" s="5"/>
      <c r="F17" s="6" t="str">
        <f t="shared" si="1"/>
        <v/>
      </c>
      <c r="G17" s="6" t="str">
        <f t="shared" si="2"/>
        <v/>
      </c>
      <c r="H17" s="50" t="str">
        <f>_xlfn.IFNA(VLOOKUP(C:C,'Active Jobs'!B:K,8,0),"")</f>
        <v/>
      </c>
      <c r="I17" s="8" t="str">
        <f t="shared" si="3"/>
        <v/>
      </c>
      <c r="J17" s="50" t="str">
        <f t="shared" si="4"/>
        <v/>
      </c>
      <c r="K17" s="50" t="str">
        <f t="shared" si="5"/>
        <v/>
      </c>
      <c r="L17" s="9" t="str">
        <f t="shared" si="6"/>
        <v/>
      </c>
      <c r="O17" s="23" t="str">
        <f t="shared" si="7"/>
        <v/>
      </c>
      <c r="P17" s="23" t="str">
        <f t="shared" si="7"/>
        <v/>
      </c>
      <c r="Q17" s="23" t="str">
        <f t="shared" si="7"/>
        <v/>
      </c>
      <c r="R17" s="23" t="str">
        <f t="shared" si="7"/>
        <v/>
      </c>
      <c r="S17" s="23" t="str">
        <f t="shared" si="7"/>
        <v/>
      </c>
      <c r="T17" s="10" t="str">
        <f t="shared" si="8"/>
        <v/>
      </c>
      <c r="V17" s="24" t="str">
        <f t="shared" si="9"/>
        <v/>
      </c>
      <c r="W17" s="25" t="str">
        <f t="shared" si="0"/>
        <v/>
      </c>
    </row>
    <row r="18" spans="2:23" ht="25" customHeight="1">
      <c r="B18" s="15"/>
      <c r="D18" s="5"/>
      <c r="E18" s="5"/>
      <c r="F18" s="6" t="str">
        <f t="shared" si="1"/>
        <v/>
      </c>
      <c r="G18" s="6" t="str">
        <f t="shared" si="2"/>
        <v/>
      </c>
      <c r="H18" s="50" t="str">
        <f>_xlfn.IFNA(VLOOKUP(C:C,'Active Jobs'!B:K,8,0),"")</f>
        <v/>
      </c>
      <c r="I18" s="8" t="str">
        <f t="shared" si="3"/>
        <v/>
      </c>
      <c r="J18" s="50" t="str">
        <f t="shared" si="4"/>
        <v/>
      </c>
      <c r="K18" s="50" t="str">
        <f t="shared" si="5"/>
        <v/>
      </c>
      <c r="L18" s="9" t="str">
        <f t="shared" si="6"/>
        <v/>
      </c>
      <c r="O18" s="23" t="str">
        <f t="shared" si="7"/>
        <v/>
      </c>
      <c r="P18" s="23" t="str">
        <f t="shared" si="7"/>
        <v/>
      </c>
      <c r="Q18" s="23" t="str">
        <f t="shared" si="7"/>
        <v/>
      </c>
      <c r="R18" s="23" t="str">
        <f t="shared" si="7"/>
        <v/>
      </c>
      <c r="S18" s="23" t="str">
        <f t="shared" si="7"/>
        <v/>
      </c>
      <c r="T18" s="10" t="str">
        <f t="shared" si="8"/>
        <v/>
      </c>
      <c r="V18" s="24" t="str">
        <f t="shared" si="9"/>
        <v/>
      </c>
      <c r="W18" s="25" t="str">
        <f t="shared" si="0"/>
        <v/>
      </c>
    </row>
    <row r="19" spans="2:23" ht="25" customHeight="1">
      <c r="B19" s="15"/>
      <c r="D19" s="5"/>
      <c r="E19" s="5"/>
      <c r="F19" s="6" t="str">
        <f t="shared" si="1"/>
        <v/>
      </c>
      <c r="G19" s="6" t="str">
        <f t="shared" si="2"/>
        <v/>
      </c>
      <c r="H19" s="50" t="str">
        <f>_xlfn.IFNA(VLOOKUP(C:C,'Active Jobs'!B:K,8,0),"")</f>
        <v/>
      </c>
      <c r="I19" s="8" t="str">
        <f t="shared" si="3"/>
        <v/>
      </c>
      <c r="J19" s="50" t="str">
        <f t="shared" si="4"/>
        <v/>
      </c>
      <c r="K19" s="50" t="str">
        <f t="shared" si="5"/>
        <v/>
      </c>
      <c r="L19" s="9" t="str">
        <f t="shared" si="6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8"/>
        <v/>
      </c>
    </row>
    <row r="20" spans="2:23" ht="25" customHeight="1">
      <c r="B20" s="15"/>
      <c r="D20" s="5"/>
      <c r="E20" s="5"/>
      <c r="F20" s="6" t="str">
        <f t="shared" si="1"/>
        <v/>
      </c>
      <c r="G20" s="6" t="str">
        <f t="shared" si="2"/>
        <v/>
      </c>
      <c r="H20" s="50" t="str">
        <f>_xlfn.IFNA(VLOOKUP(C:C,'Active Jobs'!B:K,8,0),"")</f>
        <v/>
      </c>
      <c r="I20" s="8" t="str">
        <f t="shared" si="3"/>
        <v/>
      </c>
      <c r="J20" s="50" t="str">
        <f t="shared" si="4"/>
        <v/>
      </c>
      <c r="K20" s="50" t="str">
        <f t="shared" si="5"/>
        <v/>
      </c>
      <c r="L20" s="9" t="str">
        <f t="shared" si="6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8"/>
        <v/>
      </c>
    </row>
    <row r="21" spans="2:23" ht="25" customHeight="1">
      <c r="B21" s="15"/>
      <c r="D21" s="5"/>
      <c r="E21" s="5"/>
      <c r="F21" s="6" t="str">
        <f t="shared" si="1"/>
        <v/>
      </c>
      <c r="G21" s="6" t="str">
        <f t="shared" si="2"/>
        <v/>
      </c>
      <c r="H21" s="50" t="str">
        <f>_xlfn.IFNA(VLOOKUP(C:C,'Active Jobs'!B:K,8,0),"")</f>
        <v/>
      </c>
      <c r="I21" s="8" t="str">
        <f t="shared" si="3"/>
        <v/>
      </c>
      <c r="J21" s="50" t="str">
        <f t="shared" si="4"/>
        <v/>
      </c>
      <c r="K21" s="50" t="str">
        <f t="shared" si="5"/>
        <v/>
      </c>
      <c r="L21" s="9" t="str">
        <f t="shared" si="6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8"/>
        <v/>
      </c>
    </row>
    <row r="22" spans="2:23" ht="25" customHeight="1">
      <c r="B22" s="15"/>
      <c r="D22" s="5"/>
      <c r="E22" s="5"/>
      <c r="F22" s="6" t="str">
        <f t="shared" si="1"/>
        <v/>
      </c>
      <c r="G22" s="6" t="str">
        <f t="shared" si="2"/>
        <v/>
      </c>
      <c r="H22" s="50" t="str">
        <f>_xlfn.IFNA(VLOOKUP(C:C,'Active Jobs'!B:K,8,0),"")</f>
        <v/>
      </c>
      <c r="I22" s="8" t="str">
        <f t="shared" si="3"/>
        <v/>
      </c>
      <c r="J22" s="50" t="str">
        <f t="shared" si="4"/>
        <v/>
      </c>
      <c r="K22" s="50" t="str">
        <f t="shared" si="5"/>
        <v/>
      </c>
      <c r="L22" s="9" t="str">
        <f t="shared" si="6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8"/>
        <v/>
      </c>
    </row>
    <row r="23" spans="2:23" ht="25" customHeight="1">
      <c r="B23" s="15"/>
      <c r="D23" s="5"/>
      <c r="E23" s="5"/>
      <c r="F23" s="6" t="str">
        <f t="shared" si="1"/>
        <v/>
      </c>
      <c r="G23" s="6" t="str">
        <f t="shared" si="2"/>
        <v/>
      </c>
      <c r="H23" s="50" t="str">
        <f>_xlfn.IFNA(VLOOKUP(C:C,'Active Jobs'!B:K,8,0),"")</f>
        <v/>
      </c>
      <c r="I23" s="8" t="str">
        <f t="shared" si="3"/>
        <v/>
      </c>
      <c r="J23" s="50" t="str">
        <f t="shared" si="4"/>
        <v/>
      </c>
      <c r="K23" s="50" t="str">
        <f t="shared" si="5"/>
        <v/>
      </c>
      <c r="L23" s="9" t="str">
        <f t="shared" si="6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8"/>
        <v/>
      </c>
    </row>
    <row r="24" spans="2:23" ht="25" customHeight="1">
      <c r="B24" s="15"/>
      <c r="D24" s="5"/>
      <c r="E24" s="5"/>
      <c r="F24" s="6" t="str">
        <f t="shared" si="1"/>
        <v/>
      </c>
      <c r="G24" s="6" t="str">
        <f t="shared" si="2"/>
        <v/>
      </c>
      <c r="H24" s="50" t="str">
        <f>_xlfn.IFNA(VLOOKUP(C:C,'Active Jobs'!B:K,8,0),"")</f>
        <v/>
      </c>
      <c r="I24" s="8" t="str">
        <f t="shared" si="3"/>
        <v/>
      </c>
      <c r="J24" s="50" t="str">
        <f t="shared" si="4"/>
        <v/>
      </c>
      <c r="K24" s="50" t="str">
        <f t="shared" si="5"/>
        <v/>
      </c>
      <c r="L24" s="9" t="str">
        <f t="shared" si="6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8"/>
        <v/>
      </c>
    </row>
    <row r="25" spans="2:23" ht="25" customHeight="1">
      <c r="B25" s="15"/>
      <c r="D25" s="5"/>
      <c r="E25" s="5"/>
      <c r="F25" s="6" t="str">
        <f t="shared" si="1"/>
        <v/>
      </c>
      <c r="G25" s="6" t="str">
        <f t="shared" si="2"/>
        <v/>
      </c>
      <c r="H25" s="50" t="str">
        <f>_xlfn.IFNA(VLOOKUP(C:C,'Active Jobs'!B:K,8,0),"")</f>
        <v/>
      </c>
      <c r="I25" s="8" t="str">
        <f t="shared" si="3"/>
        <v/>
      </c>
      <c r="J25" s="50" t="str">
        <f t="shared" si="4"/>
        <v/>
      </c>
      <c r="K25" s="50" t="str">
        <f t="shared" si="5"/>
        <v/>
      </c>
      <c r="L25" s="9" t="str">
        <f t="shared" si="6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8"/>
        <v/>
      </c>
    </row>
    <row r="26" spans="2:23" ht="25" customHeight="1">
      <c r="B26" s="15"/>
      <c r="D26" s="5"/>
      <c r="E26" s="5"/>
      <c r="F26" s="6" t="str">
        <f t="shared" si="1"/>
        <v/>
      </c>
      <c r="G26" s="6" t="str">
        <f t="shared" si="2"/>
        <v/>
      </c>
      <c r="H26" s="50" t="str">
        <f>_xlfn.IFNA(VLOOKUP(C:C,'Active Jobs'!B:K,8,0),"")</f>
        <v/>
      </c>
      <c r="I26" s="8" t="str">
        <f t="shared" si="3"/>
        <v/>
      </c>
      <c r="J26" s="50" t="str">
        <f t="shared" si="4"/>
        <v/>
      </c>
      <c r="K26" s="50" t="str">
        <f t="shared" si="5"/>
        <v/>
      </c>
      <c r="L26" s="9" t="str">
        <f t="shared" si="6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8"/>
        <v/>
      </c>
    </row>
    <row r="27" spans="2:23" ht="25" customHeight="1">
      <c r="B27" s="15"/>
      <c r="D27" s="5"/>
      <c r="E27" s="5"/>
      <c r="F27" s="6" t="str">
        <f t="shared" si="1"/>
        <v/>
      </c>
      <c r="G27" s="6" t="str">
        <f t="shared" si="2"/>
        <v/>
      </c>
      <c r="H27" s="50" t="str">
        <f>_xlfn.IFNA(VLOOKUP(C:C,'Active Jobs'!B:K,8,0),"")</f>
        <v/>
      </c>
      <c r="I27" s="8" t="str">
        <f t="shared" si="3"/>
        <v/>
      </c>
      <c r="J27" s="50" t="str">
        <f t="shared" si="4"/>
        <v/>
      </c>
      <c r="K27" s="50" t="str">
        <f t="shared" si="5"/>
        <v/>
      </c>
      <c r="L27" s="9" t="str">
        <f t="shared" si="6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8"/>
        <v/>
      </c>
    </row>
    <row r="28" spans="2:23" ht="25" customHeight="1">
      <c r="B28" s="15"/>
      <c r="D28" s="5"/>
      <c r="E28" s="5"/>
      <c r="F28" s="6" t="str">
        <f t="shared" si="1"/>
        <v/>
      </c>
      <c r="G28" s="6" t="str">
        <f t="shared" si="2"/>
        <v/>
      </c>
      <c r="H28" s="50" t="str">
        <f>_xlfn.IFNA(VLOOKUP(C:C,'Active Jobs'!B:K,8,0),"")</f>
        <v/>
      </c>
      <c r="I28" s="8" t="str">
        <f t="shared" si="3"/>
        <v/>
      </c>
      <c r="J28" s="50" t="str">
        <f t="shared" si="4"/>
        <v/>
      </c>
      <c r="K28" s="50" t="str">
        <f t="shared" si="5"/>
        <v/>
      </c>
      <c r="L28" s="9" t="str">
        <f t="shared" si="6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8"/>
        <v/>
      </c>
    </row>
    <row r="29" spans="2:23" ht="25" customHeight="1">
      <c r="B29" s="15"/>
      <c r="D29" s="5"/>
      <c r="E29" s="5"/>
      <c r="F29" s="6" t="str">
        <f t="shared" si="1"/>
        <v/>
      </c>
      <c r="G29" s="6" t="str">
        <f t="shared" si="2"/>
        <v/>
      </c>
      <c r="H29" s="50" t="str">
        <f>_xlfn.IFNA(VLOOKUP(C:C,'Active Jobs'!B:K,8,0),"")</f>
        <v/>
      </c>
      <c r="I29" s="8" t="str">
        <f t="shared" si="3"/>
        <v/>
      </c>
      <c r="J29" s="50" t="str">
        <f t="shared" si="4"/>
        <v/>
      </c>
      <c r="K29" s="50" t="str">
        <f t="shared" si="5"/>
        <v/>
      </c>
      <c r="L29" s="9" t="str">
        <f t="shared" si="6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8"/>
        <v/>
      </c>
    </row>
    <row r="30" spans="2:23" ht="25" customHeight="1">
      <c r="B30" s="15"/>
      <c r="D30" s="5"/>
      <c r="E30" s="5"/>
      <c r="F30" s="6" t="str">
        <f t="shared" si="1"/>
        <v/>
      </c>
      <c r="G30" s="6" t="str">
        <f t="shared" si="2"/>
        <v/>
      </c>
      <c r="H30" s="50" t="str">
        <f>_xlfn.IFNA(VLOOKUP(C:C,'Active Jobs'!B:K,8,0),"")</f>
        <v/>
      </c>
      <c r="I30" s="8" t="str">
        <f t="shared" si="3"/>
        <v/>
      </c>
      <c r="J30" s="50" t="str">
        <f t="shared" si="4"/>
        <v/>
      </c>
      <c r="K30" s="50" t="str">
        <f t="shared" si="5"/>
        <v/>
      </c>
      <c r="L30" s="9" t="str">
        <f t="shared" si="6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8"/>
        <v/>
      </c>
    </row>
    <row r="31" spans="2:23" ht="25" customHeight="1">
      <c r="B31" s="15"/>
      <c r="D31" s="5"/>
      <c r="E31" s="5"/>
      <c r="F31" s="6" t="str">
        <f t="shared" si="1"/>
        <v/>
      </c>
      <c r="G31" s="6" t="str">
        <f t="shared" si="2"/>
        <v/>
      </c>
      <c r="H31" s="50" t="str">
        <f>_xlfn.IFNA(VLOOKUP(C:C,'Active Jobs'!B:K,8,0),"")</f>
        <v/>
      </c>
      <c r="I31" s="8" t="str">
        <f t="shared" si="3"/>
        <v/>
      </c>
      <c r="J31" s="50" t="str">
        <f t="shared" si="4"/>
        <v/>
      </c>
      <c r="K31" s="50" t="str">
        <f t="shared" si="5"/>
        <v/>
      </c>
      <c r="L31" s="9" t="str">
        <f t="shared" si="6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8"/>
        <v/>
      </c>
    </row>
    <row r="32" spans="2:23" ht="25" customHeight="1">
      <c r="B32" s="15"/>
      <c r="D32" s="5"/>
      <c r="E32" s="5"/>
      <c r="F32" s="6" t="str">
        <f t="shared" si="1"/>
        <v/>
      </c>
      <c r="G32" s="6" t="str">
        <f t="shared" si="2"/>
        <v/>
      </c>
      <c r="H32" s="50" t="str">
        <f>_xlfn.IFNA(VLOOKUP(C:C,'Active Jobs'!B:K,8,0),"")</f>
        <v/>
      </c>
      <c r="I32" s="8" t="str">
        <f t="shared" si="3"/>
        <v/>
      </c>
      <c r="J32" s="50" t="str">
        <f t="shared" si="4"/>
        <v/>
      </c>
      <c r="K32" s="50" t="str">
        <f t="shared" si="5"/>
        <v/>
      </c>
      <c r="L32" s="9" t="str">
        <f t="shared" si="6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8"/>
        <v/>
      </c>
    </row>
    <row r="33" spans="2:20" ht="25" customHeight="1">
      <c r="B33" s="15"/>
      <c r="D33" s="5"/>
      <c r="E33" s="5"/>
      <c r="F33" s="6" t="str">
        <f t="shared" si="1"/>
        <v/>
      </c>
      <c r="G33" s="6" t="str">
        <f t="shared" si="2"/>
        <v/>
      </c>
      <c r="H33" s="50" t="str">
        <f>_xlfn.IFNA(VLOOKUP(C:C,'Active Jobs'!B:K,8,0),"")</f>
        <v/>
      </c>
      <c r="I33" s="8" t="str">
        <f t="shared" si="3"/>
        <v/>
      </c>
      <c r="J33" s="50" t="str">
        <f t="shared" si="4"/>
        <v/>
      </c>
      <c r="K33" s="50" t="str">
        <f t="shared" si="5"/>
        <v/>
      </c>
      <c r="L33" s="9" t="str">
        <f t="shared" si="6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8"/>
        <v/>
      </c>
    </row>
    <row r="34" spans="2:20" ht="25" customHeight="1">
      <c r="B34" s="15"/>
      <c r="D34" s="5"/>
      <c r="E34" s="5"/>
      <c r="F34" s="6" t="str">
        <f t="shared" si="1"/>
        <v/>
      </c>
      <c r="G34" s="6" t="str">
        <f t="shared" si="2"/>
        <v/>
      </c>
      <c r="H34" s="50" t="str">
        <f>_xlfn.IFNA(VLOOKUP(C:C,'Active Jobs'!B:K,8,0),"")</f>
        <v/>
      </c>
      <c r="I34" s="8" t="str">
        <f t="shared" si="3"/>
        <v/>
      </c>
      <c r="J34" s="50" t="str">
        <f t="shared" si="4"/>
        <v/>
      </c>
      <c r="K34" s="50" t="str">
        <f t="shared" si="5"/>
        <v/>
      </c>
      <c r="L34" s="9" t="str">
        <f t="shared" si="6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8"/>
        <v/>
      </c>
    </row>
    <row r="35" spans="2:20" ht="25" customHeight="1">
      <c r="B35" s="15"/>
      <c r="D35" s="5"/>
      <c r="E35" s="5"/>
      <c r="F35" s="6" t="str">
        <f t="shared" si="1"/>
        <v/>
      </c>
      <c r="G35" s="6" t="str">
        <f t="shared" si="2"/>
        <v/>
      </c>
      <c r="H35" s="50" t="str">
        <f>_xlfn.IFNA(VLOOKUP(C:C,'Active Jobs'!B:K,8,0),"")</f>
        <v/>
      </c>
      <c r="I35" s="8" t="str">
        <f t="shared" si="3"/>
        <v/>
      </c>
      <c r="J35" s="50" t="str">
        <f t="shared" si="4"/>
        <v/>
      </c>
      <c r="K35" s="50" t="str">
        <f t="shared" si="5"/>
        <v/>
      </c>
      <c r="L35" s="9" t="str">
        <f t="shared" si="6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8"/>
        <v/>
      </c>
    </row>
    <row r="36" spans="2:20" ht="25" customHeight="1">
      <c r="B36" s="15"/>
      <c r="D36" s="5"/>
      <c r="E36" s="5"/>
      <c r="F36" s="6" t="str">
        <f t="shared" si="1"/>
        <v/>
      </c>
      <c r="G36" s="6" t="str">
        <f t="shared" si="2"/>
        <v/>
      </c>
      <c r="H36" s="50" t="str">
        <f>_xlfn.IFNA(VLOOKUP(C:C,'Active Jobs'!B:K,8,0),"")</f>
        <v/>
      </c>
      <c r="I36" s="8" t="str">
        <f t="shared" si="3"/>
        <v/>
      </c>
      <c r="J36" s="50" t="str">
        <f t="shared" si="4"/>
        <v/>
      </c>
      <c r="K36" s="50" t="str">
        <f t="shared" si="5"/>
        <v/>
      </c>
      <c r="L36" s="9" t="str">
        <f t="shared" si="6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8"/>
        <v/>
      </c>
    </row>
    <row r="37" spans="2:20" ht="25" customHeight="1">
      <c r="B37" s="15"/>
      <c r="D37" s="5"/>
      <c r="E37" s="5"/>
      <c r="F37" s="6" t="str">
        <f t="shared" si="1"/>
        <v/>
      </c>
      <c r="G37" s="6" t="str">
        <f t="shared" si="2"/>
        <v/>
      </c>
      <c r="H37" s="50" t="str">
        <f>_xlfn.IFNA(VLOOKUP(C:C,'Active Jobs'!B:K,8,0),"")</f>
        <v/>
      </c>
      <c r="I37" s="8" t="str">
        <f t="shared" si="3"/>
        <v/>
      </c>
      <c r="J37" s="50" t="str">
        <f t="shared" si="4"/>
        <v/>
      </c>
      <c r="K37" s="50" t="str">
        <f t="shared" si="5"/>
        <v/>
      </c>
      <c r="L37" s="9" t="str">
        <f t="shared" si="6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8"/>
        <v/>
      </c>
    </row>
    <row r="38" spans="2:20" ht="25" customHeight="1">
      <c r="B38" s="15"/>
      <c r="D38" s="5"/>
      <c r="E38" s="5"/>
      <c r="F38" s="6" t="str">
        <f t="shared" si="1"/>
        <v/>
      </c>
      <c r="G38" s="6" t="str">
        <f t="shared" si="2"/>
        <v/>
      </c>
      <c r="H38" s="50" t="str">
        <f>_xlfn.IFNA(VLOOKUP(C:C,'Active Jobs'!B:K,8,0),"")</f>
        <v/>
      </c>
      <c r="I38" s="8" t="str">
        <f t="shared" si="3"/>
        <v/>
      </c>
      <c r="J38" s="50" t="str">
        <f t="shared" si="4"/>
        <v/>
      </c>
      <c r="K38" s="50" t="str">
        <f t="shared" si="5"/>
        <v/>
      </c>
      <c r="L38" s="9" t="str">
        <f t="shared" si="6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8"/>
        <v/>
      </c>
    </row>
    <row r="39" spans="2:20" ht="25" customHeight="1">
      <c r="B39" s="15"/>
      <c r="D39" s="5"/>
      <c r="E39" s="5"/>
      <c r="F39" s="6" t="str">
        <f t="shared" si="1"/>
        <v/>
      </c>
      <c r="G39" s="6" t="str">
        <f t="shared" si="2"/>
        <v/>
      </c>
      <c r="H39" s="50" t="str">
        <f>_xlfn.IFNA(VLOOKUP(C:C,'Active Jobs'!B:K,8,0),"")</f>
        <v/>
      </c>
      <c r="I39" s="8" t="str">
        <f t="shared" si="3"/>
        <v/>
      </c>
      <c r="J39" s="50" t="str">
        <f t="shared" si="4"/>
        <v/>
      </c>
      <c r="K39" s="50" t="str">
        <f t="shared" si="5"/>
        <v/>
      </c>
      <c r="L39" s="9" t="str">
        <f t="shared" si="6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8"/>
        <v/>
      </c>
    </row>
    <row r="40" spans="2:20" ht="25" customHeight="1">
      <c r="B40" s="15"/>
      <c r="D40" s="5"/>
      <c r="E40" s="5"/>
      <c r="F40" s="6" t="str">
        <f t="shared" si="1"/>
        <v/>
      </c>
      <c r="G40" s="6" t="str">
        <f t="shared" si="2"/>
        <v/>
      </c>
      <c r="H40" s="50" t="str">
        <f>_xlfn.IFNA(VLOOKUP(C:C,'Active Jobs'!B:K,8,0),"")</f>
        <v/>
      </c>
      <c r="I40" s="8" t="str">
        <f t="shared" si="3"/>
        <v/>
      </c>
      <c r="J40" s="50" t="str">
        <f t="shared" si="4"/>
        <v/>
      </c>
      <c r="K40" s="50" t="str">
        <f t="shared" si="5"/>
        <v/>
      </c>
      <c r="L40" s="9" t="str">
        <f t="shared" si="6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8"/>
        <v/>
      </c>
    </row>
    <row r="41" spans="2:20" ht="25" customHeight="1">
      <c r="B41" s="15"/>
      <c r="D41" s="5"/>
      <c r="E41" s="5"/>
      <c r="F41" s="6" t="str">
        <f t="shared" si="1"/>
        <v/>
      </c>
      <c r="G41" s="6" t="str">
        <f t="shared" si="2"/>
        <v/>
      </c>
      <c r="H41" s="50" t="str">
        <f>_xlfn.IFNA(VLOOKUP(C:C,'Active Jobs'!B:K,8,0),"")</f>
        <v/>
      </c>
      <c r="I41" s="8" t="str">
        <f t="shared" si="3"/>
        <v/>
      </c>
      <c r="J41" s="50" t="str">
        <f t="shared" si="4"/>
        <v/>
      </c>
      <c r="K41" s="50" t="str">
        <f t="shared" si="5"/>
        <v/>
      </c>
      <c r="L41" s="9" t="str">
        <f t="shared" si="6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8"/>
        <v/>
      </c>
    </row>
    <row r="42" spans="2:20" ht="25" customHeight="1">
      <c r="B42" s="15"/>
      <c r="D42" s="5"/>
      <c r="E42" s="5"/>
      <c r="F42" s="6" t="str">
        <f t="shared" si="1"/>
        <v/>
      </c>
      <c r="G42" s="6" t="str">
        <f t="shared" si="2"/>
        <v/>
      </c>
      <c r="H42" s="50" t="str">
        <f>_xlfn.IFNA(VLOOKUP(C:C,'Active Jobs'!B:K,8,0),"")</f>
        <v/>
      </c>
      <c r="I42" s="8" t="str">
        <f t="shared" si="3"/>
        <v/>
      </c>
      <c r="J42" s="50" t="str">
        <f t="shared" si="4"/>
        <v/>
      </c>
      <c r="K42" s="50" t="str">
        <f t="shared" si="5"/>
        <v/>
      </c>
      <c r="L42" s="9" t="str">
        <f t="shared" si="6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8"/>
        <v/>
      </c>
    </row>
    <row r="43" spans="2:20" ht="25" customHeight="1">
      <c r="B43" s="15"/>
      <c r="D43" s="5"/>
      <c r="E43" s="5"/>
      <c r="F43" s="6" t="str">
        <f t="shared" si="1"/>
        <v/>
      </c>
      <c r="G43" s="6" t="str">
        <f t="shared" si="2"/>
        <v/>
      </c>
      <c r="H43" s="50" t="str">
        <f>_xlfn.IFNA(VLOOKUP(C:C,'Active Jobs'!B:K,8,0),"")</f>
        <v/>
      </c>
      <c r="I43" s="8" t="str">
        <f t="shared" si="3"/>
        <v/>
      </c>
      <c r="J43" s="50" t="str">
        <f t="shared" si="4"/>
        <v/>
      </c>
      <c r="K43" s="50" t="str">
        <f t="shared" si="5"/>
        <v/>
      </c>
      <c r="L43" s="9" t="str">
        <f t="shared" si="6"/>
        <v/>
      </c>
    </row>
    <row r="44" spans="2:20" ht="25" customHeight="1">
      <c r="B44" s="15"/>
      <c r="D44" s="5"/>
      <c r="E44" s="5"/>
      <c r="F44" s="6" t="str">
        <f t="shared" si="1"/>
        <v/>
      </c>
      <c r="G44" s="6" t="str">
        <f t="shared" si="2"/>
        <v/>
      </c>
      <c r="H44" s="50" t="str">
        <f>_xlfn.IFNA(VLOOKUP(C:C,'Active Jobs'!B:K,8,0),"")</f>
        <v/>
      </c>
      <c r="I44" s="8" t="str">
        <f t="shared" si="3"/>
        <v/>
      </c>
      <c r="J44" s="50" t="str">
        <f t="shared" si="4"/>
        <v/>
      </c>
      <c r="K44" s="50" t="str">
        <f t="shared" si="5"/>
        <v/>
      </c>
      <c r="L44" s="9" t="str">
        <f t="shared" si="6"/>
        <v/>
      </c>
    </row>
    <row r="45" spans="2:20" ht="25" customHeight="1">
      <c r="B45" s="15"/>
      <c r="D45" s="5"/>
      <c r="E45" s="5"/>
      <c r="F45" s="6" t="str">
        <f t="shared" si="1"/>
        <v/>
      </c>
      <c r="G45" s="6" t="str">
        <f t="shared" si="2"/>
        <v/>
      </c>
      <c r="H45" s="50" t="str">
        <f>_xlfn.IFNA(VLOOKUP(C:C,'Active Jobs'!B:K,8,0),"")</f>
        <v/>
      </c>
      <c r="I45" s="8" t="str">
        <f t="shared" si="3"/>
        <v/>
      </c>
      <c r="J45" s="50" t="str">
        <f t="shared" si="4"/>
        <v/>
      </c>
      <c r="K45" s="50" t="str">
        <f t="shared" si="5"/>
        <v/>
      </c>
      <c r="L45" s="9" t="str">
        <f t="shared" si="6"/>
        <v/>
      </c>
    </row>
    <row r="46" spans="2:20" ht="25" customHeight="1">
      <c r="B46" s="86"/>
      <c r="D46" s="5"/>
      <c r="E46" s="5"/>
      <c r="F46" s="6" t="str">
        <f t="shared" si="1"/>
        <v/>
      </c>
      <c r="G46" s="6" t="str">
        <f t="shared" si="2"/>
        <v/>
      </c>
      <c r="H46" s="50" t="str">
        <f>_xlfn.IFNA(VLOOKUP(C:C,'Active Jobs'!B:K,8,0),"")</f>
        <v/>
      </c>
      <c r="I46" s="8" t="str">
        <f t="shared" si="3"/>
        <v/>
      </c>
      <c r="J46" s="50" t="str">
        <f t="shared" si="4"/>
        <v/>
      </c>
      <c r="K46" s="50" t="str">
        <f t="shared" si="5"/>
        <v/>
      </c>
      <c r="L46" s="9" t="str">
        <f t="shared" si="6"/>
        <v/>
      </c>
    </row>
    <row r="47" spans="2:20" ht="25" customHeight="1">
      <c r="B47" s="86"/>
      <c r="D47" s="5"/>
      <c r="E47" s="5"/>
      <c r="F47" s="6" t="str">
        <f t="shared" si="1"/>
        <v/>
      </c>
      <c r="G47" s="6" t="str">
        <f t="shared" si="2"/>
        <v/>
      </c>
      <c r="H47" s="50" t="str">
        <f>_xlfn.IFNA(VLOOKUP(C:C,'Active Jobs'!B:K,8,0),"")</f>
        <v/>
      </c>
      <c r="I47" s="8" t="str">
        <f t="shared" si="3"/>
        <v/>
      </c>
      <c r="J47" s="50" t="str">
        <f t="shared" si="4"/>
        <v/>
      </c>
      <c r="K47" s="50" t="str">
        <f t="shared" si="5"/>
        <v/>
      </c>
      <c r="L47" s="9" t="str">
        <f t="shared" si="6"/>
        <v/>
      </c>
    </row>
    <row r="48" spans="2:20" ht="25" customHeight="1">
      <c r="D48" s="83"/>
      <c r="E48" s="83"/>
      <c r="F48" s="84"/>
      <c r="G48" s="6"/>
      <c r="H48" s="85">
        <f>SUBTOTAL(109,Table2261210141646[Quoted])</f>
        <v>137.32</v>
      </c>
      <c r="I48" s="81">
        <f>SUBTOTAL(109,Table2261210141646[Hours Payable])</f>
        <v>120.36</v>
      </c>
      <c r="J48" s="85">
        <f>SUBTOTAL(109,Table2261210141646[Wages (Incl. Super)])</f>
        <v>1103.72</v>
      </c>
      <c r="K48" s="85">
        <f>SUBTOTAL(109,Table2261210141646[Profit])</f>
        <v>731.8</v>
      </c>
      <c r="L48" s="82" t="str">
        <f>IF(L2="","",SUBTOTAL(101,Table2261210141646[Quote/Wages]))</f>
        <v/>
      </c>
    </row>
  </sheetData>
  <mergeCells count="2">
    <mergeCell ref="M5:M6"/>
    <mergeCell ref="N5:N6"/>
  </mergeCells>
  <conditionalFormatting sqref="B1 B49:B269">
    <cfRule type="expression" dxfId="87" priority="3">
      <formula>AND(ROW()&gt;1, E1&lt;&gt;"", COUNTIFS(A:A, $A1, B:B, $B1, F:F, "Yes")=0)</formula>
    </cfRule>
  </conditionalFormatting>
  <conditionalFormatting sqref="F1 F49:F269">
    <cfRule type="expression" dxfId="86" priority="4" stopIfTrue="1">
      <formula>AND(ROW()&gt;1, E1&lt;&gt;"", COUNTIFS(A:A, $A1, B:B, $B1, F:F, "Yes")=0)</formula>
    </cfRule>
  </conditionalFormatting>
  <conditionalFormatting sqref="B15:B45">
    <cfRule type="expression" dxfId="85" priority="1">
      <formula>AND(ROW()&gt;1, E15&lt;&gt;"", COUNTIFS(A:A, $A15, B:B, $B15, F:F, "Yes")=0)</formula>
    </cfRule>
  </conditionalFormatting>
  <conditionalFormatting sqref="F15:F47">
    <cfRule type="expression" dxfId="84" priority="2" stopIfTrue="1">
      <formula>AND(ROW()&gt;1, E15&lt;&gt;"", COUNTIFS(A:A, $A15, B:B, $B15, F:F, "Yes")=0)</formula>
    </cfRule>
  </conditionalFormatting>
  <dataValidations count="2">
    <dataValidation type="list" allowBlank="1" showInputMessage="1" showErrorMessage="1" sqref="F15:F47" xr:uid="{D88A3680-CA96-4149-97CE-D8C8134F058C}">
      <formula1>"No, Yes"</formula1>
    </dataValidation>
    <dataValidation type="list" allowBlank="1" showErrorMessage="1" promptTitle="Select" sqref="B15:B45" xr:uid="{117668D0-9D88-42D3-809C-D41737C77169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B409AF70-E291-4272-93A5-9C8EE2D17BA3}">
          <x14:formula1>
            <xm:f>'Active Jobs'!$B$2:$B$154</xm:f>
          </x14:formula1>
          <xm:sqref>C15:C47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A4A72-10BE-4662-91C3-90563D8BCA3B}">
  <sheetPr codeName="Sheet30"/>
  <dimension ref="A1:W48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str" cm="1">
        <f t="array" ref="O1">IF(B2="","",TRANSPOSE(_xlfn._xlws.FILTER(_xlfn.UNIQUE(A2:A219), _xlfn.UNIQUE(A2:A219)&lt;&gt;"")))</f>
        <v/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92" t="s">
        <v>86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25" t="str">
        <f t="shared" ref="W2:W18" si="0">IF(N2="","",V2*Super)</f>
        <v/>
      </c>
    </row>
    <row r="3" spans="1:23" ht="25" customHeight="1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25" t="str">
        <f t="shared" si="0"/>
        <v/>
      </c>
    </row>
    <row r="4" spans="1:23" ht="25" customHeight="1">
      <c r="A4" s="95" t="s">
        <v>59</v>
      </c>
      <c r="B4" s="96"/>
      <c r="C4" s="96"/>
      <c r="D4" s="96"/>
      <c r="E4" s="96"/>
      <c r="F4" s="96"/>
      <c r="G4" s="96"/>
      <c r="H4" s="97" t="s">
        <v>60</v>
      </c>
      <c r="I4" s="96"/>
      <c r="J4" s="97">
        <v>0</v>
      </c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8"/>
      <c r="W4" s="25" t="str">
        <f t="shared" si="0"/>
        <v/>
      </c>
    </row>
    <row r="5" spans="1:23" ht="25" customHeight="1">
      <c r="A5" s="99" t="s">
        <v>61</v>
      </c>
      <c r="B5" s="100" t="s">
        <v>62</v>
      </c>
      <c r="C5" s="101"/>
      <c r="D5" s="102"/>
      <c r="E5" s="102"/>
      <c r="F5" s="102"/>
      <c r="G5" s="102"/>
      <c r="H5" s="102"/>
      <c r="I5" s="103"/>
      <c r="J5" s="102"/>
      <c r="K5" s="102"/>
      <c r="L5" s="102"/>
      <c r="M5" s="102"/>
      <c r="N5" s="102" t="s">
        <v>63</v>
      </c>
      <c r="O5" s="102"/>
      <c r="P5" s="102"/>
      <c r="Q5" s="102"/>
      <c r="R5" s="104"/>
      <c r="S5" s="102"/>
      <c r="T5" s="104"/>
      <c r="U5" s="105"/>
      <c r="V5" s="105"/>
      <c r="W5" s="25">
        <f t="shared" si="0"/>
        <v>0</v>
      </c>
    </row>
    <row r="6" spans="1:23" ht="25" customHeight="1">
      <c r="A6" s="106"/>
      <c r="B6" s="107" t="s">
        <v>64</v>
      </c>
      <c r="C6" s="108" t="s">
        <v>65</v>
      </c>
      <c r="D6" s="109" t="s">
        <v>66</v>
      </c>
      <c r="E6" s="109" t="s">
        <v>67</v>
      </c>
      <c r="F6" s="109" t="s">
        <v>68</v>
      </c>
      <c r="G6" s="109" t="s">
        <v>69</v>
      </c>
      <c r="H6" s="110" t="s">
        <v>70</v>
      </c>
      <c r="I6" s="141" t="s">
        <v>71</v>
      </c>
      <c r="J6" s="141" t="s">
        <v>65</v>
      </c>
      <c r="K6" s="141" t="s">
        <v>66</v>
      </c>
      <c r="L6" s="141" t="s">
        <v>67</v>
      </c>
      <c r="M6" s="144" t="s">
        <v>68</v>
      </c>
      <c r="N6" s="144" t="s">
        <v>69</v>
      </c>
      <c r="O6" s="141" t="s">
        <v>72</v>
      </c>
      <c r="P6" s="141" t="s">
        <v>73</v>
      </c>
      <c r="Q6" s="110" t="s">
        <v>73</v>
      </c>
      <c r="R6" s="110">
        <v>0</v>
      </c>
      <c r="S6" s="110">
        <v>250.87</v>
      </c>
      <c r="T6" s="111"/>
      <c r="U6" s="112"/>
      <c r="V6" s="112"/>
      <c r="W6" s="25">
        <f t="shared" si="0"/>
        <v>0</v>
      </c>
    </row>
    <row r="7" spans="1:23" ht="25" customHeight="1">
      <c r="A7" s="113" t="s">
        <v>74</v>
      </c>
      <c r="B7" s="114"/>
      <c r="C7" s="115"/>
      <c r="D7" s="116"/>
      <c r="E7" s="116"/>
      <c r="F7" s="116"/>
      <c r="G7" s="116"/>
      <c r="H7" s="116" t="s">
        <v>75</v>
      </c>
      <c r="I7" s="142"/>
      <c r="J7" s="142"/>
      <c r="K7" s="142"/>
      <c r="L7" s="142"/>
      <c r="M7" s="145"/>
      <c r="N7" s="145"/>
      <c r="O7" s="142"/>
      <c r="P7" s="142"/>
      <c r="Q7" s="118" t="s">
        <v>76</v>
      </c>
      <c r="R7" s="117" t="s">
        <v>77</v>
      </c>
      <c r="S7" s="117" t="s">
        <v>78</v>
      </c>
      <c r="T7" s="119" t="s">
        <v>79</v>
      </c>
      <c r="U7" s="117" t="s">
        <v>80</v>
      </c>
      <c r="V7" s="117" t="s">
        <v>81</v>
      </c>
      <c r="W7" s="25" t="str">
        <f t="shared" si="0"/>
        <v/>
      </c>
    </row>
    <row r="8" spans="1:23" ht="25" customHeight="1">
      <c r="A8" s="125" t="s">
        <v>343</v>
      </c>
      <c r="B8" s="126">
        <v>40.74</v>
      </c>
      <c r="C8" s="125">
        <v>8.25</v>
      </c>
      <c r="D8" s="125">
        <v>7.83</v>
      </c>
      <c r="E8" s="125">
        <v>6.67</v>
      </c>
      <c r="F8" s="125">
        <v>6.33</v>
      </c>
      <c r="G8" s="125">
        <v>7.17</v>
      </c>
      <c r="H8" s="125">
        <v>36.25</v>
      </c>
      <c r="I8" s="127">
        <v>30.09</v>
      </c>
      <c r="J8" s="125">
        <v>248.24</v>
      </c>
      <c r="K8" s="125">
        <v>235.6</v>
      </c>
      <c r="L8" s="125">
        <v>200.7</v>
      </c>
      <c r="M8" s="125">
        <v>190.47</v>
      </c>
      <c r="N8" s="125">
        <v>215.75</v>
      </c>
      <c r="O8" s="125">
        <v>0</v>
      </c>
      <c r="P8" s="127">
        <v>1090.76</v>
      </c>
      <c r="Q8" s="127">
        <v>1131.5</v>
      </c>
      <c r="R8" s="125"/>
      <c r="S8" s="125">
        <v>125.44</v>
      </c>
      <c r="T8" s="128">
        <v>1131.5</v>
      </c>
      <c r="U8" s="129">
        <v>1132</v>
      </c>
      <c r="V8" s="125" t="s">
        <v>343</v>
      </c>
      <c r="W8" s="25" t="e">
        <f t="shared" si="0"/>
        <v>#VALUE!</v>
      </c>
    </row>
    <row r="9" spans="1:23" ht="25" customHeight="1">
      <c r="A9" s="125" t="s">
        <v>335</v>
      </c>
      <c r="B9" s="126"/>
      <c r="C9" s="138" t="s">
        <v>82</v>
      </c>
      <c r="D9" s="138" t="s">
        <v>82</v>
      </c>
      <c r="E9" s="138" t="s">
        <v>82</v>
      </c>
      <c r="F9" s="138" t="s">
        <v>82</v>
      </c>
      <c r="G9" s="138" t="s">
        <v>82</v>
      </c>
      <c r="H9" s="125">
        <v>0</v>
      </c>
      <c r="I9" s="127">
        <v>30.09</v>
      </c>
      <c r="J9" s="125">
        <v>0</v>
      </c>
      <c r="K9" s="125">
        <v>0</v>
      </c>
      <c r="L9" s="125">
        <v>0</v>
      </c>
      <c r="M9" s="125">
        <v>0</v>
      </c>
      <c r="N9" s="125">
        <v>0</v>
      </c>
      <c r="O9" s="125">
        <v>0</v>
      </c>
      <c r="P9" s="127">
        <v>0</v>
      </c>
      <c r="Q9" s="127">
        <v>0</v>
      </c>
      <c r="R9" s="125"/>
      <c r="S9" s="125">
        <v>0</v>
      </c>
      <c r="T9" s="128">
        <v>0</v>
      </c>
      <c r="U9" s="129">
        <v>0</v>
      </c>
      <c r="V9" s="125" t="s">
        <v>335</v>
      </c>
      <c r="W9" s="25" t="e">
        <f t="shared" si="0"/>
        <v>#VALUE!</v>
      </c>
    </row>
    <row r="10" spans="1:23" ht="25" customHeight="1">
      <c r="A10" s="130" t="s">
        <v>83</v>
      </c>
      <c r="B10" s="131"/>
      <c r="C10" s="125">
        <v>8.25</v>
      </c>
      <c r="D10" s="125">
        <v>7.83</v>
      </c>
      <c r="E10" s="125">
        <v>6.67</v>
      </c>
      <c r="F10" s="125">
        <v>6.33</v>
      </c>
      <c r="G10" s="125">
        <v>7.17</v>
      </c>
      <c r="H10" s="125">
        <v>36.25</v>
      </c>
      <c r="I10" s="127">
        <v>30.09</v>
      </c>
      <c r="J10" s="125">
        <v>248.24</v>
      </c>
      <c r="K10" s="125">
        <v>235.6</v>
      </c>
      <c r="L10" s="125">
        <v>200.7</v>
      </c>
      <c r="M10" s="125">
        <v>190.47</v>
      </c>
      <c r="N10" s="125">
        <v>215.75</v>
      </c>
      <c r="O10" s="125">
        <v>0</v>
      </c>
      <c r="P10" s="127">
        <v>1090.76</v>
      </c>
      <c r="Q10" s="127">
        <v>1090.76</v>
      </c>
      <c r="R10" s="125"/>
      <c r="S10" s="125">
        <v>125.44</v>
      </c>
      <c r="T10" s="128">
        <v>1090.76</v>
      </c>
      <c r="U10" s="129">
        <v>1091</v>
      </c>
      <c r="V10" s="130" t="s">
        <v>83</v>
      </c>
      <c r="W10" s="25" t="e">
        <f t="shared" si="0"/>
        <v>#VALUE!</v>
      </c>
    </row>
    <row r="11" spans="1:23" ht="25" customHeight="1">
      <c r="A11" s="130" t="s">
        <v>84</v>
      </c>
      <c r="B11" s="131"/>
      <c r="C11" s="138" t="s">
        <v>82</v>
      </c>
      <c r="D11" s="138" t="s">
        <v>82</v>
      </c>
      <c r="E11" s="138" t="s">
        <v>82</v>
      </c>
      <c r="F11" s="138" t="s">
        <v>82</v>
      </c>
      <c r="G11" s="138" t="s">
        <v>82</v>
      </c>
      <c r="H11" s="125">
        <v>0</v>
      </c>
      <c r="I11" s="127">
        <v>30.09</v>
      </c>
      <c r="J11" s="125">
        <v>0</v>
      </c>
      <c r="K11" s="125">
        <v>0</v>
      </c>
      <c r="L11" s="125">
        <v>0</v>
      </c>
      <c r="M11" s="125">
        <v>0</v>
      </c>
      <c r="N11" s="125">
        <v>0</v>
      </c>
      <c r="O11" s="125">
        <v>0</v>
      </c>
      <c r="P11" s="127">
        <v>0</v>
      </c>
      <c r="Q11" s="127">
        <v>0</v>
      </c>
      <c r="R11" s="125"/>
      <c r="S11" s="125">
        <v>0</v>
      </c>
      <c r="T11" s="128">
        <v>0</v>
      </c>
      <c r="U11" s="129">
        <v>0</v>
      </c>
      <c r="V11" s="130" t="s">
        <v>84</v>
      </c>
      <c r="W11" s="25" t="e">
        <f t="shared" si="0"/>
        <v>#VALUE!</v>
      </c>
    </row>
    <row r="12" spans="1:23" ht="25" customHeight="1">
      <c r="A12" s="139" t="s">
        <v>345</v>
      </c>
      <c r="B12" s="140"/>
      <c r="C12" s="139" t="s">
        <v>87</v>
      </c>
      <c r="D12" s="139" t="s">
        <v>87</v>
      </c>
      <c r="E12" s="139">
        <v>4.5</v>
      </c>
      <c r="F12" s="139">
        <v>7.33</v>
      </c>
      <c r="G12" s="139">
        <v>5</v>
      </c>
      <c r="H12" s="120">
        <v>16.829999999999998</v>
      </c>
      <c r="I12" s="122">
        <v>30.09</v>
      </c>
      <c r="J12" s="120">
        <v>0</v>
      </c>
      <c r="K12" s="120">
        <v>0</v>
      </c>
      <c r="L12" s="120">
        <v>135.41</v>
      </c>
      <c r="M12" s="120">
        <v>220.56</v>
      </c>
      <c r="N12" s="120">
        <v>150.44999999999999</v>
      </c>
      <c r="O12" s="120">
        <v>0</v>
      </c>
      <c r="P12" s="122">
        <v>506.42</v>
      </c>
      <c r="Q12" s="122">
        <v>506.42</v>
      </c>
      <c r="R12" s="120"/>
      <c r="S12" s="120">
        <v>58.24</v>
      </c>
      <c r="T12" s="123">
        <v>506.42</v>
      </c>
      <c r="U12" s="124">
        <v>507</v>
      </c>
      <c r="V12" s="139" t="s">
        <v>345</v>
      </c>
      <c r="W12" s="25" t="e">
        <f t="shared" si="0"/>
        <v>#VALUE!</v>
      </c>
    </row>
    <row r="13" spans="1:23" ht="25" customHeight="1">
      <c r="A13" s="130" t="s">
        <v>85</v>
      </c>
      <c r="B13" s="133">
        <v>40.74</v>
      </c>
      <c r="C13" s="133">
        <v>16.5</v>
      </c>
      <c r="D13" s="133">
        <v>15.66</v>
      </c>
      <c r="E13" s="133">
        <v>13.34</v>
      </c>
      <c r="F13" s="133">
        <v>12.66</v>
      </c>
      <c r="G13" s="133">
        <v>14.34</v>
      </c>
      <c r="H13" s="133">
        <v>72.5</v>
      </c>
      <c r="I13" s="134"/>
      <c r="J13" s="134">
        <v>496.48</v>
      </c>
      <c r="K13" s="134">
        <v>471.2</v>
      </c>
      <c r="L13" s="134">
        <v>401.4</v>
      </c>
      <c r="M13" s="134">
        <v>380.94</v>
      </c>
      <c r="N13" s="134">
        <v>431.5</v>
      </c>
      <c r="O13" s="134">
        <v>0</v>
      </c>
      <c r="P13" s="134">
        <v>2181.52</v>
      </c>
      <c r="Q13" s="134">
        <v>2222.2600000000002</v>
      </c>
      <c r="R13" s="134">
        <v>0</v>
      </c>
      <c r="S13" s="134">
        <v>250.87</v>
      </c>
      <c r="T13" s="134">
        <v>2222.2600000000002</v>
      </c>
      <c r="U13" s="134">
        <v>2223</v>
      </c>
      <c r="V13" s="112"/>
      <c r="W13" s="25">
        <f t="shared" si="0"/>
        <v>0</v>
      </c>
    </row>
    <row r="14" spans="1:23" ht="25" customHeight="1">
      <c r="A14" s="135"/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6"/>
      <c r="R14" s="136"/>
      <c r="S14" s="136"/>
      <c r="T14" s="136"/>
      <c r="U14" s="137"/>
      <c r="V14" s="137"/>
      <c r="W14" s="25" t="str">
        <f t="shared" si="0"/>
        <v/>
      </c>
    </row>
    <row r="15" spans="1:23" ht="25" customHeight="1">
      <c r="B15" s="15"/>
      <c r="D15" s="5"/>
      <c r="E15" s="5"/>
      <c r="F15" s="6" t="str">
        <f t="shared" ref="F15:F47" si="1">IF(E15="","","No")</f>
        <v/>
      </c>
      <c r="G15" s="6" t="str">
        <f t="shared" ref="G15:G47" si="2">IF(E15="","",IF(F15="Yes",(E15-D15)-TIME(0,30,0),E15-D15))</f>
        <v/>
      </c>
      <c r="H15" s="50" t="str">
        <f>_xlfn.IFNA(VLOOKUP(C:C,'Active Jobs'!B:K,8,0),"")</f>
        <v/>
      </c>
      <c r="I15" s="8" t="str">
        <f t="shared" ref="I15:I47" si="3">IF(F15="Yes",(E15-D15)*24-0.5,IF(F15="No",(E15-D15)*24,""))</f>
        <v/>
      </c>
      <c r="J15" s="50" t="str">
        <f t="shared" ref="J15:J47" si="4">IF(G15="","",G15*24*HourlyRate*2*(1+Super))</f>
        <v/>
      </c>
      <c r="K15" s="50" t="str">
        <f t="shared" ref="K15:K47" si="5">IF(H15="","",IF(E15="","",IF(J15=0,0,H15-J15)))</f>
        <v/>
      </c>
      <c r="L15" s="9" t="str">
        <f t="shared" ref="L15:L47" si="6">IF(K15="","",IF(H15=0,1,J15/H15))</f>
        <v/>
      </c>
      <c r="O15" s="23" t="str">
        <f t="shared" ref="O15:S18" si="7">IF(N15="","",ROUND(SUMIFS($I:$I,$A:$A,O$1,$B:$B,"*"&amp;$N15&amp;"*"),2))</f>
        <v/>
      </c>
      <c r="P15" s="23" t="str">
        <f t="shared" si="7"/>
        <v/>
      </c>
      <c r="Q15" s="23" t="str">
        <f t="shared" si="7"/>
        <v/>
      </c>
      <c r="R15" s="23" t="str">
        <f t="shared" si="7"/>
        <v/>
      </c>
      <c r="S15" s="23" t="str">
        <f t="shared" si="7"/>
        <v/>
      </c>
      <c r="T15" s="10" t="str">
        <f t="shared" ref="T15:T42" si="8">IF(N15="","",SUM(O15:S15))</f>
        <v/>
      </c>
      <c r="V15" s="24" t="str">
        <f t="shared" ref="V15:V18" si="9">IF(N15="","",T15*HourlyRate)</f>
        <v/>
      </c>
      <c r="W15" s="25" t="str">
        <f t="shared" si="0"/>
        <v/>
      </c>
    </row>
    <row r="16" spans="1:23" ht="25" customHeight="1">
      <c r="B16" s="15"/>
      <c r="D16" s="5"/>
      <c r="E16" s="5"/>
      <c r="F16" s="6" t="str">
        <f t="shared" si="1"/>
        <v/>
      </c>
      <c r="G16" s="6" t="str">
        <f t="shared" si="2"/>
        <v/>
      </c>
      <c r="H16" s="50" t="str">
        <f>_xlfn.IFNA(VLOOKUP(C:C,'Active Jobs'!B:K,8,0),"")</f>
        <v/>
      </c>
      <c r="I16" s="8" t="str">
        <f t="shared" si="3"/>
        <v/>
      </c>
      <c r="J16" s="50" t="str">
        <f t="shared" si="4"/>
        <v/>
      </c>
      <c r="K16" s="50" t="str">
        <f t="shared" si="5"/>
        <v/>
      </c>
      <c r="L16" s="9" t="str">
        <f t="shared" si="6"/>
        <v/>
      </c>
      <c r="O16" s="23" t="str">
        <f t="shared" si="7"/>
        <v/>
      </c>
      <c r="P16" s="23" t="str">
        <f t="shared" si="7"/>
        <v/>
      </c>
      <c r="Q16" s="23" t="str">
        <f t="shared" si="7"/>
        <v/>
      </c>
      <c r="R16" s="23" t="str">
        <f t="shared" si="7"/>
        <v/>
      </c>
      <c r="S16" s="23" t="str">
        <f t="shared" si="7"/>
        <v/>
      </c>
      <c r="T16" s="10" t="str">
        <f t="shared" si="8"/>
        <v/>
      </c>
      <c r="V16" s="24" t="str">
        <f t="shared" si="9"/>
        <v/>
      </c>
      <c r="W16" s="25" t="str">
        <f t="shared" si="0"/>
        <v/>
      </c>
    </row>
    <row r="17" spans="2:23" ht="25" customHeight="1">
      <c r="B17" s="15"/>
      <c r="D17" s="5"/>
      <c r="E17" s="5"/>
      <c r="F17" s="6" t="str">
        <f t="shared" si="1"/>
        <v/>
      </c>
      <c r="G17" s="6" t="str">
        <f t="shared" si="2"/>
        <v/>
      </c>
      <c r="H17" s="50" t="str">
        <f>_xlfn.IFNA(VLOOKUP(C:C,'Active Jobs'!B:K,8,0),"")</f>
        <v/>
      </c>
      <c r="I17" s="8" t="str">
        <f t="shared" si="3"/>
        <v/>
      </c>
      <c r="J17" s="50" t="str">
        <f t="shared" si="4"/>
        <v/>
      </c>
      <c r="K17" s="50" t="str">
        <f t="shared" si="5"/>
        <v/>
      </c>
      <c r="L17" s="9" t="str">
        <f t="shared" si="6"/>
        <v/>
      </c>
      <c r="O17" s="23" t="str">
        <f t="shared" si="7"/>
        <v/>
      </c>
      <c r="P17" s="23" t="str">
        <f t="shared" si="7"/>
        <v/>
      </c>
      <c r="Q17" s="23" t="str">
        <f t="shared" si="7"/>
        <v/>
      </c>
      <c r="R17" s="23" t="str">
        <f t="shared" si="7"/>
        <v/>
      </c>
      <c r="S17" s="23" t="str">
        <f t="shared" si="7"/>
        <v/>
      </c>
      <c r="T17" s="10" t="str">
        <f t="shared" si="8"/>
        <v/>
      </c>
      <c r="V17" s="24" t="str">
        <f t="shared" si="9"/>
        <v/>
      </c>
      <c r="W17" s="25" t="str">
        <f t="shared" si="0"/>
        <v/>
      </c>
    </row>
    <row r="18" spans="2:23" ht="25" customHeight="1">
      <c r="B18" s="15"/>
      <c r="D18" s="5"/>
      <c r="E18" s="5"/>
      <c r="F18" s="6" t="str">
        <f t="shared" si="1"/>
        <v/>
      </c>
      <c r="G18" s="6" t="str">
        <f t="shared" si="2"/>
        <v/>
      </c>
      <c r="H18" s="50" t="str">
        <f>_xlfn.IFNA(VLOOKUP(C:C,'Active Jobs'!B:K,8,0),"")</f>
        <v/>
      </c>
      <c r="I18" s="8" t="str">
        <f t="shared" si="3"/>
        <v/>
      </c>
      <c r="J18" s="50" t="str">
        <f t="shared" si="4"/>
        <v/>
      </c>
      <c r="K18" s="50" t="str">
        <f t="shared" si="5"/>
        <v/>
      </c>
      <c r="L18" s="9" t="str">
        <f t="shared" si="6"/>
        <v/>
      </c>
      <c r="O18" s="23" t="str">
        <f t="shared" si="7"/>
        <v/>
      </c>
      <c r="P18" s="23" t="str">
        <f t="shared" si="7"/>
        <v/>
      </c>
      <c r="Q18" s="23" t="str">
        <f t="shared" si="7"/>
        <v/>
      </c>
      <c r="R18" s="23" t="str">
        <f t="shared" si="7"/>
        <v/>
      </c>
      <c r="S18" s="23" t="str">
        <f t="shared" si="7"/>
        <v/>
      </c>
      <c r="T18" s="10" t="str">
        <f t="shared" si="8"/>
        <v/>
      </c>
      <c r="V18" s="24" t="str">
        <f t="shared" si="9"/>
        <v/>
      </c>
      <c r="W18" s="25" t="str">
        <f t="shared" si="0"/>
        <v/>
      </c>
    </row>
    <row r="19" spans="2:23" ht="25" customHeight="1">
      <c r="B19" s="15"/>
      <c r="D19" s="5"/>
      <c r="E19" s="5"/>
      <c r="F19" s="6" t="str">
        <f t="shared" si="1"/>
        <v/>
      </c>
      <c r="G19" s="6" t="str">
        <f t="shared" si="2"/>
        <v/>
      </c>
      <c r="H19" s="50" t="str">
        <f>_xlfn.IFNA(VLOOKUP(C:C,'Active Jobs'!B:K,8,0),"")</f>
        <v/>
      </c>
      <c r="I19" s="8" t="str">
        <f t="shared" si="3"/>
        <v/>
      </c>
      <c r="J19" s="50" t="str">
        <f t="shared" si="4"/>
        <v/>
      </c>
      <c r="K19" s="50" t="str">
        <f t="shared" si="5"/>
        <v/>
      </c>
      <c r="L19" s="9" t="str">
        <f t="shared" si="6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8"/>
        <v/>
      </c>
    </row>
    <row r="20" spans="2:23" ht="25" customHeight="1">
      <c r="B20" s="15"/>
      <c r="D20" s="5"/>
      <c r="E20" s="5"/>
      <c r="F20" s="6" t="str">
        <f t="shared" si="1"/>
        <v/>
      </c>
      <c r="G20" s="6" t="str">
        <f t="shared" si="2"/>
        <v/>
      </c>
      <c r="H20" s="50" t="str">
        <f>_xlfn.IFNA(VLOOKUP(C:C,'Active Jobs'!B:K,8,0),"")</f>
        <v/>
      </c>
      <c r="I20" s="8" t="str">
        <f t="shared" si="3"/>
        <v/>
      </c>
      <c r="J20" s="50" t="str">
        <f t="shared" si="4"/>
        <v/>
      </c>
      <c r="K20" s="50" t="str">
        <f t="shared" si="5"/>
        <v/>
      </c>
      <c r="L20" s="9" t="str">
        <f t="shared" si="6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8"/>
        <v/>
      </c>
    </row>
    <row r="21" spans="2:23" ht="25" customHeight="1">
      <c r="B21" s="15"/>
      <c r="D21" s="5"/>
      <c r="E21" s="5"/>
      <c r="F21" s="6" t="str">
        <f t="shared" si="1"/>
        <v/>
      </c>
      <c r="G21" s="6" t="str">
        <f t="shared" si="2"/>
        <v/>
      </c>
      <c r="H21" s="50" t="str">
        <f>_xlfn.IFNA(VLOOKUP(C:C,'Active Jobs'!B:K,8,0),"")</f>
        <v/>
      </c>
      <c r="I21" s="8" t="str">
        <f t="shared" si="3"/>
        <v/>
      </c>
      <c r="J21" s="50" t="str">
        <f t="shared" si="4"/>
        <v/>
      </c>
      <c r="K21" s="50" t="str">
        <f t="shared" si="5"/>
        <v/>
      </c>
      <c r="L21" s="9" t="str">
        <f t="shared" si="6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8"/>
        <v/>
      </c>
    </row>
    <row r="22" spans="2:23" ht="25" customHeight="1">
      <c r="B22" s="15"/>
      <c r="D22" s="5"/>
      <c r="E22" s="5"/>
      <c r="F22" s="6" t="str">
        <f t="shared" si="1"/>
        <v/>
      </c>
      <c r="G22" s="6" t="str">
        <f t="shared" si="2"/>
        <v/>
      </c>
      <c r="H22" s="50" t="str">
        <f>_xlfn.IFNA(VLOOKUP(C:C,'Active Jobs'!B:K,8,0),"")</f>
        <v/>
      </c>
      <c r="I22" s="8" t="str">
        <f t="shared" si="3"/>
        <v/>
      </c>
      <c r="J22" s="50" t="str">
        <f t="shared" si="4"/>
        <v/>
      </c>
      <c r="K22" s="50" t="str">
        <f t="shared" si="5"/>
        <v/>
      </c>
      <c r="L22" s="9" t="str">
        <f t="shared" si="6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8"/>
        <v/>
      </c>
    </row>
    <row r="23" spans="2:23" ht="25" customHeight="1">
      <c r="B23" s="15"/>
      <c r="D23" s="5"/>
      <c r="E23" s="5"/>
      <c r="F23" s="6" t="str">
        <f t="shared" si="1"/>
        <v/>
      </c>
      <c r="G23" s="6" t="str">
        <f t="shared" si="2"/>
        <v/>
      </c>
      <c r="H23" s="50" t="str">
        <f>_xlfn.IFNA(VLOOKUP(C:C,'Active Jobs'!B:K,8,0),"")</f>
        <v/>
      </c>
      <c r="I23" s="8" t="str">
        <f t="shared" si="3"/>
        <v/>
      </c>
      <c r="J23" s="50" t="str">
        <f t="shared" si="4"/>
        <v/>
      </c>
      <c r="K23" s="50" t="str">
        <f t="shared" si="5"/>
        <v/>
      </c>
      <c r="L23" s="9" t="str">
        <f t="shared" si="6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8"/>
        <v/>
      </c>
    </row>
    <row r="24" spans="2:23" ht="25" customHeight="1">
      <c r="B24" s="15"/>
      <c r="D24" s="5"/>
      <c r="E24" s="5"/>
      <c r="F24" s="6" t="str">
        <f t="shared" si="1"/>
        <v/>
      </c>
      <c r="G24" s="6" t="str">
        <f t="shared" si="2"/>
        <v/>
      </c>
      <c r="H24" s="50" t="str">
        <f>_xlfn.IFNA(VLOOKUP(C:C,'Active Jobs'!B:K,8,0),"")</f>
        <v/>
      </c>
      <c r="I24" s="8" t="str">
        <f t="shared" si="3"/>
        <v/>
      </c>
      <c r="J24" s="50" t="str">
        <f t="shared" si="4"/>
        <v/>
      </c>
      <c r="K24" s="50" t="str">
        <f t="shared" si="5"/>
        <v/>
      </c>
      <c r="L24" s="9" t="str">
        <f t="shared" si="6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8"/>
        <v/>
      </c>
    </row>
    <row r="25" spans="2:23" ht="25" customHeight="1">
      <c r="B25" s="15"/>
      <c r="D25" s="5"/>
      <c r="E25" s="5"/>
      <c r="F25" s="6" t="str">
        <f t="shared" si="1"/>
        <v/>
      </c>
      <c r="G25" s="6" t="str">
        <f t="shared" si="2"/>
        <v/>
      </c>
      <c r="H25" s="50" t="str">
        <f>_xlfn.IFNA(VLOOKUP(C:C,'Active Jobs'!B:K,8,0),"")</f>
        <v/>
      </c>
      <c r="I25" s="8" t="str">
        <f t="shared" si="3"/>
        <v/>
      </c>
      <c r="J25" s="50" t="str">
        <f t="shared" si="4"/>
        <v/>
      </c>
      <c r="K25" s="50" t="str">
        <f t="shared" si="5"/>
        <v/>
      </c>
      <c r="L25" s="9" t="str">
        <f t="shared" si="6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8"/>
        <v/>
      </c>
    </row>
    <row r="26" spans="2:23" ht="25" customHeight="1">
      <c r="B26" s="15"/>
      <c r="D26" s="5"/>
      <c r="E26" s="5"/>
      <c r="F26" s="6" t="str">
        <f t="shared" si="1"/>
        <v/>
      </c>
      <c r="G26" s="6" t="str">
        <f t="shared" si="2"/>
        <v/>
      </c>
      <c r="H26" s="50" t="str">
        <f>_xlfn.IFNA(VLOOKUP(C:C,'Active Jobs'!B:K,8,0),"")</f>
        <v/>
      </c>
      <c r="I26" s="8" t="str">
        <f t="shared" si="3"/>
        <v/>
      </c>
      <c r="J26" s="50" t="str">
        <f t="shared" si="4"/>
        <v/>
      </c>
      <c r="K26" s="50" t="str">
        <f t="shared" si="5"/>
        <v/>
      </c>
      <c r="L26" s="9" t="str">
        <f t="shared" si="6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8"/>
        <v/>
      </c>
    </row>
    <row r="27" spans="2:23" ht="25" customHeight="1">
      <c r="B27" s="15"/>
      <c r="D27" s="5"/>
      <c r="E27" s="5"/>
      <c r="F27" s="6" t="str">
        <f t="shared" si="1"/>
        <v/>
      </c>
      <c r="G27" s="6" t="str">
        <f t="shared" si="2"/>
        <v/>
      </c>
      <c r="H27" s="50" t="str">
        <f>_xlfn.IFNA(VLOOKUP(C:C,'Active Jobs'!B:K,8,0),"")</f>
        <v/>
      </c>
      <c r="I27" s="8" t="str">
        <f t="shared" si="3"/>
        <v/>
      </c>
      <c r="J27" s="50" t="str">
        <f t="shared" si="4"/>
        <v/>
      </c>
      <c r="K27" s="50" t="str">
        <f t="shared" si="5"/>
        <v/>
      </c>
      <c r="L27" s="9" t="str">
        <f t="shared" si="6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8"/>
        <v/>
      </c>
    </row>
    <row r="28" spans="2:23" ht="25" customHeight="1">
      <c r="B28" s="15"/>
      <c r="D28" s="5"/>
      <c r="E28" s="5"/>
      <c r="F28" s="6" t="str">
        <f t="shared" si="1"/>
        <v/>
      </c>
      <c r="G28" s="6" t="str">
        <f t="shared" si="2"/>
        <v/>
      </c>
      <c r="H28" s="50" t="str">
        <f>_xlfn.IFNA(VLOOKUP(C:C,'Active Jobs'!B:K,8,0),"")</f>
        <v/>
      </c>
      <c r="I28" s="8" t="str">
        <f t="shared" si="3"/>
        <v/>
      </c>
      <c r="J28" s="50" t="str">
        <f t="shared" si="4"/>
        <v/>
      </c>
      <c r="K28" s="50" t="str">
        <f t="shared" si="5"/>
        <v/>
      </c>
      <c r="L28" s="9" t="str">
        <f t="shared" si="6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8"/>
        <v/>
      </c>
    </row>
    <row r="29" spans="2:23" ht="25" customHeight="1">
      <c r="B29" s="15"/>
      <c r="D29" s="5"/>
      <c r="E29" s="5"/>
      <c r="F29" s="6" t="str">
        <f t="shared" si="1"/>
        <v/>
      </c>
      <c r="G29" s="6" t="str">
        <f t="shared" si="2"/>
        <v/>
      </c>
      <c r="H29" s="50" t="str">
        <f>_xlfn.IFNA(VLOOKUP(C:C,'Active Jobs'!B:K,8,0),"")</f>
        <v/>
      </c>
      <c r="I29" s="8" t="str">
        <f t="shared" si="3"/>
        <v/>
      </c>
      <c r="J29" s="50" t="str">
        <f t="shared" si="4"/>
        <v/>
      </c>
      <c r="K29" s="50" t="str">
        <f t="shared" si="5"/>
        <v/>
      </c>
      <c r="L29" s="9" t="str">
        <f t="shared" si="6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8"/>
        <v/>
      </c>
    </row>
    <row r="30" spans="2:23" ht="25" customHeight="1">
      <c r="B30" s="15"/>
      <c r="D30" s="5"/>
      <c r="E30" s="5"/>
      <c r="F30" s="6" t="str">
        <f t="shared" si="1"/>
        <v/>
      </c>
      <c r="G30" s="6" t="str">
        <f t="shared" si="2"/>
        <v/>
      </c>
      <c r="H30" s="50" t="str">
        <f>_xlfn.IFNA(VLOOKUP(C:C,'Active Jobs'!B:K,8,0),"")</f>
        <v/>
      </c>
      <c r="I30" s="8" t="str">
        <f t="shared" si="3"/>
        <v/>
      </c>
      <c r="J30" s="50" t="str">
        <f t="shared" si="4"/>
        <v/>
      </c>
      <c r="K30" s="50" t="str">
        <f t="shared" si="5"/>
        <v/>
      </c>
      <c r="L30" s="9" t="str">
        <f t="shared" si="6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8"/>
        <v/>
      </c>
    </row>
    <row r="31" spans="2:23" ht="25" customHeight="1">
      <c r="B31" s="15"/>
      <c r="D31" s="5"/>
      <c r="E31" s="5"/>
      <c r="F31" s="6" t="str">
        <f t="shared" si="1"/>
        <v/>
      </c>
      <c r="G31" s="6" t="str">
        <f t="shared" si="2"/>
        <v/>
      </c>
      <c r="H31" s="50" t="str">
        <f>_xlfn.IFNA(VLOOKUP(C:C,'Active Jobs'!B:K,8,0),"")</f>
        <v/>
      </c>
      <c r="I31" s="8" t="str">
        <f t="shared" si="3"/>
        <v/>
      </c>
      <c r="J31" s="50" t="str">
        <f t="shared" si="4"/>
        <v/>
      </c>
      <c r="K31" s="50" t="str">
        <f t="shared" si="5"/>
        <v/>
      </c>
      <c r="L31" s="9" t="str">
        <f t="shared" si="6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8"/>
        <v/>
      </c>
    </row>
    <row r="32" spans="2:23" ht="25" customHeight="1">
      <c r="B32" s="15"/>
      <c r="D32" s="5"/>
      <c r="E32" s="5"/>
      <c r="F32" s="6" t="str">
        <f t="shared" si="1"/>
        <v/>
      </c>
      <c r="G32" s="6" t="str">
        <f t="shared" si="2"/>
        <v/>
      </c>
      <c r="H32" s="50" t="str">
        <f>_xlfn.IFNA(VLOOKUP(C:C,'Active Jobs'!B:K,8,0),"")</f>
        <v/>
      </c>
      <c r="I32" s="8" t="str">
        <f t="shared" si="3"/>
        <v/>
      </c>
      <c r="J32" s="50" t="str">
        <f t="shared" si="4"/>
        <v/>
      </c>
      <c r="K32" s="50" t="str">
        <f t="shared" si="5"/>
        <v/>
      </c>
      <c r="L32" s="9" t="str">
        <f t="shared" si="6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8"/>
        <v/>
      </c>
    </row>
    <row r="33" spans="2:20" ht="25" customHeight="1">
      <c r="B33" s="15"/>
      <c r="D33" s="5"/>
      <c r="E33" s="5"/>
      <c r="F33" s="6" t="str">
        <f t="shared" si="1"/>
        <v/>
      </c>
      <c r="G33" s="6" t="str">
        <f t="shared" si="2"/>
        <v/>
      </c>
      <c r="H33" s="50" t="str">
        <f>_xlfn.IFNA(VLOOKUP(C:C,'Active Jobs'!B:K,8,0),"")</f>
        <v/>
      </c>
      <c r="I33" s="8" t="str">
        <f t="shared" si="3"/>
        <v/>
      </c>
      <c r="J33" s="50" t="str">
        <f t="shared" si="4"/>
        <v/>
      </c>
      <c r="K33" s="50" t="str">
        <f t="shared" si="5"/>
        <v/>
      </c>
      <c r="L33" s="9" t="str">
        <f t="shared" si="6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8"/>
        <v/>
      </c>
    </row>
    <row r="34" spans="2:20" ht="25" customHeight="1">
      <c r="B34" s="15"/>
      <c r="D34" s="5"/>
      <c r="E34" s="5"/>
      <c r="F34" s="6" t="str">
        <f t="shared" si="1"/>
        <v/>
      </c>
      <c r="G34" s="6" t="str">
        <f t="shared" si="2"/>
        <v/>
      </c>
      <c r="H34" s="50" t="str">
        <f>_xlfn.IFNA(VLOOKUP(C:C,'Active Jobs'!B:K,8,0),"")</f>
        <v/>
      </c>
      <c r="I34" s="8" t="str">
        <f t="shared" si="3"/>
        <v/>
      </c>
      <c r="J34" s="50" t="str">
        <f t="shared" si="4"/>
        <v/>
      </c>
      <c r="K34" s="50" t="str">
        <f t="shared" si="5"/>
        <v/>
      </c>
      <c r="L34" s="9" t="str">
        <f t="shared" si="6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8"/>
        <v/>
      </c>
    </row>
    <row r="35" spans="2:20" ht="25" customHeight="1">
      <c r="B35" s="15"/>
      <c r="D35" s="5"/>
      <c r="E35" s="5"/>
      <c r="F35" s="6" t="str">
        <f t="shared" si="1"/>
        <v/>
      </c>
      <c r="G35" s="6" t="str">
        <f t="shared" si="2"/>
        <v/>
      </c>
      <c r="H35" s="50" t="str">
        <f>_xlfn.IFNA(VLOOKUP(C:C,'Active Jobs'!B:K,8,0),"")</f>
        <v/>
      </c>
      <c r="I35" s="8" t="str">
        <f t="shared" si="3"/>
        <v/>
      </c>
      <c r="J35" s="50" t="str">
        <f t="shared" si="4"/>
        <v/>
      </c>
      <c r="K35" s="50" t="str">
        <f t="shared" si="5"/>
        <v/>
      </c>
      <c r="L35" s="9" t="str">
        <f t="shared" si="6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8"/>
        <v/>
      </c>
    </row>
    <row r="36" spans="2:20" ht="25" customHeight="1">
      <c r="B36" s="15"/>
      <c r="D36" s="5"/>
      <c r="E36" s="5"/>
      <c r="F36" s="6" t="str">
        <f t="shared" si="1"/>
        <v/>
      </c>
      <c r="G36" s="6" t="str">
        <f t="shared" si="2"/>
        <v/>
      </c>
      <c r="H36" s="50" t="str">
        <f>_xlfn.IFNA(VLOOKUP(C:C,'Active Jobs'!B:K,8,0),"")</f>
        <v/>
      </c>
      <c r="I36" s="8" t="str">
        <f t="shared" si="3"/>
        <v/>
      </c>
      <c r="J36" s="50" t="str">
        <f t="shared" si="4"/>
        <v/>
      </c>
      <c r="K36" s="50" t="str">
        <f t="shared" si="5"/>
        <v/>
      </c>
      <c r="L36" s="9" t="str">
        <f t="shared" si="6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8"/>
        <v/>
      </c>
    </row>
    <row r="37" spans="2:20" ht="25" customHeight="1">
      <c r="B37" s="15"/>
      <c r="D37" s="5"/>
      <c r="E37" s="5"/>
      <c r="F37" s="6" t="str">
        <f t="shared" si="1"/>
        <v/>
      </c>
      <c r="G37" s="6" t="str">
        <f t="shared" si="2"/>
        <v/>
      </c>
      <c r="H37" s="50" t="str">
        <f>_xlfn.IFNA(VLOOKUP(C:C,'Active Jobs'!B:K,8,0),"")</f>
        <v/>
      </c>
      <c r="I37" s="8" t="str">
        <f t="shared" si="3"/>
        <v/>
      </c>
      <c r="J37" s="50" t="str">
        <f t="shared" si="4"/>
        <v/>
      </c>
      <c r="K37" s="50" t="str">
        <f t="shared" si="5"/>
        <v/>
      </c>
      <c r="L37" s="9" t="str">
        <f t="shared" si="6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8"/>
        <v/>
      </c>
    </row>
    <row r="38" spans="2:20" ht="25" customHeight="1">
      <c r="B38" s="15"/>
      <c r="D38" s="5"/>
      <c r="E38" s="5"/>
      <c r="F38" s="6" t="str">
        <f t="shared" si="1"/>
        <v/>
      </c>
      <c r="G38" s="6" t="str">
        <f t="shared" si="2"/>
        <v/>
      </c>
      <c r="H38" s="50" t="str">
        <f>_xlfn.IFNA(VLOOKUP(C:C,'Active Jobs'!B:K,8,0),"")</f>
        <v/>
      </c>
      <c r="I38" s="8" t="str">
        <f t="shared" si="3"/>
        <v/>
      </c>
      <c r="J38" s="50" t="str">
        <f t="shared" si="4"/>
        <v/>
      </c>
      <c r="K38" s="50" t="str">
        <f t="shared" si="5"/>
        <v/>
      </c>
      <c r="L38" s="9" t="str">
        <f t="shared" si="6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8"/>
        <v/>
      </c>
    </row>
    <row r="39" spans="2:20" ht="25" customHeight="1">
      <c r="B39" s="15"/>
      <c r="D39" s="5"/>
      <c r="E39" s="5"/>
      <c r="F39" s="6" t="str">
        <f t="shared" si="1"/>
        <v/>
      </c>
      <c r="G39" s="6" t="str">
        <f t="shared" si="2"/>
        <v/>
      </c>
      <c r="H39" s="50" t="str">
        <f>_xlfn.IFNA(VLOOKUP(C:C,'Active Jobs'!B:K,8,0),"")</f>
        <v/>
      </c>
      <c r="I39" s="8" t="str">
        <f t="shared" si="3"/>
        <v/>
      </c>
      <c r="J39" s="50" t="str">
        <f t="shared" si="4"/>
        <v/>
      </c>
      <c r="K39" s="50" t="str">
        <f t="shared" si="5"/>
        <v/>
      </c>
      <c r="L39" s="9" t="str">
        <f t="shared" si="6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8"/>
        <v/>
      </c>
    </row>
    <row r="40" spans="2:20" ht="25" customHeight="1">
      <c r="B40" s="15"/>
      <c r="D40" s="5"/>
      <c r="E40" s="5"/>
      <c r="F40" s="6" t="str">
        <f t="shared" si="1"/>
        <v/>
      </c>
      <c r="G40" s="6" t="str">
        <f t="shared" si="2"/>
        <v/>
      </c>
      <c r="H40" s="50" t="str">
        <f>_xlfn.IFNA(VLOOKUP(C:C,'Active Jobs'!B:K,8,0),"")</f>
        <v/>
      </c>
      <c r="I40" s="8" t="str">
        <f t="shared" si="3"/>
        <v/>
      </c>
      <c r="J40" s="50" t="str">
        <f t="shared" si="4"/>
        <v/>
      </c>
      <c r="K40" s="50" t="str">
        <f t="shared" si="5"/>
        <v/>
      </c>
      <c r="L40" s="9" t="str">
        <f t="shared" si="6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8"/>
        <v/>
      </c>
    </row>
    <row r="41" spans="2:20" ht="25" customHeight="1">
      <c r="B41" s="15"/>
      <c r="D41" s="5"/>
      <c r="E41" s="5"/>
      <c r="F41" s="6" t="str">
        <f t="shared" si="1"/>
        <v/>
      </c>
      <c r="G41" s="6" t="str">
        <f t="shared" si="2"/>
        <v/>
      </c>
      <c r="H41" s="50" t="str">
        <f>_xlfn.IFNA(VLOOKUP(C:C,'Active Jobs'!B:K,8,0),"")</f>
        <v/>
      </c>
      <c r="I41" s="8" t="str">
        <f t="shared" si="3"/>
        <v/>
      </c>
      <c r="J41" s="50" t="str">
        <f t="shared" si="4"/>
        <v/>
      </c>
      <c r="K41" s="50" t="str">
        <f t="shared" si="5"/>
        <v/>
      </c>
      <c r="L41" s="9" t="str">
        <f t="shared" si="6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8"/>
        <v/>
      </c>
    </row>
    <row r="42" spans="2:20" ht="25" customHeight="1">
      <c r="B42" s="15"/>
      <c r="D42" s="5"/>
      <c r="E42" s="5"/>
      <c r="F42" s="6" t="str">
        <f t="shared" si="1"/>
        <v/>
      </c>
      <c r="G42" s="6" t="str">
        <f t="shared" si="2"/>
        <v/>
      </c>
      <c r="H42" s="50" t="str">
        <f>_xlfn.IFNA(VLOOKUP(C:C,'Active Jobs'!B:K,8,0),"")</f>
        <v/>
      </c>
      <c r="I42" s="8" t="str">
        <f t="shared" si="3"/>
        <v/>
      </c>
      <c r="J42" s="50" t="str">
        <f t="shared" si="4"/>
        <v/>
      </c>
      <c r="K42" s="50" t="str">
        <f t="shared" si="5"/>
        <v/>
      </c>
      <c r="L42" s="9" t="str">
        <f t="shared" si="6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8"/>
        <v/>
      </c>
    </row>
    <row r="43" spans="2:20" ht="25" customHeight="1">
      <c r="B43" s="15"/>
      <c r="D43" s="5"/>
      <c r="E43" s="5"/>
      <c r="F43" s="6" t="str">
        <f t="shared" si="1"/>
        <v/>
      </c>
      <c r="G43" s="6" t="str">
        <f t="shared" si="2"/>
        <v/>
      </c>
      <c r="H43" s="50" t="str">
        <f>_xlfn.IFNA(VLOOKUP(C:C,'Active Jobs'!B:K,8,0),"")</f>
        <v/>
      </c>
      <c r="I43" s="8" t="str">
        <f t="shared" si="3"/>
        <v/>
      </c>
      <c r="J43" s="50" t="str">
        <f t="shared" si="4"/>
        <v/>
      </c>
      <c r="K43" s="50" t="str">
        <f t="shared" si="5"/>
        <v/>
      </c>
      <c r="L43" s="9" t="str">
        <f t="shared" si="6"/>
        <v/>
      </c>
    </row>
    <row r="44" spans="2:20" ht="25" customHeight="1">
      <c r="B44" s="15"/>
      <c r="D44" s="5"/>
      <c r="E44" s="5"/>
      <c r="F44" s="6" t="str">
        <f t="shared" si="1"/>
        <v/>
      </c>
      <c r="G44" s="6" t="str">
        <f t="shared" si="2"/>
        <v/>
      </c>
      <c r="H44" s="50" t="str">
        <f>_xlfn.IFNA(VLOOKUP(C:C,'Active Jobs'!B:K,8,0),"")</f>
        <v/>
      </c>
      <c r="I44" s="8" t="str">
        <f t="shared" si="3"/>
        <v/>
      </c>
      <c r="J44" s="50" t="str">
        <f t="shared" si="4"/>
        <v/>
      </c>
      <c r="K44" s="50" t="str">
        <f t="shared" si="5"/>
        <v/>
      </c>
      <c r="L44" s="9" t="str">
        <f t="shared" si="6"/>
        <v/>
      </c>
    </row>
    <row r="45" spans="2:20" ht="25" customHeight="1">
      <c r="B45" s="15"/>
      <c r="D45" s="5"/>
      <c r="E45" s="5"/>
      <c r="F45" s="6" t="str">
        <f t="shared" si="1"/>
        <v/>
      </c>
      <c r="G45" s="6" t="str">
        <f t="shared" si="2"/>
        <v/>
      </c>
      <c r="H45" s="50" t="str">
        <f>_xlfn.IFNA(VLOOKUP(C:C,'Active Jobs'!B:K,8,0),"")</f>
        <v/>
      </c>
      <c r="I45" s="8" t="str">
        <f t="shared" si="3"/>
        <v/>
      </c>
      <c r="J45" s="50" t="str">
        <f t="shared" si="4"/>
        <v/>
      </c>
      <c r="K45" s="50" t="str">
        <f t="shared" si="5"/>
        <v/>
      </c>
      <c r="L45" s="9" t="str">
        <f t="shared" si="6"/>
        <v/>
      </c>
    </row>
    <row r="46" spans="2:20" ht="25" customHeight="1">
      <c r="B46" s="86"/>
      <c r="D46" s="5"/>
      <c r="E46" s="5"/>
      <c r="F46" s="6" t="str">
        <f t="shared" si="1"/>
        <v/>
      </c>
      <c r="G46" s="6" t="str">
        <f t="shared" si="2"/>
        <v/>
      </c>
      <c r="H46" s="50" t="str">
        <f>_xlfn.IFNA(VLOOKUP(C:C,'Active Jobs'!B:K,8,0),"")</f>
        <v/>
      </c>
      <c r="I46" s="8" t="str">
        <f t="shared" si="3"/>
        <v/>
      </c>
      <c r="J46" s="50" t="str">
        <f t="shared" si="4"/>
        <v/>
      </c>
      <c r="K46" s="50" t="str">
        <f t="shared" si="5"/>
        <v/>
      </c>
      <c r="L46" s="9" t="str">
        <f t="shared" si="6"/>
        <v/>
      </c>
    </row>
    <row r="47" spans="2:20" ht="25" customHeight="1">
      <c r="B47" s="86"/>
      <c r="D47" s="5"/>
      <c r="E47" s="5"/>
      <c r="F47" s="6" t="str">
        <f t="shared" si="1"/>
        <v/>
      </c>
      <c r="G47" s="6" t="str">
        <f t="shared" si="2"/>
        <v/>
      </c>
      <c r="H47" s="50" t="str">
        <f>_xlfn.IFNA(VLOOKUP(C:C,'Active Jobs'!B:K,8,0),"")</f>
        <v/>
      </c>
      <c r="I47" s="8" t="str">
        <f t="shared" si="3"/>
        <v/>
      </c>
      <c r="J47" s="50" t="str">
        <f t="shared" si="4"/>
        <v/>
      </c>
      <c r="K47" s="50" t="str">
        <f t="shared" si="5"/>
        <v/>
      </c>
      <c r="L47" s="9" t="str">
        <f t="shared" si="6"/>
        <v/>
      </c>
    </row>
    <row r="48" spans="2:20" ht="25" customHeight="1">
      <c r="D48" s="83"/>
      <c r="E48" s="83"/>
      <c r="F48" s="84"/>
      <c r="G48" s="6"/>
      <c r="H48" s="85">
        <f>SUBTOTAL(109,Table2261210141654[Quoted])</f>
        <v>161.82999999999998</v>
      </c>
      <c r="I48" s="81">
        <f>SUBTOTAL(109,Table2261210141654[Hours Payable])</f>
        <v>150.44999999999999</v>
      </c>
      <c r="J48" s="85">
        <f>SUBTOTAL(109,Table2261210141654[Wages (Incl. Super)])</f>
        <v>992.96</v>
      </c>
      <c r="K48" s="85">
        <f>SUBTOTAL(109,Table2261210141654[Profit])</f>
        <v>942.4</v>
      </c>
      <c r="L48" s="82" t="str">
        <f>IF(L2="","",SUBTOTAL(101,Table2261210141654[Quote/Wages]))</f>
        <v/>
      </c>
    </row>
  </sheetData>
  <mergeCells count="2">
    <mergeCell ref="M6:M7"/>
    <mergeCell ref="N6:N7"/>
  </mergeCells>
  <conditionalFormatting sqref="B1 B49:B269">
    <cfRule type="expression" dxfId="83" priority="3">
      <formula>AND(ROW()&gt;1, E1&lt;&gt;"", COUNTIFS(A:A, $A1, B:B, $B1, F:F, "Yes")=0)</formula>
    </cfRule>
  </conditionalFormatting>
  <conditionalFormatting sqref="F1 F49:F269">
    <cfRule type="expression" dxfId="82" priority="4" stopIfTrue="1">
      <formula>AND(ROW()&gt;1, E1&lt;&gt;"", COUNTIFS(A:A, $A1, B:B, $B1, F:F, "Yes")=0)</formula>
    </cfRule>
  </conditionalFormatting>
  <conditionalFormatting sqref="B15:B45">
    <cfRule type="expression" dxfId="81" priority="1">
      <formula>AND(ROW()&gt;1, E15&lt;&gt;"", COUNTIFS(A:A, $A15, B:B, $B15, F:F, "Yes")=0)</formula>
    </cfRule>
  </conditionalFormatting>
  <conditionalFormatting sqref="F15:F47">
    <cfRule type="expression" dxfId="80" priority="2" stopIfTrue="1">
      <formula>AND(ROW()&gt;1, E15&lt;&gt;"", COUNTIFS(A:A, $A15, B:B, $B15, F:F, "Yes")=0)</formula>
    </cfRule>
  </conditionalFormatting>
  <dataValidations count="2">
    <dataValidation type="list" allowBlank="1" showInputMessage="1" showErrorMessage="1" sqref="F15:F47" xr:uid="{93AF901B-4E86-4726-9546-9DD2DB74B919}">
      <formula1>"No, Yes"</formula1>
    </dataValidation>
    <dataValidation type="list" allowBlank="1" showErrorMessage="1" promptTitle="Select" sqref="B15:B45" xr:uid="{061C6DE0-81AA-4728-9722-63184F4F25F4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F64359F-EF5B-4589-88D6-C5F26D7CDEC4}">
          <x14:formula1>
            <xm:f>'Active Jobs'!$B$2:$B$154</xm:f>
          </x14:formula1>
          <xm:sqref>C15:C47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BDFAC-49DC-43AC-9409-7741313E4F1A}">
  <sheetPr codeName="Sheet25"/>
  <dimension ref="A1:W48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str" cm="1">
        <f t="array" ref="O1">IF(B2="","",TRANSPOSE(_xlfn._xlws.FILTER(_xlfn.UNIQUE(A2:A219), _xlfn.UNIQUE(A2:A219)&lt;&gt;"")))</f>
        <v/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92" t="s">
        <v>88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25" t="str">
        <f t="shared" ref="W2:W18" si="0">IF(N2="","",V2*Super)</f>
        <v/>
      </c>
    </row>
    <row r="3" spans="1:23" ht="25" customHeight="1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25" t="str">
        <f t="shared" si="0"/>
        <v/>
      </c>
    </row>
    <row r="4" spans="1:23" ht="25" customHeight="1">
      <c r="A4" s="95" t="s">
        <v>59</v>
      </c>
      <c r="B4" s="96"/>
      <c r="C4" s="96"/>
      <c r="D4" s="96"/>
      <c r="E4" s="96"/>
      <c r="F4" s="96"/>
      <c r="G4" s="96"/>
      <c r="H4" s="97" t="s">
        <v>60</v>
      </c>
      <c r="I4" s="96"/>
      <c r="J4" s="97">
        <v>0</v>
      </c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8"/>
      <c r="W4" s="25" t="str">
        <f t="shared" si="0"/>
        <v/>
      </c>
    </row>
    <row r="5" spans="1:23" ht="25" customHeight="1">
      <c r="A5" s="99" t="s">
        <v>61</v>
      </c>
      <c r="B5" s="100" t="s">
        <v>62</v>
      </c>
      <c r="C5" s="101"/>
      <c r="D5" s="102"/>
      <c r="E5" s="102"/>
      <c r="F5" s="102"/>
      <c r="G5" s="102"/>
      <c r="H5" s="102"/>
      <c r="I5" s="103"/>
      <c r="J5" s="102"/>
      <c r="K5" s="102"/>
      <c r="L5" s="102"/>
      <c r="M5" s="102"/>
      <c r="N5" s="102" t="s">
        <v>63</v>
      </c>
      <c r="O5" s="102"/>
      <c r="P5" s="102"/>
      <c r="Q5" s="102"/>
      <c r="R5" s="104"/>
      <c r="S5" s="102"/>
      <c r="T5" s="104"/>
      <c r="U5" s="105"/>
      <c r="V5" s="105"/>
      <c r="W5" s="25">
        <f t="shared" si="0"/>
        <v>0</v>
      </c>
    </row>
    <row r="6" spans="1:23" ht="25" customHeight="1">
      <c r="A6" s="106"/>
      <c r="B6" s="107" t="s">
        <v>64</v>
      </c>
      <c r="C6" s="108" t="s">
        <v>65</v>
      </c>
      <c r="D6" s="109" t="s">
        <v>66</v>
      </c>
      <c r="E6" s="109" t="s">
        <v>67</v>
      </c>
      <c r="F6" s="109" t="s">
        <v>68</v>
      </c>
      <c r="G6" s="109" t="s">
        <v>69</v>
      </c>
      <c r="H6" s="110" t="s">
        <v>70</v>
      </c>
      <c r="I6" s="141" t="s">
        <v>71</v>
      </c>
      <c r="J6" s="141" t="s">
        <v>65</v>
      </c>
      <c r="K6" s="141" t="s">
        <v>66</v>
      </c>
      <c r="L6" s="141" t="s">
        <v>67</v>
      </c>
      <c r="M6" s="144" t="s">
        <v>68</v>
      </c>
      <c r="N6" s="144" t="s">
        <v>69</v>
      </c>
      <c r="O6" s="141" t="s">
        <v>72</v>
      </c>
      <c r="P6" s="141" t="s">
        <v>73</v>
      </c>
      <c r="Q6" s="110" t="s">
        <v>73</v>
      </c>
      <c r="R6" s="110">
        <v>0</v>
      </c>
      <c r="S6" s="110">
        <v>466.98</v>
      </c>
      <c r="T6" s="111"/>
      <c r="U6" s="112"/>
      <c r="V6" s="112"/>
      <c r="W6" s="25">
        <f t="shared" si="0"/>
        <v>0</v>
      </c>
    </row>
    <row r="7" spans="1:23" ht="25" customHeight="1">
      <c r="A7" s="113" t="s">
        <v>74</v>
      </c>
      <c r="B7" s="114"/>
      <c r="C7" s="115"/>
      <c r="D7" s="116"/>
      <c r="E7" s="116"/>
      <c r="F7" s="116"/>
      <c r="G7" s="116"/>
      <c r="H7" s="116" t="s">
        <v>75</v>
      </c>
      <c r="I7" s="142"/>
      <c r="J7" s="142"/>
      <c r="K7" s="142"/>
      <c r="L7" s="142"/>
      <c r="M7" s="145"/>
      <c r="N7" s="145"/>
      <c r="O7" s="142"/>
      <c r="P7" s="142"/>
      <c r="Q7" s="118" t="s">
        <v>76</v>
      </c>
      <c r="R7" s="117" t="s">
        <v>77</v>
      </c>
      <c r="S7" s="117" t="s">
        <v>78</v>
      </c>
      <c r="T7" s="119" t="s">
        <v>79</v>
      </c>
      <c r="U7" s="117" t="s">
        <v>80</v>
      </c>
      <c r="V7" s="117" t="s">
        <v>81</v>
      </c>
      <c r="W7" s="25" t="str">
        <f t="shared" si="0"/>
        <v/>
      </c>
    </row>
    <row r="8" spans="1:23" ht="25" customHeight="1">
      <c r="A8" s="120" t="s">
        <v>343</v>
      </c>
      <c r="B8" s="121"/>
      <c r="C8" s="120">
        <v>6.17</v>
      </c>
      <c r="D8" s="120">
        <v>7.17</v>
      </c>
      <c r="E8" s="120">
        <v>7.17</v>
      </c>
      <c r="F8" s="120">
        <v>8.58</v>
      </c>
      <c r="G8" s="120">
        <v>6.42</v>
      </c>
      <c r="H8" s="120">
        <v>35.51</v>
      </c>
      <c r="I8" s="122">
        <v>30.09</v>
      </c>
      <c r="J8" s="120">
        <v>185.66</v>
      </c>
      <c r="K8" s="120">
        <v>215.75</v>
      </c>
      <c r="L8" s="120">
        <v>215.75</v>
      </c>
      <c r="M8" s="120">
        <v>258.17</v>
      </c>
      <c r="N8" s="120">
        <v>193.18</v>
      </c>
      <c r="O8" s="120">
        <v>0</v>
      </c>
      <c r="P8" s="122">
        <v>1068.51</v>
      </c>
      <c r="Q8" s="122">
        <v>1068.51</v>
      </c>
      <c r="R8" s="120"/>
      <c r="S8" s="120">
        <v>122.88</v>
      </c>
      <c r="T8" s="123">
        <v>1068.51</v>
      </c>
      <c r="U8" s="124">
        <v>1069</v>
      </c>
      <c r="V8" s="120" t="s">
        <v>343</v>
      </c>
      <c r="W8" s="25" t="e">
        <f t="shared" si="0"/>
        <v>#VALUE!</v>
      </c>
    </row>
    <row r="9" spans="1:23" ht="25" customHeight="1">
      <c r="A9" s="125" t="s">
        <v>335</v>
      </c>
      <c r="B9" s="126"/>
      <c r="C9" s="125">
        <v>7.17</v>
      </c>
      <c r="D9" s="125">
        <v>7.25</v>
      </c>
      <c r="E9" s="125">
        <v>7.42</v>
      </c>
      <c r="F9" s="125">
        <v>7.58</v>
      </c>
      <c r="G9" s="125">
        <v>6.17</v>
      </c>
      <c r="H9" s="125">
        <v>35.590000000000003</v>
      </c>
      <c r="I9" s="127">
        <v>30.09</v>
      </c>
      <c r="J9" s="125">
        <v>215.75</v>
      </c>
      <c r="K9" s="125">
        <v>218.15</v>
      </c>
      <c r="L9" s="125">
        <v>223.27</v>
      </c>
      <c r="M9" s="125">
        <v>228.08</v>
      </c>
      <c r="N9" s="125">
        <v>185.66</v>
      </c>
      <c r="O9" s="125">
        <v>0</v>
      </c>
      <c r="P9" s="127">
        <v>1070.9100000000001</v>
      </c>
      <c r="Q9" s="127">
        <v>1070.9100000000001</v>
      </c>
      <c r="R9" s="125"/>
      <c r="S9" s="125">
        <v>123.15</v>
      </c>
      <c r="T9" s="128">
        <v>1070.9100000000001</v>
      </c>
      <c r="U9" s="129">
        <v>1071</v>
      </c>
      <c r="V9" s="125" t="s">
        <v>335</v>
      </c>
      <c r="W9" s="25" t="e">
        <f t="shared" si="0"/>
        <v>#VALUE!</v>
      </c>
    </row>
    <row r="10" spans="1:23" ht="25" customHeight="1">
      <c r="A10" s="130" t="s">
        <v>83</v>
      </c>
      <c r="B10" s="131"/>
      <c r="C10" s="125">
        <v>6.17</v>
      </c>
      <c r="D10" s="125">
        <v>7.17</v>
      </c>
      <c r="E10" s="125">
        <v>7.17</v>
      </c>
      <c r="F10" s="125">
        <v>8.58</v>
      </c>
      <c r="G10" s="125">
        <v>6.42</v>
      </c>
      <c r="H10" s="125">
        <v>35.51</v>
      </c>
      <c r="I10" s="127">
        <v>30.09</v>
      </c>
      <c r="J10" s="125">
        <v>185.66</v>
      </c>
      <c r="K10" s="125">
        <v>215.75</v>
      </c>
      <c r="L10" s="125">
        <v>215.75</v>
      </c>
      <c r="M10" s="125">
        <v>258.17</v>
      </c>
      <c r="N10" s="125">
        <v>193.18</v>
      </c>
      <c r="O10" s="125">
        <v>0</v>
      </c>
      <c r="P10" s="127">
        <v>1068.51</v>
      </c>
      <c r="Q10" s="127">
        <v>1068.51</v>
      </c>
      <c r="R10" s="125"/>
      <c r="S10" s="125">
        <v>122.88</v>
      </c>
      <c r="T10" s="128">
        <v>1068.51</v>
      </c>
      <c r="U10" s="129">
        <v>1069</v>
      </c>
      <c r="V10" s="130" t="s">
        <v>83</v>
      </c>
      <c r="W10" s="25" t="e">
        <f t="shared" si="0"/>
        <v>#VALUE!</v>
      </c>
    </row>
    <row r="11" spans="1:23" ht="25" customHeight="1">
      <c r="A11" s="130" t="s">
        <v>84</v>
      </c>
      <c r="B11" s="131"/>
      <c r="C11" s="125">
        <v>7.17</v>
      </c>
      <c r="D11" s="132" t="s">
        <v>82</v>
      </c>
      <c r="E11" s="130">
        <v>7.42</v>
      </c>
      <c r="F11" s="130">
        <v>7.58</v>
      </c>
      <c r="G11" s="125">
        <v>6.17</v>
      </c>
      <c r="H11" s="125">
        <v>28.34</v>
      </c>
      <c r="I11" s="127">
        <v>30.09</v>
      </c>
      <c r="J11" s="125">
        <v>215.75</v>
      </c>
      <c r="K11" s="125">
        <v>0</v>
      </c>
      <c r="L11" s="125">
        <v>223.27</v>
      </c>
      <c r="M11" s="125">
        <v>228.08</v>
      </c>
      <c r="N11" s="125">
        <v>185.66</v>
      </c>
      <c r="O11" s="125">
        <v>0</v>
      </c>
      <c r="P11" s="127">
        <v>852.76</v>
      </c>
      <c r="Q11" s="127">
        <v>852.76</v>
      </c>
      <c r="R11" s="125"/>
      <c r="S11" s="125">
        <v>98.07</v>
      </c>
      <c r="T11" s="128">
        <v>852.76</v>
      </c>
      <c r="U11" s="129">
        <v>853</v>
      </c>
      <c r="V11" s="130" t="s">
        <v>84</v>
      </c>
      <c r="W11" s="25" t="e">
        <f t="shared" si="0"/>
        <v>#VALUE!</v>
      </c>
    </row>
    <row r="12" spans="1:23" ht="25" customHeight="1">
      <c r="A12" s="130" t="s">
        <v>85</v>
      </c>
      <c r="B12" s="133">
        <v>0</v>
      </c>
      <c r="C12" s="133">
        <v>26.68</v>
      </c>
      <c r="D12" s="133">
        <v>21.59</v>
      </c>
      <c r="E12" s="133">
        <v>29.18</v>
      </c>
      <c r="F12" s="133">
        <v>32.32</v>
      </c>
      <c r="G12" s="133">
        <v>25.18</v>
      </c>
      <c r="H12" s="133">
        <v>134.94999999999999</v>
      </c>
      <c r="I12" s="134"/>
      <c r="J12" s="134">
        <v>802.82</v>
      </c>
      <c r="K12" s="134">
        <v>649.65</v>
      </c>
      <c r="L12" s="134">
        <v>878.04</v>
      </c>
      <c r="M12" s="134">
        <v>972.5</v>
      </c>
      <c r="N12" s="134">
        <v>757.68</v>
      </c>
      <c r="O12" s="134">
        <v>0</v>
      </c>
      <c r="P12" s="134">
        <v>4060.69</v>
      </c>
      <c r="Q12" s="134">
        <v>4060.69</v>
      </c>
      <c r="R12" s="134">
        <v>0</v>
      </c>
      <c r="S12" s="134">
        <v>466.98</v>
      </c>
      <c r="T12" s="134">
        <v>4060.69</v>
      </c>
      <c r="U12" s="134">
        <v>4062</v>
      </c>
      <c r="V12" s="112"/>
      <c r="W12" s="25">
        <f t="shared" si="0"/>
        <v>0</v>
      </c>
    </row>
    <row r="13" spans="1:23" ht="25" customHeight="1">
      <c r="A13" s="135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6"/>
      <c r="R13" s="136"/>
      <c r="S13" s="136"/>
      <c r="T13" s="136"/>
      <c r="U13" s="137"/>
      <c r="V13" s="137"/>
      <c r="W13" s="25" t="str">
        <f t="shared" si="0"/>
        <v/>
      </c>
    </row>
    <row r="14" spans="1:23" ht="25" customHeight="1">
      <c r="B14" s="15"/>
      <c r="D14" s="5"/>
      <c r="E14" s="5"/>
      <c r="F14" s="6" t="str">
        <f t="shared" ref="F14:F47" si="1">IF(E14="","","No")</f>
        <v/>
      </c>
      <c r="G14" s="6" t="str">
        <f t="shared" ref="G14:G47" si="2">IF(E14="","",IF(F14="Yes",(E14-D14)-TIME(0,30,0),E14-D14))</f>
        <v/>
      </c>
      <c r="H14" s="50" t="str">
        <f>_xlfn.IFNA(VLOOKUP(C:C,'Active Jobs'!B:K,8,0),"")</f>
        <v/>
      </c>
      <c r="I14" s="8" t="str">
        <f t="shared" ref="I14:I47" si="3">IF(F14="Yes",(E14-D14)*24-0.5,IF(F14="No",(E14-D14)*24,""))</f>
        <v/>
      </c>
      <c r="J14" s="50" t="str">
        <f t="shared" ref="J14:J47" si="4">IF(G14="","",G14*24*HourlyRate*2*(1+Super))</f>
        <v/>
      </c>
      <c r="K14" s="50" t="str">
        <f t="shared" ref="K14:K47" si="5">IF(H14="","",IF(E14="","",IF(J14=0,0,H14-J14)))</f>
        <v/>
      </c>
      <c r="L14" s="9" t="str">
        <f t="shared" ref="L14:L47" si="6">IF(K14="","",IF(H14=0,1,J14/H14))</f>
        <v/>
      </c>
      <c r="O14" s="23" t="str">
        <f t="shared" ref="O14:S18" si="7">IF(N14="","",ROUND(SUMIFS($I:$I,$A:$A,O$1,$B:$B,"*"&amp;$N14&amp;"*"),2))</f>
        <v/>
      </c>
      <c r="P14" s="23" t="str">
        <f t="shared" si="7"/>
        <v/>
      </c>
      <c r="Q14" s="23" t="str">
        <f t="shared" si="7"/>
        <v/>
      </c>
      <c r="R14" s="23" t="str">
        <f t="shared" si="7"/>
        <v/>
      </c>
      <c r="S14" s="23" t="str">
        <f t="shared" si="7"/>
        <v/>
      </c>
      <c r="T14" s="10" t="str">
        <f t="shared" ref="T14:T42" si="8">IF(N14="","",SUM(O14:S14))</f>
        <v/>
      </c>
      <c r="V14" s="24" t="str">
        <f t="shared" ref="V14:V18" si="9">IF(N14="","",T14*HourlyRate)</f>
        <v/>
      </c>
      <c r="W14" s="25" t="str">
        <f t="shared" si="0"/>
        <v/>
      </c>
    </row>
    <row r="15" spans="1:23" ht="25" customHeight="1">
      <c r="B15" s="15"/>
      <c r="D15" s="5"/>
      <c r="E15" s="5"/>
      <c r="F15" s="6" t="str">
        <f t="shared" si="1"/>
        <v/>
      </c>
      <c r="G15" s="6" t="str">
        <f t="shared" si="2"/>
        <v/>
      </c>
      <c r="H15" s="50" t="str">
        <f>_xlfn.IFNA(VLOOKUP(C:C,'Active Jobs'!B:K,8,0),"")</f>
        <v/>
      </c>
      <c r="I15" s="8" t="str">
        <f t="shared" si="3"/>
        <v/>
      </c>
      <c r="J15" s="50" t="str">
        <f t="shared" si="4"/>
        <v/>
      </c>
      <c r="K15" s="50" t="str">
        <f t="shared" si="5"/>
        <v/>
      </c>
      <c r="L15" s="9" t="str">
        <f t="shared" si="6"/>
        <v/>
      </c>
      <c r="O15" s="23" t="str">
        <f t="shared" si="7"/>
        <v/>
      </c>
      <c r="P15" s="23" t="str">
        <f t="shared" si="7"/>
        <v/>
      </c>
      <c r="Q15" s="23" t="str">
        <f t="shared" si="7"/>
        <v/>
      </c>
      <c r="R15" s="23" t="str">
        <f t="shared" si="7"/>
        <v/>
      </c>
      <c r="S15" s="23" t="str">
        <f t="shared" si="7"/>
        <v/>
      </c>
      <c r="T15" s="10" t="str">
        <f t="shared" si="8"/>
        <v/>
      </c>
      <c r="V15" s="24" t="str">
        <f t="shared" si="9"/>
        <v/>
      </c>
      <c r="W15" s="25" t="str">
        <f t="shared" si="0"/>
        <v/>
      </c>
    </row>
    <row r="16" spans="1:23" ht="25" customHeight="1">
      <c r="B16" s="15"/>
      <c r="D16" s="5"/>
      <c r="E16" s="5"/>
      <c r="F16" s="6" t="str">
        <f t="shared" si="1"/>
        <v/>
      </c>
      <c r="G16" s="6" t="str">
        <f t="shared" si="2"/>
        <v/>
      </c>
      <c r="H16" s="50" t="str">
        <f>_xlfn.IFNA(VLOOKUP(C:C,'Active Jobs'!B:K,8,0),"")</f>
        <v/>
      </c>
      <c r="I16" s="8" t="str">
        <f t="shared" si="3"/>
        <v/>
      </c>
      <c r="J16" s="50" t="str">
        <f t="shared" si="4"/>
        <v/>
      </c>
      <c r="K16" s="50" t="str">
        <f t="shared" si="5"/>
        <v/>
      </c>
      <c r="L16" s="9" t="str">
        <f t="shared" si="6"/>
        <v/>
      </c>
      <c r="O16" s="23" t="str">
        <f t="shared" si="7"/>
        <v/>
      </c>
      <c r="P16" s="23" t="str">
        <f t="shared" si="7"/>
        <v/>
      </c>
      <c r="Q16" s="23" t="str">
        <f t="shared" si="7"/>
        <v/>
      </c>
      <c r="R16" s="23" t="str">
        <f t="shared" si="7"/>
        <v/>
      </c>
      <c r="S16" s="23" t="str">
        <f t="shared" si="7"/>
        <v/>
      </c>
      <c r="T16" s="10" t="str">
        <f t="shared" si="8"/>
        <v/>
      </c>
      <c r="V16" s="24" t="str">
        <f t="shared" si="9"/>
        <v/>
      </c>
      <c r="W16" s="25" t="str">
        <f t="shared" si="0"/>
        <v/>
      </c>
    </row>
    <row r="17" spans="2:23" ht="25" customHeight="1">
      <c r="B17" s="15"/>
      <c r="D17" s="5"/>
      <c r="E17" s="5"/>
      <c r="F17" s="6" t="str">
        <f t="shared" si="1"/>
        <v/>
      </c>
      <c r="G17" s="6" t="str">
        <f t="shared" si="2"/>
        <v/>
      </c>
      <c r="H17" s="50" t="str">
        <f>_xlfn.IFNA(VLOOKUP(C:C,'Active Jobs'!B:K,8,0),"")</f>
        <v/>
      </c>
      <c r="I17" s="8" t="str">
        <f t="shared" si="3"/>
        <v/>
      </c>
      <c r="J17" s="50" t="str">
        <f t="shared" si="4"/>
        <v/>
      </c>
      <c r="K17" s="50" t="str">
        <f t="shared" si="5"/>
        <v/>
      </c>
      <c r="L17" s="9" t="str">
        <f t="shared" si="6"/>
        <v/>
      </c>
      <c r="O17" s="23" t="str">
        <f t="shared" si="7"/>
        <v/>
      </c>
      <c r="P17" s="23" t="str">
        <f t="shared" si="7"/>
        <v/>
      </c>
      <c r="Q17" s="23" t="str">
        <f t="shared" si="7"/>
        <v/>
      </c>
      <c r="R17" s="23" t="str">
        <f t="shared" si="7"/>
        <v/>
      </c>
      <c r="S17" s="23" t="str">
        <f t="shared" si="7"/>
        <v/>
      </c>
      <c r="T17" s="10" t="str">
        <f t="shared" si="8"/>
        <v/>
      </c>
      <c r="V17" s="24" t="str">
        <f t="shared" si="9"/>
        <v/>
      </c>
      <c r="W17" s="25" t="str">
        <f t="shared" si="0"/>
        <v/>
      </c>
    </row>
    <row r="18" spans="2:23" ht="25" customHeight="1">
      <c r="B18" s="15"/>
      <c r="D18" s="5"/>
      <c r="E18" s="5"/>
      <c r="F18" s="6" t="str">
        <f t="shared" si="1"/>
        <v/>
      </c>
      <c r="G18" s="6" t="str">
        <f t="shared" si="2"/>
        <v/>
      </c>
      <c r="H18" s="50" t="str">
        <f>_xlfn.IFNA(VLOOKUP(C:C,'Active Jobs'!B:K,8,0),"")</f>
        <v/>
      </c>
      <c r="I18" s="8" t="str">
        <f t="shared" si="3"/>
        <v/>
      </c>
      <c r="J18" s="50" t="str">
        <f t="shared" si="4"/>
        <v/>
      </c>
      <c r="K18" s="50" t="str">
        <f t="shared" si="5"/>
        <v/>
      </c>
      <c r="L18" s="9" t="str">
        <f t="shared" si="6"/>
        <v/>
      </c>
      <c r="O18" s="23" t="str">
        <f t="shared" si="7"/>
        <v/>
      </c>
      <c r="P18" s="23" t="str">
        <f t="shared" si="7"/>
        <v/>
      </c>
      <c r="Q18" s="23" t="str">
        <f t="shared" si="7"/>
        <v/>
      </c>
      <c r="R18" s="23" t="str">
        <f t="shared" si="7"/>
        <v/>
      </c>
      <c r="S18" s="23" t="str">
        <f t="shared" si="7"/>
        <v/>
      </c>
      <c r="T18" s="10" t="str">
        <f t="shared" si="8"/>
        <v/>
      </c>
      <c r="V18" s="24" t="str">
        <f t="shared" si="9"/>
        <v/>
      </c>
      <c r="W18" s="25" t="str">
        <f t="shared" si="0"/>
        <v/>
      </c>
    </row>
    <row r="19" spans="2:23" ht="25" customHeight="1">
      <c r="B19" s="15"/>
      <c r="D19" s="5"/>
      <c r="E19" s="5"/>
      <c r="F19" s="6" t="str">
        <f t="shared" si="1"/>
        <v/>
      </c>
      <c r="G19" s="6" t="str">
        <f t="shared" si="2"/>
        <v/>
      </c>
      <c r="H19" s="50" t="str">
        <f>_xlfn.IFNA(VLOOKUP(C:C,'Active Jobs'!B:K,8,0),"")</f>
        <v/>
      </c>
      <c r="I19" s="8" t="str">
        <f t="shared" si="3"/>
        <v/>
      </c>
      <c r="J19" s="50" t="str">
        <f t="shared" si="4"/>
        <v/>
      </c>
      <c r="K19" s="50" t="str">
        <f t="shared" si="5"/>
        <v/>
      </c>
      <c r="L19" s="9" t="str">
        <f t="shared" si="6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8"/>
        <v/>
      </c>
    </row>
    <row r="20" spans="2:23" ht="25" customHeight="1">
      <c r="B20" s="15"/>
      <c r="D20" s="5"/>
      <c r="E20" s="5"/>
      <c r="F20" s="6" t="str">
        <f t="shared" si="1"/>
        <v/>
      </c>
      <c r="G20" s="6" t="str">
        <f t="shared" si="2"/>
        <v/>
      </c>
      <c r="H20" s="50" t="str">
        <f>_xlfn.IFNA(VLOOKUP(C:C,'Active Jobs'!B:K,8,0),"")</f>
        <v/>
      </c>
      <c r="I20" s="8" t="str">
        <f t="shared" si="3"/>
        <v/>
      </c>
      <c r="J20" s="50" t="str">
        <f t="shared" si="4"/>
        <v/>
      </c>
      <c r="K20" s="50" t="str">
        <f t="shared" si="5"/>
        <v/>
      </c>
      <c r="L20" s="9" t="str">
        <f t="shared" si="6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8"/>
        <v/>
      </c>
    </row>
    <row r="21" spans="2:23" ht="25" customHeight="1">
      <c r="B21" s="15"/>
      <c r="D21" s="5"/>
      <c r="E21" s="5"/>
      <c r="F21" s="6" t="str">
        <f t="shared" si="1"/>
        <v/>
      </c>
      <c r="G21" s="6" t="str">
        <f t="shared" si="2"/>
        <v/>
      </c>
      <c r="H21" s="50" t="str">
        <f>_xlfn.IFNA(VLOOKUP(C:C,'Active Jobs'!B:K,8,0),"")</f>
        <v/>
      </c>
      <c r="I21" s="8" t="str">
        <f t="shared" si="3"/>
        <v/>
      </c>
      <c r="J21" s="50" t="str">
        <f t="shared" si="4"/>
        <v/>
      </c>
      <c r="K21" s="50" t="str">
        <f t="shared" si="5"/>
        <v/>
      </c>
      <c r="L21" s="9" t="str">
        <f t="shared" si="6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8"/>
        <v/>
      </c>
    </row>
    <row r="22" spans="2:23" ht="25" customHeight="1">
      <c r="B22" s="15"/>
      <c r="D22" s="5"/>
      <c r="E22" s="5"/>
      <c r="F22" s="6" t="str">
        <f t="shared" si="1"/>
        <v/>
      </c>
      <c r="G22" s="6" t="str">
        <f t="shared" si="2"/>
        <v/>
      </c>
      <c r="H22" s="50" t="str">
        <f>_xlfn.IFNA(VLOOKUP(C:C,'Active Jobs'!B:K,8,0),"")</f>
        <v/>
      </c>
      <c r="I22" s="8" t="str">
        <f t="shared" si="3"/>
        <v/>
      </c>
      <c r="J22" s="50" t="str">
        <f t="shared" si="4"/>
        <v/>
      </c>
      <c r="K22" s="50" t="str">
        <f t="shared" si="5"/>
        <v/>
      </c>
      <c r="L22" s="9" t="str">
        <f t="shared" si="6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8"/>
        <v/>
      </c>
    </row>
    <row r="23" spans="2:23" ht="25" customHeight="1">
      <c r="B23" s="15"/>
      <c r="D23" s="5"/>
      <c r="E23" s="5"/>
      <c r="F23" s="6" t="str">
        <f t="shared" si="1"/>
        <v/>
      </c>
      <c r="G23" s="6" t="str">
        <f t="shared" si="2"/>
        <v/>
      </c>
      <c r="H23" s="50" t="str">
        <f>_xlfn.IFNA(VLOOKUP(C:C,'Active Jobs'!B:K,8,0),"")</f>
        <v/>
      </c>
      <c r="I23" s="8" t="str">
        <f t="shared" si="3"/>
        <v/>
      </c>
      <c r="J23" s="50" t="str">
        <f t="shared" si="4"/>
        <v/>
      </c>
      <c r="K23" s="50" t="str">
        <f t="shared" si="5"/>
        <v/>
      </c>
      <c r="L23" s="9" t="str">
        <f t="shared" si="6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8"/>
        <v/>
      </c>
    </row>
    <row r="24" spans="2:23" ht="25" customHeight="1">
      <c r="B24" s="15"/>
      <c r="D24" s="5"/>
      <c r="E24" s="5"/>
      <c r="F24" s="6" t="str">
        <f t="shared" si="1"/>
        <v/>
      </c>
      <c r="G24" s="6" t="str">
        <f t="shared" si="2"/>
        <v/>
      </c>
      <c r="H24" s="50" t="str">
        <f>_xlfn.IFNA(VLOOKUP(C:C,'Active Jobs'!B:K,8,0),"")</f>
        <v/>
      </c>
      <c r="I24" s="8" t="str">
        <f t="shared" si="3"/>
        <v/>
      </c>
      <c r="J24" s="50" t="str">
        <f t="shared" si="4"/>
        <v/>
      </c>
      <c r="K24" s="50" t="str">
        <f t="shared" si="5"/>
        <v/>
      </c>
      <c r="L24" s="9" t="str">
        <f t="shared" si="6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8"/>
        <v/>
      </c>
    </row>
    <row r="25" spans="2:23" ht="25" customHeight="1">
      <c r="B25" s="15"/>
      <c r="D25" s="5"/>
      <c r="E25" s="5"/>
      <c r="F25" s="6" t="str">
        <f t="shared" si="1"/>
        <v/>
      </c>
      <c r="G25" s="6" t="str">
        <f t="shared" si="2"/>
        <v/>
      </c>
      <c r="H25" s="50" t="str">
        <f>_xlfn.IFNA(VLOOKUP(C:C,'Active Jobs'!B:K,8,0),"")</f>
        <v/>
      </c>
      <c r="I25" s="8" t="str">
        <f t="shared" si="3"/>
        <v/>
      </c>
      <c r="J25" s="50" t="str">
        <f t="shared" si="4"/>
        <v/>
      </c>
      <c r="K25" s="50" t="str">
        <f t="shared" si="5"/>
        <v/>
      </c>
      <c r="L25" s="9" t="str">
        <f t="shared" si="6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8"/>
        <v/>
      </c>
    </row>
    <row r="26" spans="2:23" ht="25" customHeight="1">
      <c r="B26" s="15"/>
      <c r="D26" s="5"/>
      <c r="E26" s="5"/>
      <c r="F26" s="6" t="str">
        <f t="shared" si="1"/>
        <v/>
      </c>
      <c r="G26" s="6" t="str">
        <f t="shared" si="2"/>
        <v/>
      </c>
      <c r="H26" s="50" t="str">
        <f>_xlfn.IFNA(VLOOKUP(C:C,'Active Jobs'!B:K,8,0),"")</f>
        <v/>
      </c>
      <c r="I26" s="8" t="str">
        <f t="shared" si="3"/>
        <v/>
      </c>
      <c r="J26" s="50" t="str">
        <f t="shared" si="4"/>
        <v/>
      </c>
      <c r="K26" s="50" t="str">
        <f t="shared" si="5"/>
        <v/>
      </c>
      <c r="L26" s="9" t="str">
        <f t="shared" si="6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8"/>
        <v/>
      </c>
    </row>
    <row r="27" spans="2:23" ht="25" customHeight="1">
      <c r="B27" s="15"/>
      <c r="D27" s="5"/>
      <c r="E27" s="5"/>
      <c r="F27" s="6" t="str">
        <f t="shared" si="1"/>
        <v/>
      </c>
      <c r="G27" s="6" t="str">
        <f t="shared" si="2"/>
        <v/>
      </c>
      <c r="H27" s="50" t="str">
        <f>_xlfn.IFNA(VLOOKUP(C:C,'Active Jobs'!B:K,8,0),"")</f>
        <v/>
      </c>
      <c r="I27" s="8" t="str">
        <f t="shared" si="3"/>
        <v/>
      </c>
      <c r="J27" s="50" t="str">
        <f t="shared" si="4"/>
        <v/>
      </c>
      <c r="K27" s="50" t="str">
        <f t="shared" si="5"/>
        <v/>
      </c>
      <c r="L27" s="9" t="str">
        <f t="shared" si="6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8"/>
        <v/>
      </c>
    </row>
    <row r="28" spans="2:23" ht="25" customHeight="1">
      <c r="B28" s="15"/>
      <c r="D28" s="5"/>
      <c r="E28" s="5"/>
      <c r="F28" s="6" t="str">
        <f t="shared" si="1"/>
        <v/>
      </c>
      <c r="G28" s="6" t="str">
        <f t="shared" si="2"/>
        <v/>
      </c>
      <c r="H28" s="50" t="str">
        <f>_xlfn.IFNA(VLOOKUP(C:C,'Active Jobs'!B:K,8,0),"")</f>
        <v/>
      </c>
      <c r="I28" s="8" t="str">
        <f t="shared" si="3"/>
        <v/>
      </c>
      <c r="J28" s="50" t="str">
        <f t="shared" si="4"/>
        <v/>
      </c>
      <c r="K28" s="50" t="str">
        <f t="shared" si="5"/>
        <v/>
      </c>
      <c r="L28" s="9" t="str">
        <f t="shared" si="6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8"/>
        <v/>
      </c>
    </row>
    <row r="29" spans="2:23" ht="25" customHeight="1">
      <c r="B29" s="15"/>
      <c r="D29" s="5"/>
      <c r="E29" s="5"/>
      <c r="F29" s="6" t="str">
        <f t="shared" si="1"/>
        <v/>
      </c>
      <c r="G29" s="6" t="str">
        <f t="shared" si="2"/>
        <v/>
      </c>
      <c r="H29" s="50" t="str">
        <f>_xlfn.IFNA(VLOOKUP(C:C,'Active Jobs'!B:K,8,0),"")</f>
        <v/>
      </c>
      <c r="I29" s="8" t="str">
        <f t="shared" si="3"/>
        <v/>
      </c>
      <c r="J29" s="50" t="str">
        <f t="shared" si="4"/>
        <v/>
      </c>
      <c r="K29" s="50" t="str">
        <f t="shared" si="5"/>
        <v/>
      </c>
      <c r="L29" s="9" t="str">
        <f t="shared" si="6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8"/>
        <v/>
      </c>
    </row>
    <row r="30" spans="2:23" ht="25" customHeight="1">
      <c r="B30" s="15"/>
      <c r="D30" s="5"/>
      <c r="E30" s="5"/>
      <c r="F30" s="6" t="str">
        <f t="shared" si="1"/>
        <v/>
      </c>
      <c r="G30" s="6" t="str">
        <f t="shared" si="2"/>
        <v/>
      </c>
      <c r="H30" s="50" t="str">
        <f>_xlfn.IFNA(VLOOKUP(C:C,'Active Jobs'!B:K,8,0),"")</f>
        <v/>
      </c>
      <c r="I30" s="8" t="str">
        <f t="shared" si="3"/>
        <v/>
      </c>
      <c r="J30" s="50" t="str">
        <f t="shared" si="4"/>
        <v/>
      </c>
      <c r="K30" s="50" t="str">
        <f t="shared" si="5"/>
        <v/>
      </c>
      <c r="L30" s="9" t="str">
        <f t="shared" si="6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8"/>
        <v/>
      </c>
    </row>
    <row r="31" spans="2:23" ht="25" customHeight="1">
      <c r="B31" s="15"/>
      <c r="D31" s="5"/>
      <c r="E31" s="5"/>
      <c r="F31" s="6" t="str">
        <f t="shared" si="1"/>
        <v/>
      </c>
      <c r="G31" s="6" t="str">
        <f t="shared" si="2"/>
        <v/>
      </c>
      <c r="H31" s="50" t="str">
        <f>_xlfn.IFNA(VLOOKUP(C:C,'Active Jobs'!B:K,8,0),"")</f>
        <v/>
      </c>
      <c r="I31" s="8" t="str">
        <f t="shared" si="3"/>
        <v/>
      </c>
      <c r="J31" s="50" t="str">
        <f t="shared" si="4"/>
        <v/>
      </c>
      <c r="K31" s="50" t="str">
        <f t="shared" si="5"/>
        <v/>
      </c>
      <c r="L31" s="9" t="str">
        <f t="shared" si="6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8"/>
        <v/>
      </c>
    </row>
    <row r="32" spans="2:23" ht="25" customHeight="1">
      <c r="B32" s="15"/>
      <c r="D32" s="5"/>
      <c r="E32" s="5"/>
      <c r="F32" s="6" t="str">
        <f t="shared" si="1"/>
        <v/>
      </c>
      <c r="G32" s="6" t="str">
        <f t="shared" si="2"/>
        <v/>
      </c>
      <c r="H32" s="50" t="str">
        <f>_xlfn.IFNA(VLOOKUP(C:C,'Active Jobs'!B:K,8,0),"")</f>
        <v/>
      </c>
      <c r="I32" s="8" t="str">
        <f t="shared" si="3"/>
        <v/>
      </c>
      <c r="J32" s="50" t="str">
        <f t="shared" si="4"/>
        <v/>
      </c>
      <c r="K32" s="50" t="str">
        <f t="shared" si="5"/>
        <v/>
      </c>
      <c r="L32" s="9" t="str">
        <f t="shared" si="6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8"/>
        <v/>
      </c>
    </row>
    <row r="33" spans="2:20" ht="25" customHeight="1">
      <c r="B33" s="15"/>
      <c r="D33" s="5"/>
      <c r="E33" s="5"/>
      <c r="F33" s="6" t="str">
        <f t="shared" si="1"/>
        <v/>
      </c>
      <c r="G33" s="6" t="str">
        <f t="shared" si="2"/>
        <v/>
      </c>
      <c r="H33" s="50" t="str">
        <f>_xlfn.IFNA(VLOOKUP(C:C,'Active Jobs'!B:K,8,0),"")</f>
        <v/>
      </c>
      <c r="I33" s="8" t="str">
        <f t="shared" si="3"/>
        <v/>
      </c>
      <c r="J33" s="50" t="str">
        <f t="shared" si="4"/>
        <v/>
      </c>
      <c r="K33" s="50" t="str">
        <f t="shared" si="5"/>
        <v/>
      </c>
      <c r="L33" s="9" t="str">
        <f t="shared" si="6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8"/>
        <v/>
      </c>
    </row>
    <row r="34" spans="2:20" ht="25" customHeight="1">
      <c r="B34" s="15"/>
      <c r="D34" s="5"/>
      <c r="E34" s="5"/>
      <c r="F34" s="6" t="str">
        <f t="shared" si="1"/>
        <v/>
      </c>
      <c r="G34" s="6" t="str">
        <f t="shared" si="2"/>
        <v/>
      </c>
      <c r="H34" s="50" t="str">
        <f>_xlfn.IFNA(VLOOKUP(C:C,'Active Jobs'!B:K,8,0),"")</f>
        <v/>
      </c>
      <c r="I34" s="8" t="str">
        <f t="shared" si="3"/>
        <v/>
      </c>
      <c r="J34" s="50" t="str">
        <f t="shared" si="4"/>
        <v/>
      </c>
      <c r="K34" s="50" t="str">
        <f t="shared" si="5"/>
        <v/>
      </c>
      <c r="L34" s="9" t="str">
        <f t="shared" si="6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8"/>
        <v/>
      </c>
    </row>
    <row r="35" spans="2:20" ht="25" customHeight="1">
      <c r="B35" s="15"/>
      <c r="D35" s="5"/>
      <c r="E35" s="5"/>
      <c r="F35" s="6" t="str">
        <f t="shared" si="1"/>
        <v/>
      </c>
      <c r="G35" s="6" t="str">
        <f t="shared" si="2"/>
        <v/>
      </c>
      <c r="H35" s="50" t="str">
        <f>_xlfn.IFNA(VLOOKUP(C:C,'Active Jobs'!B:K,8,0),"")</f>
        <v/>
      </c>
      <c r="I35" s="8" t="str">
        <f t="shared" si="3"/>
        <v/>
      </c>
      <c r="J35" s="50" t="str">
        <f t="shared" si="4"/>
        <v/>
      </c>
      <c r="K35" s="50" t="str">
        <f t="shared" si="5"/>
        <v/>
      </c>
      <c r="L35" s="9" t="str">
        <f t="shared" si="6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8"/>
        <v/>
      </c>
    </row>
    <row r="36" spans="2:20" ht="25" customHeight="1">
      <c r="B36" s="15"/>
      <c r="D36" s="5"/>
      <c r="E36" s="5"/>
      <c r="F36" s="6" t="str">
        <f t="shared" si="1"/>
        <v/>
      </c>
      <c r="G36" s="6" t="str">
        <f t="shared" si="2"/>
        <v/>
      </c>
      <c r="H36" s="50" t="str">
        <f>_xlfn.IFNA(VLOOKUP(C:C,'Active Jobs'!B:K,8,0),"")</f>
        <v/>
      </c>
      <c r="I36" s="8" t="str">
        <f t="shared" si="3"/>
        <v/>
      </c>
      <c r="J36" s="50" t="str">
        <f t="shared" si="4"/>
        <v/>
      </c>
      <c r="K36" s="50" t="str">
        <f t="shared" si="5"/>
        <v/>
      </c>
      <c r="L36" s="9" t="str">
        <f t="shared" si="6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8"/>
        <v/>
      </c>
    </row>
    <row r="37" spans="2:20" ht="25" customHeight="1">
      <c r="B37" s="15"/>
      <c r="D37" s="5"/>
      <c r="E37" s="5"/>
      <c r="F37" s="6" t="str">
        <f t="shared" si="1"/>
        <v/>
      </c>
      <c r="G37" s="6" t="str">
        <f t="shared" si="2"/>
        <v/>
      </c>
      <c r="H37" s="50" t="str">
        <f>_xlfn.IFNA(VLOOKUP(C:C,'Active Jobs'!B:K,8,0),"")</f>
        <v/>
      </c>
      <c r="I37" s="8" t="str">
        <f t="shared" si="3"/>
        <v/>
      </c>
      <c r="J37" s="50" t="str">
        <f t="shared" si="4"/>
        <v/>
      </c>
      <c r="K37" s="50" t="str">
        <f t="shared" si="5"/>
        <v/>
      </c>
      <c r="L37" s="9" t="str">
        <f t="shared" si="6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8"/>
        <v/>
      </c>
    </row>
    <row r="38" spans="2:20" ht="25" customHeight="1">
      <c r="B38" s="15"/>
      <c r="D38" s="5"/>
      <c r="E38" s="5"/>
      <c r="F38" s="6" t="str">
        <f t="shared" si="1"/>
        <v/>
      </c>
      <c r="G38" s="6" t="str">
        <f t="shared" si="2"/>
        <v/>
      </c>
      <c r="H38" s="50" t="str">
        <f>_xlfn.IFNA(VLOOKUP(C:C,'Active Jobs'!B:K,8,0),"")</f>
        <v/>
      </c>
      <c r="I38" s="8" t="str">
        <f t="shared" si="3"/>
        <v/>
      </c>
      <c r="J38" s="50" t="str">
        <f t="shared" si="4"/>
        <v/>
      </c>
      <c r="K38" s="50" t="str">
        <f t="shared" si="5"/>
        <v/>
      </c>
      <c r="L38" s="9" t="str">
        <f t="shared" si="6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8"/>
        <v/>
      </c>
    </row>
    <row r="39" spans="2:20" ht="25" customHeight="1">
      <c r="B39" s="15"/>
      <c r="D39" s="5"/>
      <c r="E39" s="5"/>
      <c r="F39" s="6" t="str">
        <f t="shared" si="1"/>
        <v/>
      </c>
      <c r="G39" s="6" t="str">
        <f t="shared" si="2"/>
        <v/>
      </c>
      <c r="H39" s="50" t="str">
        <f>_xlfn.IFNA(VLOOKUP(C:C,'Active Jobs'!B:K,8,0),"")</f>
        <v/>
      </c>
      <c r="I39" s="8" t="str">
        <f t="shared" si="3"/>
        <v/>
      </c>
      <c r="J39" s="50" t="str">
        <f t="shared" si="4"/>
        <v/>
      </c>
      <c r="K39" s="50" t="str">
        <f t="shared" si="5"/>
        <v/>
      </c>
      <c r="L39" s="9" t="str">
        <f t="shared" si="6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8"/>
        <v/>
      </c>
    </row>
    <row r="40" spans="2:20" ht="25" customHeight="1">
      <c r="B40" s="15"/>
      <c r="D40" s="5"/>
      <c r="E40" s="5"/>
      <c r="F40" s="6" t="str">
        <f t="shared" si="1"/>
        <v/>
      </c>
      <c r="G40" s="6" t="str">
        <f t="shared" si="2"/>
        <v/>
      </c>
      <c r="H40" s="50" t="str">
        <f>_xlfn.IFNA(VLOOKUP(C:C,'Active Jobs'!B:K,8,0),"")</f>
        <v/>
      </c>
      <c r="I40" s="8" t="str">
        <f t="shared" si="3"/>
        <v/>
      </c>
      <c r="J40" s="50" t="str">
        <f t="shared" si="4"/>
        <v/>
      </c>
      <c r="K40" s="50" t="str">
        <f t="shared" si="5"/>
        <v/>
      </c>
      <c r="L40" s="9" t="str">
        <f t="shared" si="6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8"/>
        <v/>
      </c>
    </row>
    <row r="41" spans="2:20" ht="25" customHeight="1">
      <c r="B41" s="15"/>
      <c r="D41" s="5"/>
      <c r="E41" s="5"/>
      <c r="F41" s="6" t="str">
        <f t="shared" si="1"/>
        <v/>
      </c>
      <c r="G41" s="6" t="str">
        <f t="shared" si="2"/>
        <v/>
      </c>
      <c r="H41" s="50" t="str">
        <f>_xlfn.IFNA(VLOOKUP(C:C,'Active Jobs'!B:K,8,0),"")</f>
        <v/>
      </c>
      <c r="I41" s="8" t="str">
        <f t="shared" si="3"/>
        <v/>
      </c>
      <c r="J41" s="50" t="str">
        <f t="shared" si="4"/>
        <v/>
      </c>
      <c r="K41" s="50" t="str">
        <f t="shared" si="5"/>
        <v/>
      </c>
      <c r="L41" s="9" t="str">
        <f t="shared" si="6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8"/>
        <v/>
      </c>
    </row>
    <row r="42" spans="2:20" ht="25" customHeight="1">
      <c r="B42" s="15"/>
      <c r="D42" s="5"/>
      <c r="E42" s="5"/>
      <c r="F42" s="6" t="str">
        <f t="shared" si="1"/>
        <v/>
      </c>
      <c r="G42" s="6" t="str">
        <f t="shared" si="2"/>
        <v/>
      </c>
      <c r="H42" s="50" t="str">
        <f>_xlfn.IFNA(VLOOKUP(C:C,'Active Jobs'!B:K,8,0),"")</f>
        <v/>
      </c>
      <c r="I42" s="8" t="str">
        <f t="shared" si="3"/>
        <v/>
      </c>
      <c r="J42" s="50" t="str">
        <f t="shared" si="4"/>
        <v/>
      </c>
      <c r="K42" s="50" t="str">
        <f t="shared" si="5"/>
        <v/>
      </c>
      <c r="L42" s="9" t="str">
        <f t="shared" si="6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8"/>
        <v/>
      </c>
    </row>
    <row r="43" spans="2:20" ht="25" customHeight="1">
      <c r="B43" s="15"/>
      <c r="D43" s="5"/>
      <c r="E43" s="5"/>
      <c r="F43" s="6" t="str">
        <f t="shared" si="1"/>
        <v/>
      </c>
      <c r="G43" s="6" t="str">
        <f t="shared" si="2"/>
        <v/>
      </c>
      <c r="H43" s="50" t="str">
        <f>_xlfn.IFNA(VLOOKUP(C:C,'Active Jobs'!B:K,8,0),"")</f>
        <v/>
      </c>
      <c r="I43" s="8" t="str">
        <f t="shared" si="3"/>
        <v/>
      </c>
      <c r="J43" s="50" t="str">
        <f t="shared" si="4"/>
        <v/>
      </c>
      <c r="K43" s="50" t="str">
        <f t="shared" si="5"/>
        <v/>
      </c>
      <c r="L43" s="9" t="str">
        <f t="shared" si="6"/>
        <v/>
      </c>
    </row>
    <row r="44" spans="2:20" ht="25" customHeight="1">
      <c r="B44" s="15"/>
      <c r="D44" s="5"/>
      <c r="E44" s="5"/>
      <c r="F44" s="6" t="str">
        <f t="shared" si="1"/>
        <v/>
      </c>
      <c r="G44" s="6" t="str">
        <f t="shared" si="2"/>
        <v/>
      </c>
      <c r="H44" s="50" t="str">
        <f>_xlfn.IFNA(VLOOKUP(C:C,'Active Jobs'!B:K,8,0),"")</f>
        <v/>
      </c>
      <c r="I44" s="8" t="str">
        <f t="shared" si="3"/>
        <v/>
      </c>
      <c r="J44" s="50" t="str">
        <f t="shared" si="4"/>
        <v/>
      </c>
      <c r="K44" s="50" t="str">
        <f t="shared" si="5"/>
        <v/>
      </c>
      <c r="L44" s="9" t="str">
        <f t="shared" si="6"/>
        <v/>
      </c>
    </row>
    <row r="45" spans="2:20" ht="25" customHeight="1">
      <c r="B45" s="15"/>
      <c r="D45" s="5"/>
      <c r="E45" s="5"/>
      <c r="F45" s="6" t="str">
        <f t="shared" si="1"/>
        <v/>
      </c>
      <c r="G45" s="6" t="str">
        <f t="shared" si="2"/>
        <v/>
      </c>
      <c r="H45" s="50" t="str">
        <f>_xlfn.IFNA(VLOOKUP(C:C,'Active Jobs'!B:K,8,0),"")</f>
        <v/>
      </c>
      <c r="I45" s="8" t="str">
        <f t="shared" si="3"/>
        <v/>
      </c>
      <c r="J45" s="50" t="str">
        <f t="shared" si="4"/>
        <v/>
      </c>
      <c r="K45" s="50" t="str">
        <f t="shared" si="5"/>
        <v/>
      </c>
      <c r="L45" s="9" t="str">
        <f t="shared" si="6"/>
        <v/>
      </c>
    </row>
    <row r="46" spans="2:20" ht="25" customHeight="1">
      <c r="B46" s="86"/>
      <c r="D46" s="5"/>
      <c r="E46" s="5"/>
      <c r="F46" s="6" t="str">
        <f t="shared" si="1"/>
        <v/>
      </c>
      <c r="G46" s="6" t="str">
        <f t="shared" si="2"/>
        <v/>
      </c>
      <c r="H46" s="50" t="str">
        <f>_xlfn.IFNA(VLOOKUP(C:C,'Active Jobs'!B:K,8,0),"")</f>
        <v/>
      </c>
      <c r="I46" s="8" t="str">
        <f t="shared" si="3"/>
        <v/>
      </c>
      <c r="J46" s="50" t="str">
        <f t="shared" si="4"/>
        <v/>
      </c>
      <c r="K46" s="50" t="str">
        <f t="shared" si="5"/>
        <v/>
      </c>
      <c r="L46" s="9" t="str">
        <f t="shared" si="6"/>
        <v/>
      </c>
    </row>
    <row r="47" spans="2:20" ht="25" customHeight="1">
      <c r="B47" s="86"/>
      <c r="D47" s="5"/>
      <c r="E47" s="5"/>
      <c r="F47" s="6" t="str">
        <f t="shared" si="1"/>
        <v/>
      </c>
      <c r="G47" s="6" t="str">
        <f t="shared" si="2"/>
        <v/>
      </c>
      <c r="H47" s="50" t="str">
        <f>_xlfn.IFNA(VLOOKUP(C:C,'Active Jobs'!B:K,8,0),"")</f>
        <v/>
      </c>
      <c r="I47" s="8" t="str">
        <f t="shared" si="3"/>
        <v/>
      </c>
      <c r="J47" s="50" t="str">
        <f t="shared" si="4"/>
        <v/>
      </c>
      <c r="K47" s="50" t="str">
        <f t="shared" si="5"/>
        <v/>
      </c>
      <c r="L47" s="9" t="str">
        <f t="shared" si="6"/>
        <v/>
      </c>
    </row>
    <row r="48" spans="2:20" ht="25" customHeight="1">
      <c r="D48" s="83"/>
      <c r="E48" s="83"/>
      <c r="F48" s="84"/>
      <c r="G48" s="6"/>
      <c r="H48" s="85">
        <f>SUBTOTAL(109,Table2261210141644[Quoted])</f>
        <v>269.89999999999998</v>
      </c>
      <c r="I48" s="81">
        <f>SUBTOTAL(109,Table2261210141644[Hours Payable])</f>
        <v>120.36</v>
      </c>
      <c r="J48" s="85">
        <f>SUBTOTAL(109,Table2261210141644[Wages (Incl. Super)])</f>
        <v>1605.6399999999999</v>
      </c>
      <c r="K48" s="85">
        <f>SUBTOTAL(109,Table2261210141644[Profit])</f>
        <v>1299.3</v>
      </c>
      <c r="L48" s="82" t="str">
        <f>IF(L2="","",SUBTOTAL(101,Table2261210141644[Quote/Wages]))</f>
        <v/>
      </c>
    </row>
  </sheetData>
  <mergeCells count="2">
    <mergeCell ref="M6:M7"/>
    <mergeCell ref="N6:N7"/>
  </mergeCells>
  <conditionalFormatting sqref="B1 B49:B269">
    <cfRule type="expression" dxfId="79" priority="3">
      <formula>AND(ROW()&gt;1, E1&lt;&gt;"", COUNTIFS(A:A, $A1, B:B, $B1, F:F, "Yes")=0)</formula>
    </cfRule>
  </conditionalFormatting>
  <conditionalFormatting sqref="F1 F49:F269">
    <cfRule type="expression" dxfId="78" priority="4" stopIfTrue="1">
      <formula>AND(ROW()&gt;1, E1&lt;&gt;"", COUNTIFS(A:A, $A1, B:B, $B1, F:F, "Yes")=0)</formula>
    </cfRule>
  </conditionalFormatting>
  <conditionalFormatting sqref="B14:B45">
    <cfRule type="expression" dxfId="77" priority="1">
      <formula>AND(ROW()&gt;1, E14&lt;&gt;"", COUNTIFS(A:A, $A14, B:B, $B14, F:F, "Yes")=0)</formula>
    </cfRule>
  </conditionalFormatting>
  <conditionalFormatting sqref="F14:F47">
    <cfRule type="expression" dxfId="76" priority="2" stopIfTrue="1">
      <formula>AND(ROW()&gt;1, E14&lt;&gt;"", COUNTIFS(A:A, $A14, B:B, $B14, F:F, "Yes")=0)</formula>
    </cfRule>
  </conditionalFormatting>
  <dataValidations count="2">
    <dataValidation type="list" allowBlank="1" showInputMessage="1" showErrorMessage="1" sqref="F14:F47" xr:uid="{D68983D5-4143-466F-9DC4-210519593F88}">
      <formula1>"No, Yes"</formula1>
    </dataValidation>
    <dataValidation type="list" allowBlank="1" showErrorMessage="1" promptTitle="Select" sqref="B14:B45" xr:uid="{847C3DB8-0D8A-4054-81A8-8257474FDB53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8361904-1504-4BCA-AB28-864EEBD54BA5}">
          <x14:formula1>
            <xm:f>'Active Jobs'!$B$2:$B$154</xm:f>
          </x14:formula1>
          <xm:sqref>C14:C47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80C3F-5932-C741-905E-26EFFC2A9E67}">
  <sheetPr codeName="Sheet27"/>
  <dimension ref="A1:W48"/>
  <sheetViews>
    <sheetView zoomScale="125" zoomScaleNormal="125" workbookViewId="0">
      <selection activeCell="H16" sqref="A15:H16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45782</v>
      </c>
      <c r="P1" s="63">
        <v>45783</v>
      </c>
      <c r="Q1" s="63">
        <v>45784</v>
      </c>
      <c r="R1" s="63">
        <v>45785</v>
      </c>
      <c r="S1" s="63">
        <v>45786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45782</v>
      </c>
      <c r="B2" s="15" t="s">
        <v>338</v>
      </c>
      <c r="D2" s="5">
        <v>0.33333333333333331</v>
      </c>
      <c r="E2" s="5">
        <v>0.66319444444444442</v>
      </c>
      <c r="F2" s="6" t="s">
        <v>17</v>
      </c>
      <c r="G2" s="6">
        <f>IF(E2="","",IF(F2="Yes",(E2-D2)-TIME(0,30,0),E2-D2))</f>
        <v>0.30902777777777779</v>
      </c>
      <c r="H2" s="50" t="str">
        <f>_xlfn.IFNA(VLOOKUP(C:C,'Active Jobs'!B:K,8,0),"")</f>
        <v/>
      </c>
      <c r="I2" s="8">
        <f>IF(F2="Yes",(E2-D2)*24-0.5,IF(F2="No",(E2-D2)*24,""))</f>
        <v>7.4166666666666661</v>
      </c>
      <c r="J2" s="50"/>
      <c r="K2" s="50" t="str">
        <f t="shared" ref="K2:K47" si="0">IF(H2="","",IF(E2="","",IF(J2=0,0,H2-J2)))</f>
        <v/>
      </c>
      <c r="L2" s="9" t="str">
        <f>IF(K2="","",IF(H2=0,1,J2/H2))</f>
        <v/>
      </c>
      <c r="M2" s="16">
        <v>1</v>
      </c>
      <c r="N2" s="41" t="str" cm="1">
        <f t="array" ref="N2:N6">IF(B2="","",_xlfn.UNIQUE(TRANSPOSE(_xlfn.TEXTSPLIT(_xlfn.TEXTJOIN(" &amp; ", TRUE, TRIM(B2:B219)), " &amp; "))))</f>
        <v>Aoife O'Gorman</v>
      </c>
      <c r="O2" s="23">
        <f>IF(N2="","",ROUND(SUMIFS($I:$I,$A:$A,O$1,$B:$B,"*"&amp;$N2&amp;"*"),2))</f>
        <v>7.42</v>
      </c>
      <c r="P2" s="23">
        <f>IF(O2="","",ROUND(SUMIFS($I:$I,$A:$A,P$1,$B:$B,"*"&amp;$N2&amp;"*"),2))</f>
        <v>7.92</v>
      </c>
      <c r="Q2" s="23">
        <f>IF(P2="","",ROUND(SUMIFS($I:$I,$A:$A,Q$1,$B:$B,"*"&amp;$N2&amp;"*"),2))</f>
        <v>6.92</v>
      </c>
      <c r="R2" s="23">
        <f>IF(Q2="","",ROUND(SUMIFS($I:$I,$A:$A,R$1,$B:$B,"*"&amp;$N2&amp;"*"),2))</f>
        <v>5.75</v>
      </c>
      <c r="S2" s="23">
        <f>IF(R2="","",ROUND(SUMIFS($I:$I,$A:$A,S$1,$B:$B,"*"&amp;$N2&amp;"*"),2))</f>
        <v>9.5</v>
      </c>
      <c r="T2" s="10">
        <f t="shared" ref="T2:T42" si="1">IF(N2="","",SUM(O2:S2))</f>
        <v>37.51</v>
      </c>
      <c r="U2" s="24"/>
      <c r="V2" s="24">
        <f t="shared" ref="V2:V18" si="2">IF(N2="","",T2*HourlyRate)</f>
        <v>1128.6759</v>
      </c>
      <c r="W2" s="25">
        <f t="shared" ref="W2:W18" si="3">IF(N2="","",V2*Super)</f>
        <v>129.79772850000001</v>
      </c>
    </row>
    <row r="3" spans="1:23" ht="25" customHeight="1">
      <c r="A3" s="37">
        <v>45782</v>
      </c>
      <c r="B3" s="15" t="s">
        <v>333</v>
      </c>
      <c r="D3" s="5">
        <v>0.33333333333333331</v>
      </c>
      <c r="E3" s="5">
        <v>0.67361111111111116</v>
      </c>
      <c r="F3" s="6" t="s">
        <v>17</v>
      </c>
      <c r="G3" s="6">
        <f t="shared" ref="G3:G47" si="4">IF(E3="","",IF(F3="Yes",(E3-D3)-TIME(0,30,0),E3-D3))</f>
        <v>0.31944444444444453</v>
      </c>
      <c r="H3" s="50" t="str">
        <f>_xlfn.IFNA(VLOOKUP(C:C,'Active Jobs'!B:K,8,0),"")</f>
        <v/>
      </c>
      <c r="I3" s="8">
        <f t="shared" ref="I3:I47" si="5">IF(F3="Yes",(E3-D3)*24-0.5,IF(F3="No",(E3-D3)*24,""))</f>
        <v>7.6666666666666679</v>
      </c>
      <c r="J3" s="50"/>
      <c r="K3" s="50" t="str">
        <f t="shared" si="0"/>
        <v/>
      </c>
      <c r="L3" s="9" t="str">
        <f t="shared" ref="L3:L47" si="6">IF(K3="","",IF(H3=0,1,J3/H3))</f>
        <v/>
      </c>
      <c r="M3" s="16">
        <v>3</v>
      </c>
      <c r="N3" s="42" t="str">
        <v>Orla Shelly</v>
      </c>
      <c r="O3" s="23">
        <f t="shared" ref="O3:S18" si="7">IF(N3="","",ROUND(SUMIFS($I:$I,$A:$A,O$1,$B:$B,"*"&amp;$N3&amp;"*"),2))</f>
        <v>7.42</v>
      </c>
      <c r="P3" s="23">
        <f t="shared" si="7"/>
        <v>7.92</v>
      </c>
      <c r="Q3" s="23">
        <f t="shared" si="7"/>
        <v>6.92</v>
      </c>
      <c r="R3" s="23">
        <f t="shared" si="7"/>
        <v>5.75</v>
      </c>
      <c r="S3" s="23">
        <f t="shared" si="7"/>
        <v>9.5</v>
      </c>
      <c r="T3" s="10">
        <f t="shared" si="1"/>
        <v>37.51</v>
      </c>
      <c r="U3" s="21"/>
      <c r="V3" s="24">
        <f t="shared" si="2"/>
        <v>1128.6759</v>
      </c>
      <c r="W3" s="25">
        <f t="shared" si="3"/>
        <v>129.79772850000001</v>
      </c>
    </row>
    <row r="4" spans="1:23" ht="25" customHeight="1">
      <c r="A4" s="37">
        <v>45782</v>
      </c>
      <c r="B4" s="15" t="s">
        <v>90</v>
      </c>
      <c r="D4" s="5">
        <v>0.33333333333333331</v>
      </c>
      <c r="E4" s="5">
        <v>0.66666666666666663</v>
      </c>
      <c r="F4" s="6" t="s">
        <v>17</v>
      </c>
      <c r="G4" s="6">
        <f t="shared" si="4"/>
        <v>0.3125</v>
      </c>
      <c r="H4" s="50" t="str">
        <f>_xlfn.IFNA(VLOOKUP(C:C,'Active Jobs'!B:K,8,0),"")</f>
        <v/>
      </c>
      <c r="I4" s="8">
        <f t="shared" si="5"/>
        <v>7.5</v>
      </c>
      <c r="J4" s="50"/>
      <c r="K4" s="50" t="str">
        <f t="shared" si="0"/>
        <v/>
      </c>
      <c r="L4" s="9" t="str">
        <f t="shared" si="6"/>
        <v/>
      </c>
      <c r="M4" s="16">
        <v>2</v>
      </c>
      <c r="N4" s="42" t="str">
        <v>Nancy Scott</v>
      </c>
      <c r="O4" s="23">
        <f t="shared" si="7"/>
        <v>7.67</v>
      </c>
      <c r="P4" s="23">
        <f t="shared" si="7"/>
        <v>8.42</v>
      </c>
      <c r="Q4" s="23">
        <f t="shared" si="7"/>
        <v>6.83</v>
      </c>
      <c r="R4" s="23">
        <f t="shared" si="7"/>
        <v>7.42</v>
      </c>
      <c r="S4" s="23">
        <f t="shared" si="7"/>
        <v>7.83</v>
      </c>
      <c r="T4" s="10">
        <f t="shared" si="1"/>
        <v>38.17</v>
      </c>
      <c r="U4" s="21"/>
      <c r="V4" s="24">
        <f t="shared" si="2"/>
        <v>1148.5353</v>
      </c>
      <c r="W4" s="25">
        <f t="shared" si="3"/>
        <v>132.0815595</v>
      </c>
    </row>
    <row r="5" spans="1:23" ht="25" customHeight="1">
      <c r="A5" s="37">
        <v>45783</v>
      </c>
      <c r="B5" s="15" t="s">
        <v>338</v>
      </c>
      <c r="D5" s="5"/>
      <c r="E5" s="5"/>
      <c r="F5" s="6" t="str">
        <f t="shared" ref="F5:F47" si="8">IF(E5="","","No")</f>
        <v/>
      </c>
      <c r="G5" s="6" t="str">
        <f t="shared" si="4"/>
        <v/>
      </c>
      <c r="H5" s="50" t="str">
        <f>_xlfn.IFNA(VLOOKUP(C:C,'Active Jobs'!B:K,8,0),"")</f>
        <v/>
      </c>
      <c r="I5" s="8">
        <v>7.92</v>
      </c>
      <c r="J5" s="50" t="str">
        <f t="shared" ref="J5:J47" si="9">IF(G5="","",G5*24*HourlyRate*2*(1+Super))</f>
        <v/>
      </c>
      <c r="K5" s="50" t="str">
        <f t="shared" si="0"/>
        <v/>
      </c>
      <c r="L5" s="9" t="str">
        <f t="shared" si="6"/>
        <v/>
      </c>
      <c r="M5" s="16">
        <v>1</v>
      </c>
      <c r="N5" s="42" t="str">
        <v>Cliodhna Corr</v>
      </c>
      <c r="O5" s="23">
        <f t="shared" si="7"/>
        <v>7.67</v>
      </c>
      <c r="P5" s="23">
        <f t="shared" si="7"/>
        <v>8.42</v>
      </c>
      <c r="Q5" s="23">
        <f t="shared" si="7"/>
        <v>6.83</v>
      </c>
      <c r="R5" s="23">
        <f t="shared" si="7"/>
        <v>7</v>
      </c>
      <c r="S5" s="23">
        <f t="shared" si="7"/>
        <v>8.67</v>
      </c>
      <c r="T5" s="10">
        <f t="shared" si="1"/>
        <v>38.590000000000003</v>
      </c>
      <c r="U5" s="21"/>
      <c r="V5" s="24">
        <f t="shared" si="2"/>
        <v>1161.1731000000002</v>
      </c>
      <c r="W5" s="25">
        <f t="shared" si="3"/>
        <v>133.53490650000003</v>
      </c>
    </row>
    <row r="6" spans="1:23" ht="25" customHeight="1">
      <c r="A6" s="37">
        <v>45783</v>
      </c>
      <c r="B6" s="15" t="s">
        <v>333</v>
      </c>
      <c r="D6" s="5"/>
      <c r="E6" s="5"/>
      <c r="F6" s="6" t="str">
        <f t="shared" si="8"/>
        <v/>
      </c>
      <c r="G6" s="6" t="str">
        <f t="shared" si="4"/>
        <v/>
      </c>
      <c r="H6" s="50" t="str">
        <f>_xlfn.IFNA(VLOOKUP(C:C,'Active Jobs'!B:K,8,0),"")</f>
        <v/>
      </c>
      <c r="I6" s="8">
        <v>8.42</v>
      </c>
      <c r="J6" s="50" t="str">
        <f t="shared" si="9"/>
        <v/>
      </c>
      <c r="K6" s="50" t="str">
        <f t="shared" si="0"/>
        <v/>
      </c>
      <c r="L6" s="9" t="str">
        <f t="shared" si="6"/>
        <v/>
      </c>
      <c r="M6" s="16">
        <v>3</v>
      </c>
      <c r="N6" s="43" t="str">
        <v>Julie Roccati</v>
      </c>
      <c r="O6" s="23">
        <f t="shared" si="7"/>
        <v>7.5</v>
      </c>
      <c r="P6" s="23">
        <f t="shared" si="7"/>
        <v>7.33</v>
      </c>
      <c r="Q6" s="23">
        <f t="shared" si="7"/>
        <v>8.58</v>
      </c>
      <c r="R6" s="23">
        <f t="shared" si="7"/>
        <v>0</v>
      </c>
      <c r="S6" s="23">
        <f t="shared" si="7"/>
        <v>0</v>
      </c>
      <c r="T6" s="10">
        <f t="shared" si="1"/>
        <v>23.41</v>
      </c>
      <c r="U6" s="21"/>
      <c r="V6" s="24">
        <f t="shared" si="2"/>
        <v>704.40689999999995</v>
      </c>
      <c r="W6" s="25">
        <f t="shared" si="3"/>
        <v>81.006793500000001</v>
      </c>
    </row>
    <row r="7" spans="1:23" ht="25" customHeight="1">
      <c r="A7" s="37">
        <v>45783</v>
      </c>
      <c r="B7" s="15" t="s">
        <v>90</v>
      </c>
      <c r="D7" s="5"/>
      <c r="E7" s="5"/>
      <c r="F7" s="6" t="str">
        <f t="shared" si="8"/>
        <v/>
      </c>
      <c r="G7" s="6" t="str">
        <f t="shared" si="4"/>
        <v/>
      </c>
      <c r="H7" s="50" t="str">
        <f>_xlfn.IFNA(VLOOKUP(C:C,'Active Jobs'!B:K,8,0),"")</f>
        <v/>
      </c>
      <c r="I7" s="8">
        <v>7.33</v>
      </c>
      <c r="J7" s="50" t="str">
        <f t="shared" si="9"/>
        <v/>
      </c>
      <c r="K7" s="50" t="str">
        <f t="shared" si="0"/>
        <v/>
      </c>
      <c r="L7" s="9" t="str">
        <f t="shared" si="6"/>
        <v/>
      </c>
      <c r="M7" s="16">
        <v>2</v>
      </c>
      <c r="N7" s="47"/>
      <c r="O7" s="23" t="str">
        <f t="shared" si="7"/>
        <v/>
      </c>
      <c r="P7" s="23" t="str">
        <f t="shared" si="7"/>
        <v/>
      </c>
      <c r="Q7" s="23" t="str">
        <f t="shared" si="7"/>
        <v/>
      </c>
      <c r="R7" s="23" t="str">
        <f t="shared" si="7"/>
        <v/>
      </c>
      <c r="S7" s="23" t="str">
        <f t="shared" si="7"/>
        <v/>
      </c>
      <c r="T7" s="10" t="str">
        <f t="shared" si="1"/>
        <v/>
      </c>
      <c r="U7" s="21"/>
      <c r="V7" s="24" t="str">
        <f t="shared" si="2"/>
        <v/>
      </c>
      <c r="W7" s="25" t="str">
        <f t="shared" si="3"/>
        <v/>
      </c>
    </row>
    <row r="8" spans="1:23" ht="25" customHeight="1">
      <c r="A8" s="37">
        <v>45784</v>
      </c>
      <c r="B8" s="15" t="s">
        <v>338</v>
      </c>
      <c r="C8" s="49"/>
      <c r="D8" s="5"/>
      <c r="E8" s="5"/>
      <c r="F8" s="6" t="str">
        <f t="shared" si="8"/>
        <v/>
      </c>
      <c r="G8" s="6" t="str">
        <f t="shared" si="4"/>
        <v/>
      </c>
      <c r="H8" s="50" t="str">
        <f>_xlfn.IFNA(VLOOKUP(C:C,'Active Jobs'!B:K,8,0),"")</f>
        <v/>
      </c>
      <c r="I8" s="8">
        <v>6.92</v>
      </c>
      <c r="J8" s="50" t="str">
        <f t="shared" si="9"/>
        <v/>
      </c>
      <c r="K8" s="50" t="str">
        <f t="shared" si="0"/>
        <v/>
      </c>
      <c r="L8" s="9" t="str">
        <f t="shared" si="6"/>
        <v/>
      </c>
      <c r="M8" s="16">
        <v>1</v>
      </c>
      <c r="N8" s="41"/>
      <c r="O8" s="23" t="str">
        <f t="shared" si="7"/>
        <v/>
      </c>
      <c r="P8" s="23" t="str">
        <f t="shared" si="7"/>
        <v/>
      </c>
      <c r="Q8" s="23" t="str">
        <f t="shared" si="7"/>
        <v/>
      </c>
      <c r="R8" s="23" t="str">
        <f t="shared" si="7"/>
        <v/>
      </c>
      <c r="S8" s="23" t="str">
        <f t="shared" si="7"/>
        <v/>
      </c>
      <c r="T8" s="10" t="str">
        <f t="shared" si="1"/>
        <v/>
      </c>
      <c r="U8" s="21"/>
      <c r="V8" s="24" t="str">
        <f t="shared" si="2"/>
        <v/>
      </c>
      <c r="W8" s="25" t="str">
        <f t="shared" si="3"/>
        <v/>
      </c>
    </row>
    <row r="9" spans="1:23" ht="25" customHeight="1">
      <c r="A9" s="37">
        <v>45784</v>
      </c>
      <c r="B9" s="15" t="s">
        <v>333</v>
      </c>
      <c r="D9" s="5"/>
      <c r="E9" s="5"/>
      <c r="F9" s="6" t="str">
        <f t="shared" si="8"/>
        <v/>
      </c>
      <c r="G9" s="6" t="str">
        <f t="shared" si="4"/>
        <v/>
      </c>
      <c r="H9" s="50" t="str">
        <f>_xlfn.IFNA(VLOOKUP(C:C,'Active Jobs'!B:K,8,0),"")</f>
        <v/>
      </c>
      <c r="I9" s="8">
        <v>6.83</v>
      </c>
      <c r="J9" s="50" t="str">
        <f t="shared" si="9"/>
        <v/>
      </c>
      <c r="K9" s="50" t="str">
        <f t="shared" si="0"/>
        <v/>
      </c>
      <c r="L9" s="9" t="str">
        <f t="shared" si="6"/>
        <v/>
      </c>
      <c r="M9" s="16">
        <v>3</v>
      </c>
      <c r="N9" s="47"/>
      <c r="O9" s="23" t="str">
        <f t="shared" si="7"/>
        <v/>
      </c>
      <c r="P9" s="23" t="str">
        <f t="shared" si="7"/>
        <v/>
      </c>
      <c r="Q9" s="23" t="str">
        <f t="shared" si="7"/>
        <v/>
      </c>
      <c r="R9" s="23" t="str">
        <f t="shared" si="7"/>
        <v/>
      </c>
      <c r="S9" s="23" t="str">
        <f t="shared" si="7"/>
        <v/>
      </c>
      <c r="T9" s="10" t="str">
        <f t="shared" si="1"/>
        <v/>
      </c>
      <c r="U9" s="21"/>
      <c r="V9" s="24" t="str">
        <f t="shared" si="2"/>
        <v/>
      </c>
      <c r="W9" s="25" t="str">
        <f t="shared" si="3"/>
        <v/>
      </c>
    </row>
    <row r="10" spans="1:23" ht="25" customHeight="1">
      <c r="A10" s="37">
        <v>45784</v>
      </c>
      <c r="B10" s="15" t="s">
        <v>90</v>
      </c>
      <c r="D10" s="5"/>
      <c r="E10" s="5"/>
      <c r="F10" s="6" t="str">
        <f t="shared" si="8"/>
        <v/>
      </c>
      <c r="G10" s="6" t="str">
        <f t="shared" si="4"/>
        <v/>
      </c>
      <c r="H10" s="50" t="str">
        <f>_xlfn.IFNA(VLOOKUP(C:C,'Active Jobs'!B:K,8,0),"")</f>
        <v/>
      </c>
      <c r="I10" s="8">
        <v>8.58</v>
      </c>
      <c r="J10" s="50" t="str">
        <f t="shared" si="9"/>
        <v/>
      </c>
      <c r="K10" s="50" t="str">
        <f t="shared" si="0"/>
        <v/>
      </c>
      <c r="L10" s="9" t="str">
        <f t="shared" si="6"/>
        <v/>
      </c>
      <c r="M10" s="16">
        <v>2</v>
      </c>
      <c r="O10" s="23" t="str">
        <f t="shared" si="7"/>
        <v/>
      </c>
      <c r="P10" s="23" t="str">
        <f t="shared" si="7"/>
        <v/>
      </c>
      <c r="Q10" s="23" t="str">
        <f t="shared" si="7"/>
        <v/>
      </c>
      <c r="R10" s="23" t="str">
        <f t="shared" si="7"/>
        <v/>
      </c>
      <c r="S10" s="23" t="str">
        <f t="shared" si="7"/>
        <v/>
      </c>
      <c r="T10" s="10" t="str">
        <f t="shared" si="1"/>
        <v/>
      </c>
      <c r="U10" s="21"/>
      <c r="V10" s="24" t="str">
        <f t="shared" si="2"/>
        <v/>
      </c>
      <c r="W10" s="25" t="str">
        <f t="shared" si="3"/>
        <v/>
      </c>
    </row>
    <row r="11" spans="1:23" ht="25" customHeight="1">
      <c r="A11" s="37">
        <v>45785</v>
      </c>
      <c r="B11" s="15" t="s">
        <v>338</v>
      </c>
      <c r="D11" s="5"/>
      <c r="E11" s="5"/>
      <c r="F11" s="6" t="str">
        <f t="shared" si="8"/>
        <v/>
      </c>
      <c r="G11" s="6" t="str">
        <f t="shared" si="4"/>
        <v/>
      </c>
      <c r="H11" s="50" t="str">
        <f>_xlfn.IFNA(VLOOKUP(C:C,'Active Jobs'!B:K,8,0),"")</f>
        <v/>
      </c>
      <c r="I11" s="8">
        <v>5.75</v>
      </c>
      <c r="J11" s="50" t="str">
        <f t="shared" si="9"/>
        <v/>
      </c>
      <c r="K11" s="50" t="str">
        <f t="shared" si="0"/>
        <v/>
      </c>
      <c r="L11" s="9" t="str">
        <f t="shared" si="6"/>
        <v/>
      </c>
      <c r="M11" s="16">
        <v>1</v>
      </c>
      <c r="O11" s="23" t="str">
        <f t="shared" si="7"/>
        <v/>
      </c>
      <c r="P11" s="23" t="str">
        <f t="shared" si="7"/>
        <v/>
      </c>
      <c r="Q11" s="23" t="str">
        <f t="shared" si="7"/>
        <v/>
      </c>
      <c r="R11" s="23" t="str">
        <f t="shared" si="7"/>
        <v/>
      </c>
      <c r="S11" s="23" t="str">
        <f t="shared" si="7"/>
        <v/>
      </c>
      <c r="T11" s="10" t="str">
        <f t="shared" si="1"/>
        <v/>
      </c>
      <c r="U11" s="21"/>
      <c r="V11" s="24" t="str">
        <f t="shared" si="2"/>
        <v/>
      </c>
      <c r="W11" s="25" t="str">
        <f t="shared" si="3"/>
        <v/>
      </c>
    </row>
    <row r="12" spans="1:23" ht="25" customHeight="1">
      <c r="A12" s="37">
        <v>45785</v>
      </c>
      <c r="B12" s="15" t="s">
        <v>83</v>
      </c>
      <c r="D12" s="5"/>
      <c r="E12" s="5"/>
      <c r="F12" s="6" t="str">
        <f t="shared" si="8"/>
        <v/>
      </c>
      <c r="G12" s="6" t="str">
        <f t="shared" si="4"/>
        <v/>
      </c>
      <c r="H12" s="50" t="str">
        <f>_xlfn.IFNA(VLOOKUP(C:C,'Active Jobs'!B:K,8,0),"")</f>
        <v/>
      </c>
      <c r="I12" s="8">
        <v>7.42</v>
      </c>
      <c r="J12" s="50" t="str">
        <f t="shared" si="9"/>
        <v/>
      </c>
      <c r="K12" s="50" t="str">
        <f t="shared" si="0"/>
        <v/>
      </c>
      <c r="L12" s="9" t="str">
        <f t="shared" si="6"/>
        <v/>
      </c>
      <c r="M12" s="16">
        <v>3</v>
      </c>
      <c r="O12" s="23" t="str">
        <f t="shared" si="7"/>
        <v/>
      </c>
      <c r="P12" s="23" t="str">
        <f t="shared" si="7"/>
        <v/>
      </c>
      <c r="Q12" s="23" t="str">
        <f t="shared" si="7"/>
        <v/>
      </c>
      <c r="R12" s="23" t="str">
        <f t="shared" si="7"/>
        <v/>
      </c>
      <c r="S12" s="23" t="str">
        <f t="shared" si="7"/>
        <v/>
      </c>
      <c r="T12" s="10" t="str">
        <f t="shared" si="1"/>
        <v/>
      </c>
      <c r="V12" s="24" t="str">
        <f t="shared" si="2"/>
        <v/>
      </c>
      <c r="W12" s="25" t="str">
        <f t="shared" si="3"/>
        <v/>
      </c>
    </row>
    <row r="13" spans="1:23" ht="25" customHeight="1">
      <c r="A13" s="37">
        <v>45785</v>
      </c>
      <c r="B13" s="15" t="s">
        <v>89</v>
      </c>
      <c r="D13" s="5"/>
      <c r="E13" s="5"/>
      <c r="F13" s="6" t="str">
        <f t="shared" si="8"/>
        <v/>
      </c>
      <c r="G13" s="6" t="str">
        <f t="shared" si="4"/>
        <v/>
      </c>
      <c r="H13" s="50" t="str">
        <f>_xlfn.IFNA(VLOOKUP(C:C,'Active Jobs'!B:K,8,0),"")</f>
        <v/>
      </c>
      <c r="I13" s="8">
        <v>7</v>
      </c>
      <c r="J13" s="50" t="str">
        <f t="shared" si="9"/>
        <v/>
      </c>
      <c r="K13" s="50" t="str">
        <f t="shared" si="0"/>
        <v/>
      </c>
      <c r="L13" s="9" t="str">
        <f t="shared" si="6"/>
        <v/>
      </c>
      <c r="M13" s="16">
        <v>2</v>
      </c>
      <c r="O13" s="23" t="str">
        <f t="shared" si="7"/>
        <v/>
      </c>
      <c r="P13" s="23" t="str">
        <f t="shared" si="7"/>
        <v/>
      </c>
      <c r="Q13" s="23" t="str">
        <f t="shared" si="7"/>
        <v/>
      </c>
      <c r="R13" s="23" t="str">
        <f t="shared" si="7"/>
        <v/>
      </c>
      <c r="S13" s="23" t="str">
        <f t="shared" si="7"/>
        <v/>
      </c>
      <c r="T13" s="10" t="str">
        <f t="shared" si="1"/>
        <v/>
      </c>
      <c r="V13" s="24" t="str">
        <f t="shared" si="2"/>
        <v/>
      </c>
      <c r="W13" s="25" t="str">
        <f t="shared" si="3"/>
        <v/>
      </c>
    </row>
    <row r="14" spans="1:23" ht="25" customHeight="1">
      <c r="A14" s="37">
        <v>45786</v>
      </c>
      <c r="B14" s="15" t="s">
        <v>338</v>
      </c>
      <c r="D14" s="5"/>
      <c r="E14" s="5"/>
      <c r="F14" s="6" t="str">
        <f t="shared" si="8"/>
        <v/>
      </c>
      <c r="G14" s="6" t="str">
        <f t="shared" si="4"/>
        <v/>
      </c>
      <c r="H14" s="50" t="str">
        <f>_xlfn.IFNA(VLOOKUP(C:C,'Active Jobs'!B:K,8,0),"")</f>
        <v/>
      </c>
      <c r="I14" s="8">
        <v>9.5</v>
      </c>
      <c r="J14" s="50" t="str">
        <f t="shared" si="9"/>
        <v/>
      </c>
      <c r="K14" s="50" t="str">
        <f t="shared" si="0"/>
        <v/>
      </c>
      <c r="L14" s="9" t="str">
        <f t="shared" si="6"/>
        <v/>
      </c>
      <c r="M14" s="16">
        <v>1</v>
      </c>
      <c r="O14" s="23" t="str">
        <f t="shared" si="7"/>
        <v/>
      </c>
      <c r="P14" s="23" t="str">
        <f t="shared" si="7"/>
        <v/>
      </c>
      <c r="Q14" s="23" t="str">
        <f t="shared" si="7"/>
        <v/>
      </c>
      <c r="R14" s="23" t="str">
        <f t="shared" si="7"/>
        <v/>
      </c>
      <c r="S14" s="23" t="str">
        <f t="shared" si="7"/>
        <v/>
      </c>
      <c r="T14" s="10" t="str">
        <f t="shared" si="1"/>
        <v/>
      </c>
      <c r="V14" s="24" t="str">
        <f t="shared" si="2"/>
        <v/>
      </c>
      <c r="W14" s="25" t="str">
        <f t="shared" si="3"/>
        <v/>
      </c>
    </row>
    <row r="15" spans="1:23" ht="25" customHeight="1">
      <c r="A15" s="37">
        <v>45786</v>
      </c>
      <c r="B15" s="15" t="s">
        <v>83</v>
      </c>
      <c r="D15" s="5"/>
      <c r="E15" s="5"/>
      <c r="F15" s="6" t="str">
        <f t="shared" si="8"/>
        <v/>
      </c>
      <c r="G15" s="6" t="str">
        <f t="shared" si="4"/>
        <v/>
      </c>
      <c r="H15" s="50" t="str">
        <f>_xlfn.IFNA(VLOOKUP(C:C,'Active Jobs'!B:K,8,0),"")</f>
        <v/>
      </c>
      <c r="I15" s="8">
        <v>7.83</v>
      </c>
      <c r="J15" s="50" t="str">
        <f t="shared" si="9"/>
        <v/>
      </c>
      <c r="K15" s="50" t="str">
        <f t="shared" si="0"/>
        <v/>
      </c>
      <c r="L15" s="9" t="str">
        <f t="shared" si="6"/>
        <v/>
      </c>
      <c r="M15" s="16">
        <v>3</v>
      </c>
      <c r="O15" s="23" t="str">
        <f t="shared" si="7"/>
        <v/>
      </c>
      <c r="P15" s="23" t="str">
        <f t="shared" si="7"/>
        <v/>
      </c>
      <c r="Q15" s="23" t="str">
        <f t="shared" si="7"/>
        <v/>
      </c>
      <c r="R15" s="23" t="str">
        <f t="shared" si="7"/>
        <v/>
      </c>
      <c r="S15" s="23" t="str">
        <f t="shared" si="7"/>
        <v/>
      </c>
      <c r="T15" s="10" t="str">
        <f t="shared" si="1"/>
        <v/>
      </c>
      <c r="V15" s="24" t="str">
        <f t="shared" si="2"/>
        <v/>
      </c>
      <c r="W15" s="25" t="str">
        <f t="shared" si="3"/>
        <v/>
      </c>
    </row>
    <row r="16" spans="1:23" ht="25" customHeight="1">
      <c r="A16" s="37">
        <v>45786</v>
      </c>
      <c r="B16" s="15" t="s">
        <v>89</v>
      </c>
      <c r="D16" s="5"/>
      <c r="E16" s="5"/>
      <c r="F16" s="6" t="str">
        <f t="shared" si="8"/>
        <v/>
      </c>
      <c r="G16" s="6" t="str">
        <f t="shared" si="4"/>
        <v/>
      </c>
      <c r="H16" s="50" t="str">
        <f>_xlfn.IFNA(VLOOKUP(C:C,'Active Jobs'!B:K,8,0),"")</f>
        <v/>
      </c>
      <c r="I16" s="8">
        <v>8.67</v>
      </c>
      <c r="J16" s="50" t="str">
        <f t="shared" si="9"/>
        <v/>
      </c>
      <c r="K16" s="50" t="str">
        <f t="shared" si="0"/>
        <v/>
      </c>
      <c r="L16" s="9" t="str">
        <f t="shared" si="6"/>
        <v/>
      </c>
      <c r="M16" s="16">
        <v>2</v>
      </c>
      <c r="O16" s="23" t="str">
        <f t="shared" si="7"/>
        <v/>
      </c>
      <c r="P16" s="23" t="str">
        <f t="shared" si="7"/>
        <v/>
      </c>
      <c r="Q16" s="23" t="str">
        <f t="shared" si="7"/>
        <v/>
      </c>
      <c r="R16" s="23" t="str">
        <f t="shared" si="7"/>
        <v/>
      </c>
      <c r="S16" s="23" t="str">
        <f t="shared" si="7"/>
        <v/>
      </c>
      <c r="T16" s="10" t="str">
        <f t="shared" si="1"/>
        <v/>
      </c>
      <c r="V16" s="24" t="str">
        <f t="shared" si="2"/>
        <v/>
      </c>
      <c r="W16" s="25" t="str">
        <f t="shared" si="3"/>
        <v/>
      </c>
    </row>
    <row r="17" spans="2:23" ht="25" customHeight="1">
      <c r="B17" s="15"/>
      <c r="D17" s="5"/>
      <c r="E17" s="5"/>
      <c r="F17" s="6" t="str">
        <f t="shared" si="8"/>
        <v/>
      </c>
      <c r="G17" s="6" t="str">
        <f t="shared" si="4"/>
        <v/>
      </c>
      <c r="H17" s="50" t="str">
        <f>_xlfn.IFNA(VLOOKUP(C:C,'Active Jobs'!B:K,8,0),"")</f>
        <v/>
      </c>
      <c r="I17" s="8" t="str">
        <f t="shared" si="5"/>
        <v/>
      </c>
      <c r="J17" s="50" t="str">
        <f t="shared" si="9"/>
        <v/>
      </c>
      <c r="K17" s="50" t="str">
        <f t="shared" si="0"/>
        <v/>
      </c>
      <c r="L17" s="9" t="str">
        <f t="shared" si="6"/>
        <v/>
      </c>
      <c r="O17" s="23" t="str">
        <f t="shared" si="7"/>
        <v/>
      </c>
      <c r="P17" s="23" t="str">
        <f t="shared" si="7"/>
        <v/>
      </c>
      <c r="Q17" s="23" t="str">
        <f t="shared" si="7"/>
        <v/>
      </c>
      <c r="R17" s="23" t="str">
        <f t="shared" si="7"/>
        <v/>
      </c>
      <c r="S17" s="23" t="str">
        <f t="shared" si="7"/>
        <v/>
      </c>
      <c r="T17" s="10" t="str">
        <f t="shared" si="1"/>
        <v/>
      </c>
      <c r="V17" s="24" t="str">
        <f t="shared" si="2"/>
        <v/>
      </c>
      <c r="W17" s="25" t="str">
        <f t="shared" si="3"/>
        <v/>
      </c>
    </row>
    <row r="18" spans="2:23" ht="25" customHeight="1">
      <c r="B18" s="15"/>
      <c r="D18" s="5"/>
      <c r="E18" s="5"/>
      <c r="F18" s="6" t="str">
        <f t="shared" ref="F18:F20" si="10">IF(E18="","","No")</f>
        <v/>
      </c>
      <c r="G18" s="6" t="str">
        <f t="shared" ref="G18:G20" si="11">IF(E18="","",IF(F18="Yes",(E18-D18)-TIME(0,30,0),E18-D18))</f>
        <v/>
      </c>
      <c r="H18" s="50" t="str">
        <f>_xlfn.IFNA(VLOOKUP(C:C,'Active Jobs'!B:K,8,0),"")</f>
        <v/>
      </c>
      <c r="I18" s="8" t="str">
        <f t="shared" ref="I18:I20" si="12">IF(F18="Yes",(E18-D18)*24-0.5,IF(F18="No",(E18-D18)*24,""))</f>
        <v/>
      </c>
      <c r="J18" s="50" t="str">
        <f t="shared" ref="J18:J20" si="13">IF(G18="","",G18*24*HourlyRate*2*(1+Super))</f>
        <v/>
      </c>
      <c r="K18" s="50" t="str">
        <f t="shared" ref="K18:K20" si="14">IF(H18="","",IF(E18="","",IF(J18=0,0,H18-J18)))</f>
        <v/>
      </c>
      <c r="L18" s="9" t="str">
        <f t="shared" ref="L18:L20" si="15">IF(K18="","",IF(H18=0,1,J18/H18))</f>
        <v/>
      </c>
      <c r="O18" s="23" t="str">
        <f t="shared" si="7"/>
        <v/>
      </c>
      <c r="P18" s="23" t="str">
        <f t="shared" si="7"/>
        <v/>
      </c>
      <c r="Q18" s="23" t="str">
        <f t="shared" si="7"/>
        <v/>
      </c>
      <c r="R18" s="23" t="str">
        <f t="shared" si="7"/>
        <v/>
      </c>
      <c r="S18" s="23" t="str">
        <f t="shared" si="7"/>
        <v/>
      </c>
      <c r="T18" s="10" t="str">
        <f t="shared" si="1"/>
        <v/>
      </c>
      <c r="V18" s="24" t="str">
        <f t="shared" si="2"/>
        <v/>
      </c>
      <c r="W18" s="25" t="str">
        <f t="shared" si="3"/>
        <v/>
      </c>
    </row>
    <row r="19" spans="2:23" ht="25" customHeight="1">
      <c r="B19" s="15"/>
      <c r="D19" s="5"/>
      <c r="E19" s="5"/>
      <c r="F19" s="6" t="str">
        <f t="shared" si="10"/>
        <v/>
      </c>
      <c r="G19" s="6" t="str">
        <f t="shared" si="11"/>
        <v/>
      </c>
      <c r="H19" s="50" t="str">
        <f>_xlfn.IFNA(VLOOKUP(C:C,'Active Jobs'!B:K,8,0),"")</f>
        <v/>
      </c>
      <c r="I19" s="8" t="str">
        <f t="shared" si="12"/>
        <v/>
      </c>
      <c r="J19" s="50" t="str">
        <f t="shared" si="13"/>
        <v/>
      </c>
      <c r="K19" s="50" t="str">
        <f t="shared" si="14"/>
        <v/>
      </c>
      <c r="L19" s="9" t="str">
        <f t="shared" si="15"/>
        <v/>
      </c>
      <c r="O19" s="23" t="str">
        <f t="shared" ref="O19:S34" si="16">IF(N19="","",ROUND(SUMIFS($I:$I,$A:$A,O$1,$B:$B,"*"&amp;$N19&amp;"*"),2))</f>
        <v/>
      </c>
      <c r="P19" s="23" t="str">
        <f t="shared" si="16"/>
        <v/>
      </c>
      <c r="Q19" s="23" t="str">
        <f t="shared" si="16"/>
        <v/>
      </c>
      <c r="R19" s="23" t="str">
        <f t="shared" si="16"/>
        <v/>
      </c>
      <c r="S19" s="23" t="str">
        <f t="shared" si="16"/>
        <v/>
      </c>
      <c r="T19" s="74" t="str">
        <f t="shared" si="1"/>
        <v/>
      </c>
    </row>
    <row r="20" spans="2:23" ht="25" customHeight="1">
      <c r="B20" s="15"/>
      <c r="D20" s="5"/>
      <c r="E20" s="5"/>
      <c r="F20" s="6" t="str">
        <f t="shared" si="10"/>
        <v/>
      </c>
      <c r="G20" s="6" t="str">
        <f t="shared" si="11"/>
        <v/>
      </c>
      <c r="H20" s="50" t="str">
        <f>_xlfn.IFNA(VLOOKUP(C:C,'Active Jobs'!B:K,8,0),"")</f>
        <v/>
      </c>
      <c r="I20" s="8" t="str">
        <f t="shared" si="12"/>
        <v/>
      </c>
      <c r="J20" s="50" t="str">
        <f t="shared" si="13"/>
        <v/>
      </c>
      <c r="K20" s="50" t="str">
        <f t="shared" si="14"/>
        <v/>
      </c>
      <c r="L20" s="9" t="str">
        <f t="shared" si="15"/>
        <v/>
      </c>
      <c r="O20" s="23" t="str">
        <f t="shared" si="16"/>
        <v/>
      </c>
      <c r="P20" s="23" t="str">
        <f t="shared" si="16"/>
        <v/>
      </c>
      <c r="Q20" s="23" t="str">
        <f t="shared" si="16"/>
        <v/>
      </c>
      <c r="R20" s="23" t="str">
        <f t="shared" si="16"/>
        <v/>
      </c>
      <c r="S20" s="23" t="str">
        <f t="shared" si="16"/>
        <v/>
      </c>
      <c r="T20" s="74" t="str">
        <f t="shared" si="1"/>
        <v/>
      </c>
    </row>
    <row r="21" spans="2:23" ht="25" customHeight="1">
      <c r="B21" s="15"/>
      <c r="D21" s="5"/>
      <c r="E21" s="5"/>
      <c r="F21" s="6" t="str">
        <f t="shared" si="8"/>
        <v/>
      </c>
      <c r="G21" s="6" t="str">
        <f t="shared" si="4"/>
        <v/>
      </c>
      <c r="H21" s="50" t="str">
        <f>_xlfn.IFNA(VLOOKUP(C:C,'Active Jobs'!B:K,8,0),"")</f>
        <v/>
      </c>
      <c r="I21" s="8" t="str">
        <f t="shared" si="5"/>
        <v/>
      </c>
      <c r="J21" s="50" t="str">
        <f t="shared" si="9"/>
        <v/>
      </c>
      <c r="K21" s="50" t="str">
        <f t="shared" si="0"/>
        <v/>
      </c>
      <c r="L21" s="9" t="str">
        <f t="shared" si="6"/>
        <v/>
      </c>
      <c r="O21" s="23" t="str">
        <f t="shared" si="16"/>
        <v/>
      </c>
      <c r="P21" s="23" t="str">
        <f t="shared" si="16"/>
        <v/>
      </c>
      <c r="Q21" s="23" t="str">
        <f t="shared" si="16"/>
        <v/>
      </c>
      <c r="R21" s="23" t="str">
        <f t="shared" si="16"/>
        <v/>
      </c>
      <c r="S21" s="23" t="str">
        <f t="shared" si="16"/>
        <v/>
      </c>
      <c r="T21" s="74" t="str">
        <f t="shared" si="1"/>
        <v/>
      </c>
    </row>
    <row r="22" spans="2:23" ht="25" customHeight="1">
      <c r="B22" s="15"/>
      <c r="D22" s="5"/>
      <c r="E22" s="5"/>
      <c r="F22" s="6" t="str">
        <f t="shared" si="8"/>
        <v/>
      </c>
      <c r="G22" s="6" t="str">
        <f t="shared" si="4"/>
        <v/>
      </c>
      <c r="H22" s="50" t="str">
        <f>_xlfn.IFNA(VLOOKUP(C:C,'Active Jobs'!B:K,8,0),"")</f>
        <v/>
      </c>
      <c r="I22" s="8" t="str">
        <f t="shared" si="5"/>
        <v/>
      </c>
      <c r="J22" s="50" t="str">
        <f t="shared" si="9"/>
        <v/>
      </c>
      <c r="K22" s="50" t="str">
        <f t="shared" si="0"/>
        <v/>
      </c>
      <c r="L22" s="9" t="str">
        <f t="shared" si="6"/>
        <v/>
      </c>
      <c r="O22" s="23" t="str">
        <f t="shared" si="16"/>
        <v/>
      </c>
      <c r="P22" s="23" t="str">
        <f t="shared" si="16"/>
        <v/>
      </c>
      <c r="Q22" s="23" t="str">
        <f t="shared" si="16"/>
        <v/>
      </c>
      <c r="R22" s="23" t="str">
        <f t="shared" si="16"/>
        <v/>
      </c>
      <c r="S22" s="23" t="str">
        <f t="shared" si="16"/>
        <v/>
      </c>
      <c r="T22" s="74" t="str">
        <f t="shared" si="1"/>
        <v/>
      </c>
    </row>
    <row r="23" spans="2:23" ht="25" customHeight="1">
      <c r="B23" s="15"/>
      <c r="D23" s="5"/>
      <c r="E23" s="5"/>
      <c r="F23" s="6" t="str">
        <f t="shared" si="8"/>
        <v/>
      </c>
      <c r="G23" s="6" t="str">
        <f t="shared" si="4"/>
        <v/>
      </c>
      <c r="H23" s="50" t="str">
        <f>_xlfn.IFNA(VLOOKUP(C:C,'Active Jobs'!B:K,8,0),"")</f>
        <v/>
      </c>
      <c r="I23" s="8" t="str">
        <f t="shared" si="5"/>
        <v/>
      </c>
      <c r="J23" s="50" t="str">
        <f t="shared" si="9"/>
        <v/>
      </c>
      <c r="K23" s="50" t="str">
        <f t="shared" si="0"/>
        <v/>
      </c>
      <c r="L23" s="9" t="str">
        <f t="shared" si="6"/>
        <v/>
      </c>
      <c r="O23" s="23" t="str">
        <f t="shared" si="16"/>
        <v/>
      </c>
      <c r="P23" s="23" t="str">
        <f t="shared" si="16"/>
        <v/>
      </c>
      <c r="Q23" s="23" t="str">
        <f t="shared" si="16"/>
        <v/>
      </c>
      <c r="R23" s="23" t="str">
        <f t="shared" si="16"/>
        <v/>
      </c>
      <c r="S23" s="23" t="str">
        <f t="shared" si="16"/>
        <v/>
      </c>
      <c r="T23" s="74" t="str">
        <f t="shared" si="1"/>
        <v/>
      </c>
    </row>
    <row r="24" spans="2:23" ht="25" customHeight="1">
      <c r="B24" s="15"/>
      <c r="D24" s="5"/>
      <c r="E24" s="5"/>
      <c r="F24" s="6" t="str">
        <f t="shared" si="8"/>
        <v/>
      </c>
      <c r="G24" s="6" t="str">
        <f t="shared" si="4"/>
        <v/>
      </c>
      <c r="H24" s="50" t="str">
        <f>_xlfn.IFNA(VLOOKUP(C:C,'Active Jobs'!B:K,8,0),"")</f>
        <v/>
      </c>
      <c r="I24" s="8" t="str">
        <f t="shared" si="5"/>
        <v/>
      </c>
      <c r="J24" s="50" t="str">
        <f t="shared" si="9"/>
        <v/>
      </c>
      <c r="K24" s="50" t="str">
        <f t="shared" si="0"/>
        <v/>
      </c>
      <c r="L24" s="9" t="str">
        <f t="shared" si="6"/>
        <v/>
      </c>
      <c r="O24" s="23" t="str">
        <f t="shared" si="16"/>
        <v/>
      </c>
      <c r="P24" s="23" t="str">
        <f t="shared" si="16"/>
        <v/>
      </c>
      <c r="Q24" s="23" t="str">
        <f t="shared" si="16"/>
        <v/>
      </c>
      <c r="R24" s="23" t="str">
        <f t="shared" si="16"/>
        <v/>
      </c>
      <c r="S24" s="23" t="str">
        <f t="shared" si="16"/>
        <v/>
      </c>
      <c r="T24" s="74" t="str">
        <f t="shared" si="1"/>
        <v/>
      </c>
    </row>
    <row r="25" spans="2:23" ht="25" customHeight="1">
      <c r="B25" s="15"/>
      <c r="D25" s="5"/>
      <c r="E25" s="5"/>
      <c r="F25" s="6" t="str">
        <f t="shared" si="8"/>
        <v/>
      </c>
      <c r="G25" s="6" t="str">
        <f t="shared" si="4"/>
        <v/>
      </c>
      <c r="H25" s="50" t="str">
        <f>_xlfn.IFNA(VLOOKUP(C:C,'Active Jobs'!B:K,8,0),"")</f>
        <v/>
      </c>
      <c r="I25" s="8" t="str">
        <f t="shared" si="5"/>
        <v/>
      </c>
      <c r="J25" s="50" t="str">
        <f t="shared" si="9"/>
        <v/>
      </c>
      <c r="K25" s="50" t="str">
        <f t="shared" si="0"/>
        <v/>
      </c>
      <c r="L25" s="9" t="str">
        <f t="shared" si="6"/>
        <v/>
      </c>
      <c r="O25" s="23" t="str">
        <f t="shared" si="16"/>
        <v/>
      </c>
      <c r="P25" s="23" t="str">
        <f t="shared" si="16"/>
        <v/>
      </c>
      <c r="Q25" s="23" t="str">
        <f t="shared" si="16"/>
        <v/>
      </c>
      <c r="R25" s="23" t="str">
        <f t="shared" si="16"/>
        <v/>
      </c>
      <c r="S25" s="23" t="str">
        <f t="shared" si="16"/>
        <v/>
      </c>
      <c r="T25" s="74" t="str">
        <f t="shared" si="1"/>
        <v/>
      </c>
    </row>
    <row r="26" spans="2:23" ht="25" customHeight="1">
      <c r="B26" s="15"/>
      <c r="D26" s="5"/>
      <c r="E26" s="5"/>
      <c r="F26" s="6" t="str">
        <f t="shared" si="8"/>
        <v/>
      </c>
      <c r="G26" s="6" t="str">
        <f t="shared" si="4"/>
        <v/>
      </c>
      <c r="H26" s="50" t="str">
        <f>_xlfn.IFNA(VLOOKUP(C:C,'Active Jobs'!B:K,8,0),"")</f>
        <v/>
      </c>
      <c r="I26" s="8" t="str">
        <f t="shared" si="5"/>
        <v/>
      </c>
      <c r="J26" s="50" t="str">
        <f t="shared" si="9"/>
        <v/>
      </c>
      <c r="K26" s="50" t="str">
        <f t="shared" si="0"/>
        <v/>
      </c>
      <c r="L26" s="9" t="str">
        <f t="shared" si="6"/>
        <v/>
      </c>
      <c r="O26" s="23" t="str">
        <f t="shared" si="16"/>
        <v/>
      </c>
      <c r="P26" s="23" t="str">
        <f t="shared" si="16"/>
        <v/>
      </c>
      <c r="Q26" s="23" t="str">
        <f t="shared" si="16"/>
        <v/>
      </c>
      <c r="R26" s="23" t="str">
        <f t="shared" si="16"/>
        <v/>
      </c>
      <c r="S26" s="23" t="str">
        <f t="shared" si="16"/>
        <v/>
      </c>
      <c r="T26" s="74" t="str">
        <f t="shared" si="1"/>
        <v/>
      </c>
    </row>
    <row r="27" spans="2:23" ht="25" customHeight="1">
      <c r="B27" s="15"/>
      <c r="D27" s="5"/>
      <c r="E27" s="5"/>
      <c r="F27" s="6" t="str">
        <f t="shared" si="8"/>
        <v/>
      </c>
      <c r="G27" s="6" t="str">
        <f t="shared" si="4"/>
        <v/>
      </c>
      <c r="H27" s="50" t="str">
        <f>_xlfn.IFNA(VLOOKUP(C:C,'Active Jobs'!B:K,8,0),"")</f>
        <v/>
      </c>
      <c r="I27" s="8" t="str">
        <f t="shared" si="5"/>
        <v/>
      </c>
      <c r="J27" s="50" t="str">
        <f t="shared" si="9"/>
        <v/>
      </c>
      <c r="K27" s="50" t="str">
        <f t="shared" si="0"/>
        <v/>
      </c>
      <c r="L27" s="9" t="str">
        <f t="shared" si="6"/>
        <v/>
      </c>
      <c r="O27" s="23" t="str">
        <f t="shared" si="16"/>
        <v/>
      </c>
      <c r="P27" s="23" t="str">
        <f t="shared" si="16"/>
        <v/>
      </c>
      <c r="Q27" s="23" t="str">
        <f t="shared" si="16"/>
        <v/>
      </c>
      <c r="R27" s="23" t="str">
        <f t="shared" si="16"/>
        <v/>
      </c>
      <c r="S27" s="23" t="str">
        <f t="shared" si="16"/>
        <v/>
      </c>
      <c r="T27" s="74" t="str">
        <f t="shared" si="1"/>
        <v/>
      </c>
    </row>
    <row r="28" spans="2:23" ht="25" customHeight="1">
      <c r="B28" s="15"/>
      <c r="D28" s="5"/>
      <c r="E28" s="5"/>
      <c r="F28" s="6" t="str">
        <f t="shared" si="8"/>
        <v/>
      </c>
      <c r="G28" s="6" t="str">
        <f t="shared" si="4"/>
        <v/>
      </c>
      <c r="H28" s="50" t="str">
        <f>_xlfn.IFNA(VLOOKUP(C:C,'Active Jobs'!B:K,8,0),"")</f>
        <v/>
      </c>
      <c r="I28" s="8" t="str">
        <f t="shared" si="5"/>
        <v/>
      </c>
      <c r="J28" s="50" t="str">
        <f t="shared" si="9"/>
        <v/>
      </c>
      <c r="K28" s="50" t="str">
        <f t="shared" si="0"/>
        <v/>
      </c>
      <c r="L28" s="9" t="str">
        <f t="shared" si="6"/>
        <v/>
      </c>
      <c r="O28" s="23" t="str">
        <f t="shared" si="16"/>
        <v/>
      </c>
      <c r="P28" s="23" t="str">
        <f t="shared" si="16"/>
        <v/>
      </c>
      <c r="Q28" s="23" t="str">
        <f t="shared" si="16"/>
        <v/>
      </c>
      <c r="R28" s="23" t="str">
        <f t="shared" si="16"/>
        <v/>
      </c>
      <c r="S28" s="23" t="str">
        <f t="shared" si="16"/>
        <v/>
      </c>
      <c r="T28" s="74" t="str">
        <f t="shared" si="1"/>
        <v/>
      </c>
    </row>
    <row r="29" spans="2:23" ht="25" customHeight="1">
      <c r="B29" s="15"/>
      <c r="D29" s="5"/>
      <c r="E29" s="5"/>
      <c r="F29" s="6" t="str">
        <f t="shared" si="8"/>
        <v/>
      </c>
      <c r="G29" s="6" t="str">
        <f t="shared" si="4"/>
        <v/>
      </c>
      <c r="H29" s="50" t="str">
        <f>_xlfn.IFNA(VLOOKUP(C:C,'Active Jobs'!B:K,8,0),"")</f>
        <v/>
      </c>
      <c r="I29" s="8" t="str">
        <f t="shared" si="5"/>
        <v/>
      </c>
      <c r="J29" s="50" t="str">
        <f t="shared" si="9"/>
        <v/>
      </c>
      <c r="K29" s="50" t="str">
        <f t="shared" si="0"/>
        <v/>
      </c>
      <c r="L29" s="9" t="str">
        <f t="shared" si="6"/>
        <v/>
      </c>
      <c r="O29" s="23" t="str">
        <f t="shared" si="16"/>
        <v/>
      </c>
      <c r="P29" s="23" t="str">
        <f t="shared" si="16"/>
        <v/>
      </c>
      <c r="Q29" s="23" t="str">
        <f t="shared" si="16"/>
        <v/>
      </c>
      <c r="R29" s="23" t="str">
        <f t="shared" si="16"/>
        <v/>
      </c>
      <c r="S29" s="23" t="str">
        <f t="shared" si="16"/>
        <v/>
      </c>
      <c r="T29" s="74" t="str">
        <f t="shared" si="1"/>
        <v/>
      </c>
    </row>
    <row r="30" spans="2:23" ht="25" customHeight="1">
      <c r="B30" s="15"/>
      <c r="D30" s="5"/>
      <c r="E30" s="5"/>
      <c r="F30" s="6" t="str">
        <f t="shared" si="8"/>
        <v/>
      </c>
      <c r="G30" s="6" t="str">
        <f t="shared" si="4"/>
        <v/>
      </c>
      <c r="H30" s="50" t="str">
        <f>_xlfn.IFNA(VLOOKUP(C:C,'Active Jobs'!B:K,8,0),"")</f>
        <v/>
      </c>
      <c r="I30" s="8" t="str">
        <f t="shared" si="5"/>
        <v/>
      </c>
      <c r="J30" s="50" t="str">
        <f t="shared" si="9"/>
        <v/>
      </c>
      <c r="K30" s="50" t="str">
        <f t="shared" si="0"/>
        <v/>
      </c>
      <c r="L30" s="9" t="str">
        <f t="shared" si="6"/>
        <v/>
      </c>
      <c r="O30" s="23" t="str">
        <f t="shared" si="16"/>
        <v/>
      </c>
      <c r="P30" s="23" t="str">
        <f t="shared" si="16"/>
        <v/>
      </c>
      <c r="Q30" s="23" t="str">
        <f t="shared" si="16"/>
        <v/>
      </c>
      <c r="R30" s="23" t="str">
        <f t="shared" si="16"/>
        <v/>
      </c>
      <c r="S30" s="23" t="str">
        <f t="shared" si="16"/>
        <v/>
      </c>
      <c r="T30" s="74" t="str">
        <f t="shared" si="1"/>
        <v/>
      </c>
    </row>
    <row r="31" spans="2:23" ht="25" customHeight="1">
      <c r="B31" s="15"/>
      <c r="D31" s="5"/>
      <c r="E31" s="5"/>
      <c r="F31" s="6" t="str">
        <f t="shared" si="8"/>
        <v/>
      </c>
      <c r="G31" s="6" t="str">
        <f t="shared" si="4"/>
        <v/>
      </c>
      <c r="H31" s="50" t="str">
        <f>_xlfn.IFNA(VLOOKUP(C:C,'Active Jobs'!B:K,8,0),"")</f>
        <v/>
      </c>
      <c r="I31" s="8" t="str">
        <f t="shared" si="5"/>
        <v/>
      </c>
      <c r="J31" s="50" t="str">
        <f t="shared" si="9"/>
        <v/>
      </c>
      <c r="K31" s="50" t="str">
        <f t="shared" si="0"/>
        <v/>
      </c>
      <c r="L31" s="9" t="str">
        <f t="shared" si="6"/>
        <v/>
      </c>
      <c r="O31" s="23" t="str">
        <f t="shared" si="16"/>
        <v/>
      </c>
      <c r="P31" s="23" t="str">
        <f t="shared" si="16"/>
        <v/>
      </c>
      <c r="Q31" s="23" t="str">
        <f t="shared" si="16"/>
        <v/>
      </c>
      <c r="R31" s="23" t="str">
        <f t="shared" si="16"/>
        <v/>
      </c>
      <c r="S31" s="23" t="str">
        <f t="shared" si="16"/>
        <v/>
      </c>
      <c r="T31" s="74" t="str">
        <f t="shared" si="1"/>
        <v/>
      </c>
    </row>
    <row r="32" spans="2:23" ht="25" customHeight="1">
      <c r="B32" s="15"/>
      <c r="D32" s="5"/>
      <c r="E32" s="5"/>
      <c r="F32" s="6" t="str">
        <f t="shared" si="8"/>
        <v/>
      </c>
      <c r="G32" s="6" t="str">
        <f t="shared" si="4"/>
        <v/>
      </c>
      <c r="H32" s="50" t="str">
        <f>_xlfn.IFNA(VLOOKUP(C:C,'Active Jobs'!B:K,8,0),"")</f>
        <v/>
      </c>
      <c r="I32" s="8" t="str">
        <f t="shared" si="5"/>
        <v/>
      </c>
      <c r="J32" s="50" t="str">
        <f t="shared" si="9"/>
        <v/>
      </c>
      <c r="K32" s="50" t="str">
        <f t="shared" si="0"/>
        <v/>
      </c>
      <c r="L32" s="9" t="str">
        <f t="shared" si="6"/>
        <v/>
      </c>
      <c r="O32" s="23" t="str">
        <f t="shared" si="16"/>
        <v/>
      </c>
      <c r="P32" s="23" t="str">
        <f t="shared" si="16"/>
        <v/>
      </c>
      <c r="Q32" s="23" t="str">
        <f t="shared" si="16"/>
        <v/>
      </c>
      <c r="R32" s="23" t="str">
        <f t="shared" si="16"/>
        <v/>
      </c>
      <c r="S32" s="23" t="str">
        <f t="shared" si="16"/>
        <v/>
      </c>
      <c r="T32" s="74" t="str">
        <f t="shared" si="1"/>
        <v/>
      </c>
    </row>
    <row r="33" spans="2:20" ht="25" customHeight="1">
      <c r="B33" s="15"/>
      <c r="D33" s="5"/>
      <c r="E33" s="5"/>
      <c r="F33" s="6" t="str">
        <f t="shared" si="8"/>
        <v/>
      </c>
      <c r="G33" s="6" t="str">
        <f t="shared" si="4"/>
        <v/>
      </c>
      <c r="H33" s="50" t="str">
        <f>_xlfn.IFNA(VLOOKUP(C:C,'Active Jobs'!B:K,8,0),"")</f>
        <v/>
      </c>
      <c r="I33" s="8" t="str">
        <f t="shared" si="5"/>
        <v/>
      </c>
      <c r="J33" s="50" t="str">
        <f t="shared" si="9"/>
        <v/>
      </c>
      <c r="K33" s="50" t="str">
        <f t="shared" si="0"/>
        <v/>
      </c>
      <c r="L33" s="9" t="str">
        <f t="shared" si="6"/>
        <v/>
      </c>
      <c r="O33" s="23" t="str">
        <f t="shared" si="16"/>
        <v/>
      </c>
      <c r="P33" s="23" t="str">
        <f t="shared" si="16"/>
        <v/>
      </c>
      <c r="Q33" s="23" t="str">
        <f t="shared" si="16"/>
        <v/>
      </c>
      <c r="R33" s="23" t="str">
        <f t="shared" si="16"/>
        <v/>
      </c>
      <c r="S33" s="23" t="str">
        <f t="shared" si="16"/>
        <v/>
      </c>
      <c r="T33" s="74" t="str">
        <f t="shared" si="1"/>
        <v/>
      </c>
    </row>
    <row r="34" spans="2:20" ht="25" customHeight="1">
      <c r="B34" s="15"/>
      <c r="D34" s="5"/>
      <c r="E34" s="5"/>
      <c r="F34" s="6" t="str">
        <f t="shared" si="8"/>
        <v/>
      </c>
      <c r="G34" s="6" t="str">
        <f t="shared" si="4"/>
        <v/>
      </c>
      <c r="H34" s="50" t="str">
        <f>_xlfn.IFNA(VLOOKUP(C:C,'Active Jobs'!B:K,8,0),"")</f>
        <v/>
      </c>
      <c r="I34" s="8" t="str">
        <f t="shared" si="5"/>
        <v/>
      </c>
      <c r="J34" s="50" t="str">
        <f t="shared" si="9"/>
        <v/>
      </c>
      <c r="K34" s="50" t="str">
        <f t="shared" si="0"/>
        <v/>
      </c>
      <c r="L34" s="9" t="str">
        <f t="shared" si="6"/>
        <v/>
      </c>
      <c r="O34" s="23" t="str">
        <f t="shared" si="16"/>
        <v/>
      </c>
      <c r="P34" s="23" t="str">
        <f t="shared" si="16"/>
        <v/>
      </c>
      <c r="Q34" s="23" t="str">
        <f t="shared" si="16"/>
        <v/>
      </c>
      <c r="R34" s="23" t="str">
        <f t="shared" si="16"/>
        <v/>
      </c>
      <c r="S34" s="23" t="str">
        <f t="shared" si="16"/>
        <v/>
      </c>
      <c r="T34" s="74" t="str">
        <f t="shared" si="1"/>
        <v/>
      </c>
    </row>
    <row r="35" spans="2:20" ht="25" customHeight="1">
      <c r="B35" s="15"/>
      <c r="D35" s="5"/>
      <c r="E35" s="5"/>
      <c r="F35" s="6" t="str">
        <f t="shared" si="8"/>
        <v/>
      </c>
      <c r="G35" s="6" t="str">
        <f t="shared" si="4"/>
        <v/>
      </c>
      <c r="H35" s="50" t="str">
        <f>_xlfn.IFNA(VLOOKUP(C:C,'Active Jobs'!B:K,8,0),"")</f>
        <v/>
      </c>
      <c r="I35" s="8" t="str">
        <f t="shared" si="5"/>
        <v/>
      </c>
      <c r="J35" s="50" t="str">
        <f t="shared" si="9"/>
        <v/>
      </c>
      <c r="K35" s="50" t="str">
        <f t="shared" si="0"/>
        <v/>
      </c>
      <c r="L35" s="9" t="str">
        <f t="shared" si="6"/>
        <v/>
      </c>
      <c r="O35" s="23" t="str">
        <f t="shared" ref="O35:S42" si="17">IF(N35="","",ROUND(SUMIFS($I:$I,$A:$A,O$1,$B:$B,"*"&amp;$N35&amp;"*"),2))</f>
        <v/>
      </c>
      <c r="P35" s="23" t="str">
        <f t="shared" si="17"/>
        <v/>
      </c>
      <c r="Q35" s="23" t="str">
        <f t="shared" si="17"/>
        <v/>
      </c>
      <c r="R35" s="23" t="str">
        <f t="shared" si="17"/>
        <v/>
      </c>
      <c r="S35" s="23" t="str">
        <f t="shared" si="17"/>
        <v/>
      </c>
      <c r="T35" s="74" t="str">
        <f t="shared" si="1"/>
        <v/>
      </c>
    </row>
    <row r="36" spans="2:20" ht="25" customHeight="1">
      <c r="B36" s="15"/>
      <c r="D36" s="5"/>
      <c r="E36" s="5"/>
      <c r="F36" s="6" t="str">
        <f t="shared" si="8"/>
        <v/>
      </c>
      <c r="G36" s="6" t="str">
        <f t="shared" si="4"/>
        <v/>
      </c>
      <c r="H36" s="50" t="str">
        <f>_xlfn.IFNA(VLOOKUP(C:C,'Active Jobs'!B:K,8,0),"")</f>
        <v/>
      </c>
      <c r="I36" s="8" t="str">
        <f t="shared" si="5"/>
        <v/>
      </c>
      <c r="J36" s="50" t="str">
        <f t="shared" si="9"/>
        <v/>
      </c>
      <c r="K36" s="50" t="str">
        <f t="shared" si="0"/>
        <v/>
      </c>
      <c r="L36" s="9" t="str">
        <f t="shared" si="6"/>
        <v/>
      </c>
      <c r="O36" s="23" t="str">
        <f t="shared" si="17"/>
        <v/>
      </c>
      <c r="P36" s="23" t="str">
        <f t="shared" si="17"/>
        <v/>
      </c>
      <c r="Q36" s="23" t="str">
        <f t="shared" si="17"/>
        <v/>
      </c>
      <c r="R36" s="23" t="str">
        <f t="shared" si="17"/>
        <v/>
      </c>
      <c r="S36" s="23" t="str">
        <f t="shared" si="17"/>
        <v/>
      </c>
      <c r="T36" s="74" t="str">
        <f t="shared" si="1"/>
        <v/>
      </c>
    </row>
    <row r="37" spans="2:20" ht="25" customHeight="1">
      <c r="B37" s="15"/>
      <c r="D37" s="5"/>
      <c r="E37" s="5"/>
      <c r="F37" s="6" t="str">
        <f t="shared" si="8"/>
        <v/>
      </c>
      <c r="G37" s="6" t="str">
        <f t="shared" si="4"/>
        <v/>
      </c>
      <c r="H37" s="50" t="str">
        <f>_xlfn.IFNA(VLOOKUP(C:C,'Active Jobs'!B:K,8,0),"")</f>
        <v/>
      </c>
      <c r="I37" s="8" t="str">
        <f t="shared" si="5"/>
        <v/>
      </c>
      <c r="J37" s="50" t="str">
        <f t="shared" si="9"/>
        <v/>
      </c>
      <c r="K37" s="50" t="str">
        <f t="shared" si="0"/>
        <v/>
      </c>
      <c r="L37" s="9" t="str">
        <f t="shared" si="6"/>
        <v/>
      </c>
      <c r="O37" s="23" t="str">
        <f t="shared" si="17"/>
        <v/>
      </c>
      <c r="P37" s="23" t="str">
        <f t="shared" si="17"/>
        <v/>
      </c>
      <c r="Q37" s="23" t="str">
        <f t="shared" si="17"/>
        <v/>
      </c>
      <c r="R37" s="23" t="str">
        <f t="shared" si="17"/>
        <v/>
      </c>
      <c r="S37" s="23" t="str">
        <f t="shared" si="17"/>
        <v/>
      </c>
      <c r="T37" s="74" t="str">
        <f t="shared" si="1"/>
        <v/>
      </c>
    </row>
    <row r="38" spans="2:20" ht="25" customHeight="1">
      <c r="B38" s="15"/>
      <c r="D38" s="5"/>
      <c r="E38" s="5"/>
      <c r="F38" s="6" t="str">
        <f t="shared" si="8"/>
        <v/>
      </c>
      <c r="G38" s="6" t="str">
        <f t="shared" si="4"/>
        <v/>
      </c>
      <c r="H38" s="50" t="str">
        <f>_xlfn.IFNA(VLOOKUP(C:C,'Active Jobs'!B:K,8,0),"")</f>
        <v/>
      </c>
      <c r="I38" s="8" t="str">
        <f t="shared" si="5"/>
        <v/>
      </c>
      <c r="J38" s="50" t="str">
        <f t="shared" si="9"/>
        <v/>
      </c>
      <c r="K38" s="50" t="str">
        <f t="shared" si="0"/>
        <v/>
      </c>
      <c r="L38" s="9" t="str">
        <f t="shared" si="6"/>
        <v/>
      </c>
      <c r="O38" s="23" t="str">
        <f t="shared" si="17"/>
        <v/>
      </c>
      <c r="P38" s="23" t="str">
        <f t="shared" si="17"/>
        <v/>
      </c>
      <c r="Q38" s="23" t="str">
        <f t="shared" si="17"/>
        <v/>
      </c>
      <c r="R38" s="23" t="str">
        <f t="shared" si="17"/>
        <v/>
      </c>
      <c r="S38" s="23" t="str">
        <f t="shared" si="17"/>
        <v/>
      </c>
      <c r="T38" s="74" t="str">
        <f t="shared" si="1"/>
        <v/>
      </c>
    </row>
    <row r="39" spans="2:20" ht="25" customHeight="1">
      <c r="B39" s="15"/>
      <c r="D39" s="5"/>
      <c r="E39" s="5"/>
      <c r="F39" s="6" t="str">
        <f t="shared" si="8"/>
        <v/>
      </c>
      <c r="G39" s="6" t="str">
        <f t="shared" si="4"/>
        <v/>
      </c>
      <c r="H39" s="50" t="str">
        <f>_xlfn.IFNA(VLOOKUP(C:C,'Active Jobs'!B:K,8,0),"")</f>
        <v/>
      </c>
      <c r="I39" s="8" t="str">
        <f t="shared" si="5"/>
        <v/>
      </c>
      <c r="J39" s="50" t="str">
        <f t="shared" si="9"/>
        <v/>
      </c>
      <c r="K39" s="50" t="str">
        <f t="shared" si="0"/>
        <v/>
      </c>
      <c r="L39" s="9" t="str">
        <f t="shared" si="6"/>
        <v/>
      </c>
      <c r="O39" s="23" t="str">
        <f t="shared" si="17"/>
        <v/>
      </c>
      <c r="P39" s="23" t="str">
        <f t="shared" si="17"/>
        <v/>
      </c>
      <c r="Q39" s="23" t="str">
        <f t="shared" si="17"/>
        <v/>
      </c>
      <c r="R39" s="23" t="str">
        <f t="shared" si="17"/>
        <v/>
      </c>
      <c r="S39" s="23" t="str">
        <f t="shared" si="17"/>
        <v/>
      </c>
      <c r="T39" s="74" t="str">
        <f t="shared" si="1"/>
        <v/>
      </c>
    </row>
    <row r="40" spans="2:20" ht="25" customHeight="1">
      <c r="B40" s="15"/>
      <c r="D40" s="5"/>
      <c r="E40" s="5"/>
      <c r="F40" s="6" t="str">
        <f t="shared" si="8"/>
        <v/>
      </c>
      <c r="G40" s="6" t="str">
        <f t="shared" si="4"/>
        <v/>
      </c>
      <c r="H40" s="50" t="str">
        <f>_xlfn.IFNA(VLOOKUP(C:C,'Active Jobs'!B:K,8,0),"")</f>
        <v/>
      </c>
      <c r="I40" s="8" t="str">
        <f t="shared" si="5"/>
        <v/>
      </c>
      <c r="J40" s="50" t="str">
        <f t="shared" si="9"/>
        <v/>
      </c>
      <c r="K40" s="50" t="str">
        <f t="shared" si="0"/>
        <v/>
      </c>
      <c r="L40" s="9" t="str">
        <f t="shared" si="6"/>
        <v/>
      </c>
      <c r="O40" s="23" t="str">
        <f t="shared" si="17"/>
        <v/>
      </c>
      <c r="P40" s="23" t="str">
        <f t="shared" si="17"/>
        <v/>
      </c>
      <c r="Q40" s="23" t="str">
        <f t="shared" si="17"/>
        <v/>
      </c>
      <c r="R40" s="23" t="str">
        <f t="shared" si="17"/>
        <v/>
      </c>
      <c r="S40" s="23" t="str">
        <f t="shared" si="17"/>
        <v/>
      </c>
      <c r="T40" s="74" t="str">
        <f t="shared" si="1"/>
        <v/>
      </c>
    </row>
    <row r="41" spans="2:20" ht="25" customHeight="1">
      <c r="B41" s="15"/>
      <c r="D41" s="5"/>
      <c r="E41" s="5"/>
      <c r="F41" s="6" t="str">
        <f t="shared" si="8"/>
        <v/>
      </c>
      <c r="G41" s="6" t="str">
        <f t="shared" si="4"/>
        <v/>
      </c>
      <c r="H41" s="50" t="str">
        <f>_xlfn.IFNA(VLOOKUP(C:C,'Active Jobs'!B:K,8,0),"")</f>
        <v/>
      </c>
      <c r="I41" s="8" t="str">
        <f t="shared" si="5"/>
        <v/>
      </c>
      <c r="J41" s="50" t="str">
        <f t="shared" si="9"/>
        <v/>
      </c>
      <c r="K41" s="50" t="str">
        <f t="shared" si="0"/>
        <v/>
      </c>
      <c r="L41" s="9" t="str">
        <f t="shared" si="6"/>
        <v/>
      </c>
      <c r="O41" s="23" t="str">
        <f t="shared" si="17"/>
        <v/>
      </c>
      <c r="P41" s="23" t="str">
        <f t="shared" si="17"/>
        <v/>
      </c>
      <c r="Q41" s="23" t="str">
        <f t="shared" si="17"/>
        <v/>
      </c>
      <c r="R41" s="23" t="str">
        <f t="shared" si="17"/>
        <v/>
      </c>
      <c r="S41" s="23" t="str">
        <f t="shared" si="17"/>
        <v/>
      </c>
      <c r="T41" s="74" t="str">
        <f t="shared" si="1"/>
        <v/>
      </c>
    </row>
    <row r="42" spans="2:20" ht="25" customHeight="1">
      <c r="B42" s="15"/>
      <c r="D42" s="5"/>
      <c r="E42" s="5"/>
      <c r="F42" s="6" t="str">
        <f t="shared" si="8"/>
        <v/>
      </c>
      <c r="G42" s="6" t="str">
        <f t="shared" si="4"/>
        <v/>
      </c>
      <c r="H42" s="50" t="str">
        <f>_xlfn.IFNA(VLOOKUP(C:C,'Active Jobs'!B:K,8,0),"")</f>
        <v/>
      </c>
      <c r="I42" s="8" t="str">
        <f t="shared" si="5"/>
        <v/>
      </c>
      <c r="J42" s="50" t="str">
        <f t="shared" si="9"/>
        <v/>
      </c>
      <c r="K42" s="50" t="str">
        <f t="shared" si="0"/>
        <v/>
      </c>
      <c r="L42" s="9" t="str">
        <f t="shared" si="6"/>
        <v/>
      </c>
      <c r="O42" s="23" t="str">
        <f t="shared" si="17"/>
        <v/>
      </c>
      <c r="P42" s="23" t="str">
        <f t="shared" si="17"/>
        <v/>
      </c>
      <c r="Q42" s="23" t="str">
        <f t="shared" si="17"/>
        <v/>
      </c>
      <c r="R42" s="23" t="str">
        <f t="shared" si="17"/>
        <v/>
      </c>
      <c r="S42" s="23" t="str">
        <f t="shared" si="17"/>
        <v/>
      </c>
      <c r="T42" s="74" t="str">
        <f t="shared" si="1"/>
        <v/>
      </c>
    </row>
    <row r="43" spans="2:20" ht="25" customHeight="1">
      <c r="B43" s="15"/>
      <c r="D43" s="5"/>
      <c r="E43" s="5"/>
      <c r="F43" s="6" t="str">
        <f t="shared" si="8"/>
        <v/>
      </c>
      <c r="G43" s="6" t="str">
        <f t="shared" si="4"/>
        <v/>
      </c>
      <c r="H43" s="50" t="str">
        <f>_xlfn.IFNA(VLOOKUP(C:C,'Active Jobs'!B:K,8,0),"")</f>
        <v/>
      </c>
      <c r="I43" s="8" t="str">
        <f t="shared" si="5"/>
        <v/>
      </c>
      <c r="J43" s="50" t="str">
        <f t="shared" si="9"/>
        <v/>
      </c>
      <c r="K43" s="50" t="str">
        <f t="shared" si="0"/>
        <v/>
      </c>
      <c r="L43" s="9" t="str">
        <f t="shared" si="6"/>
        <v/>
      </c>
    </row>
    <row r="44" spans="2:20" ht="25" customHeight="1">
      <c r="B44" s="15"/>
      <c r="D44" s="5"/>
      <c r="E44" s="5"/>
      <c r="F44" s="6" t="str">
        <f t="shared" si="8"/>
        <v/>
      </c>
      <c r="G44" s="6" t="str">
        <f t="shared" si="4"/>
        <v/>
      </c>
      <c r="H44" s="50" t="str">
        <f>_xlfn.IFNA(VLOOKUP(C:C,'Active Jobs'!B:K,8,0),"")</f>
        <v/>
      </c>
      <c r="I44" s="8" t="str">
        <f t="shared" si="5"/>
        <v/>
      </c>
      <c r="J44" s="50" t="str">
        <f t="shared" si="9"/>
        <v/>
      </c>
      <c r="K44" s="50" t="str">
        <f t="shared" si="0"/>
        <v/>
      </c>
      <c r="L44" s="9" t="str">
        <f t="shared" si="6"/>
        <v/>
      </c>
    </row>
    <row r="45" spans="2:20" ht="25" customHeight="1">
      <c r="B45" s="15"/>
      <c r="D45" s="5"/>
      <c r="E45" s="5"/>
      <c r="F45" s="6" t="str">
        <f t="shared" si="8"/>
        <v/>
      </c>
      <c r="G45" s="6" t="str">
        <f t="shared" si="4"/>
        <v/>
      </c>
      <c r="H45" s="50" t="str">
        <f>_xlfn.IFNA(VLOOKUP(C:C,'Active Jobs'!B:K,8,0),"")</f>
        <v/>
      </c>
      <c r="I45" s="8" t="str">
        <f t="shared" si="5"/>
        <v/>
      </c>
      <c r="J45" s="50" t="str">
        <f t="shared" si="9"/>
        <v/>
      </c>
      <c r="K45" s="50" t="str">
        <f t="shared" si="0"/>
        <v/>
      </c>
      <c r="L45" s="9" t="str">
        <f t="shared" si="6"/>
        <v/>
      </c>
    </row>
    <row r="46" spans="2:20" ht="25" customHeight="1">
      <c r="B46" s="86"/>
      <c r="D46" s="5"/>
      <c r="E46" s="5"/>
      <c r="F46" s="6" t="str">
        <f t="shared" si="8"/>
        <v/>
      </c>
      <c r="G46" s="6" t="str">
        <f t="shared" si="4"/>
        <v/>
      </c>
      <c r="H46" s="50" t="str">
        <f>_xlfn.IFNA(VLOOKUP(C:C,'Active Jobs'!B:K,8,0),"")</f>
        <v/>
      </c>
      <c r="I46" s="8" t="str">
        <f t="shared" si="5"/>
        <v/>
      </c>
      <c r="J46" s="50" t="str">
        <f t="shared" si="9"/>
        <v/>
      </c>
      <c r="K46" s="50" t="str">
        <f t="shared" si="0"/>
        <v/>
      </c>
      <c r="L46" s="9" t="str">
        <f t="shared" si="6"/>
        <v/>
      </c>
    </row>
    <row r="47" spans="2:20" ht="25" customHeight="1">
      <c r="B47" s="86"/>
      <c r="D47" s="5"/>
      <c r="E47" s="5"/>
      <c r="F47" s="6" t="str">
        <f t="shared" si="8"/>
        <v/>
      </c>
      <c r="G47" s="6" t="str">
        <f t="shared" si="4"/>
        <v/>
      </c>
      <c r="H47" s="50" t="str">
        <f>_xlfn.IFNA(VLOOKUP(C:C,'Active Jobs'!B:K,8,0),"")</f>
        <v/>
      </c>
      <c r="I47" s="8" t="str">
        <f t="shared" si="5"/>
        <v/>
      </c>
      <c r="J47" s="50" t="str">
        <f t="shared" si="9"/>
        <v/>
      </c>
      <c r="K47" s="50" t="str">
        <f t="shared" si="0"/>
        <v/>
      </c>
      <c r="L47" s="9" t="str">
        <f t="shared" si="6"/>
        <v/>
      </c>
    </row>
    <row r="48" spans="2:20" ht="25" customHeight="1">
      <c r="D48" s="83"/>
      <c r="E48" s="83"/>
      <c r="F48" s="84"/>
      <c r="G48" s="6"/>
      <c r="H48" s="85">
        <f>SUBTOTAL(109,Table2261210141648[Quoted])</f>
        <v>0</v>
      </c>
      <c r="I48" s="81">
        <f>SUBTOTAL(109,Table2261210141648[Hours Payable])</f>
        <v>114.75333333333334</v>
      </c>
      <c r="J48" s="85">
        <f>SUBTOTAL(109,Table2261210141648[Wages (Incl. Super)])</f>
        <v>0</v>
      </c>
      <c r="K48" s="85">
        <f>SUBTOTAL(109,Table2261210141648[Profit])</f>
        <v>0</v>
      </c>
      <c r="L48" s="82" t="str">
        <f>IF(L2="","",SUBTOTAL(101,Table2261210141648[Quote/Wages]))</f>
        <v/>
      </c>
    </row>
  </sheetData>
  <conditionalFormatting sqref="B1 B49:B269">
    <cfRule type="expression" dxfId="75" priority="3">
      <formula>AND(ROW()&gt;1, E1&lt;&gt;"", COUNTIFS(A:A, $A1, B:B, $B1, F:F, "Yes")=0)</formula>
    </cfRule>
  </conditionalFormatting>
  <conditionalFormatting sqref="F1 F49:F269">
    <cfRule type="expression" dxfId="74" priority="4" stopIfTrue="1">
      <formula>AND(ROW()&gt;1, E1&lt;&gt;"", COUNTIFS(A:A, $A1, B:B, $B1, F:F, "Yes")=0)</formula>
    </cfRule>
  </conditionalFormatting>
  <conditionalFormatting sqref="B2:B45">
    <cfRule type="expression" dxfId="73" priority="1">
      <formula>AND(ROW()&gt;1, E2&lt;&gt;"", COUNTIFS(A:A, $A2, B:B, $B2, F:F, "Yes")=0)</formula>
    </cfRule>
  </conditionalFormatting>
  <conditionalFormatting sqref="F2:F47">
    <cfRule type="expression" dxfId="72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74DBEDA8-BAC8-8D42-B6DB-0EDF13EB3A5C}">
      <formula1>"No, Yes"</formula1>
    </dataValidation>
    <dataValidation type="list" allowBlank="1" showErrorMessage="1" promptTitle="Select" sqref="B2:B45" xr:uid="{9F7E2AA5-EEB0-E645-9746-0EC65CCD0EB0}">
      <formula1>Teams</formula1>
    </dataValidation>
  </dataValidations>
  <pageMargins left="0.7" right="0.7" top="0.75" bottom="0.75" header="0.3" footer="0.3"/>
  <pageSetup paperSize="9" orientation="portrait" horizontalDpi="0" verticalDpi="0"/>
  <ignoredErrors>
    <ignoredError sqref="F5:F17 F21:F47 F18:F20" listDataValidation="1"/>
  </ignoredErrors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5E4E516-2344-3347-9E14-0181EFFA7616}">
          <x14:formula1>
            <xm:f>'Active Jobs'!$B$2:$B$154</xm:f>
          </x14:formula1>
          <xm:sqref>C2:C47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8C58-5E21-1B44-9EF0-4F4B66E27670}">
  <sheetPr codeName="Sheet36"/>
  <dimension ref="A1:W48"/>
  <sheetViews>
    <sheetView zoomScale="125" zoomScaleNormal="125" workbookViewId="0">
      <selection activeCell="Q30" sqref="Q30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63" cm="1">
        <f t="array" ref="O1:S1">IF(B2="","",TRANSPOSE(_xlfn._xlws.FILTER(_xlfn.UNIQUE(A2:A219), _xlfn.UNIQUE(A2:A219)&lt;&gt;"")))</f>
        <v>45775</v>
      </c>
      <c r="P1" s="63">
        <v>45776</v>
      </c>
      <c r="Q1" s="63">
        <v>45777</v>
      </c>
      <c r="R1" s="63">
        <v>45778</v>
      </c>
      <c r="S1" s="63">
        <v>45779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45775</v>
      </c>
      <c r="B2" s="15" t="s">
        <v>338</v>
      </c>
      <c r="D2" s="5"/>
      <c r="E2" s="5"/>
      <c r="F2" s="6" t="str">
        <f t="shared" ref="F2:F47" si="0">IF(E2="","","No")</f>
        <v/>
      </c>
      <c r="G2" s="6" t="str">
        <f>IF(E2="","",IF(F2="Yes",(E2-D2)-TIME(0,30,0),E2-D2))</f>
        <v/>
      </c>
      <c r="H2" s="50" t="str">
        <f>_xlfn.IFNA(VLOOKUP(C:C,'Active Jobs'!B:K,8,0),"")</f>
        <v/>
      </c>
      <c r="I2" s="8">
        <v>8.75</v>
      </c>
      <c r="J2" s="50" t="str">
        <f t="shared" ref="J2:J47" si="1">IF(G2="","",G2*24*HourlyRate*2*(1+Super))</f>
        <v/>
      </c>
      <c r="K2" s="50" t="str">
        <f t="shared" ref="K2:K47" si="2">IF(H2="","",IF(E2="","",IF(J2=0,0,H2-J2)))</f>
        <v/>
      </c>
      <c r="L2" s="9" t="str">
        <f>IF(K2="","",IF(H2=0,1,J2/H2))</f>
        <v/>
      </c>
      <c r="M2" s="19">
        <v>1</v>
      </c>
      <c r="N2" s="41" t="str" cm="1">
        <f t="array" ref="N2:N7">IF(B2="","",_xlfn.UNIQUE(TRANSPOSE(_xlfn.TEXTSPLIT(_xlfn.TEXTJOIN(" &amp; ", TRUE, TRIM(B2:B219)), " &amp; "))))</f>
        <v>Aoife O'Gorman</v>
      </c>
      <c r="O2" s="23">
        <f>IF(N2="","",ROUND(SUMIFS($I:$I,$A:$A,O$1,$B:$B,"*"&amp;$N2&amp;"*"),2))</f>
        <v>8.75</v>
      </c>
      <c r="P2" s="23">
        <f>IF(O2="","",ROUND(SUMIFS($I:$I,$A:$A,P$1,$B:$B,"*"&amp;$N2&amp;"*"),2))</f>
        <v>7.5</v>
      </c>
      <c r="Q2" s="23">
        <f>IF(P2="","",ROUND(SUMIFS($I:$I,$A:$A,Q$1,$B:$B,"*"&amp;$N2&amp;"*"),2))</f>
        <v>5.42</v>
      </c>
      <c r="R2" s="23">
        <f>IF(Q2="","",ROUND(SUMIFS($I:$I,$A:$A,R$1,$B:$B,"*"&amp;$N2&amp;"*"),2))</f>
        <v>7.25</v>
      </c>
      <c r="S2" s="23">
        <f>IF(R2="","",ROUND(SUMIFS($I:$I,$A:$A,S$1,$B:$B,"*"&amp;$N2&amp;"*"),2))</f>
        <v>7.17</v>
      </c>
      <c r="T2" s="10">
        <f t="shared" ref="T2:T42" si="3">IF(N2="","",SUM(O2:S2))</f>
        <v>36.090000000000003</v>
      </c>
      <c r="U2" s="24"/>
      <c r="V2" s="24">
        <f t="shared" ref="V2:V18" si="4">IF(N2="","",T2*HourlyRate)</f>
        <v>1085.9481000000001</v>
      </c>
      <c r="W2" s="25">
        <f t="shared" ref="W2:W18" si="5">IF(N2="","",V2*Super)</f>
        <v>124.88403150000002</v>
      </c>
    </row>
    <row r="3" spans="1:23" ht="25" customHeight="1">
      <c r="A3" s="37">
        <v>45775</v>
      </c>
      <c r="B3" s="15" t="s">
        <v>332</v>
      </c>
      <c r="D3" s="5"/>
      <c r="E3" s="5"/>
      <c r="F3" s="6" t="str">
        <f t="shared" si="0"/>
        <v/>
      </c>
      <c r="G3" s="6" t="str">
        <f t="shared" ref="G3:G47" si="6">IF(E3="","",IF(F3="Yes",(E3-D3)-TIME(0,30,0),E3-D3))</f>
        <v/>
      </c>
      <c r="H3" s="50" t="str">
        <f>_xlfn.IFNA(VLOOKUP(C:C,'Active Jobs'!B:K,8,0),"")</f>
        <v/>
      </c>
      <c r="I3" s="8">
        <v>7.58</v>
      </c>
      <c r="J3" s="50" t="str">
        <f t="shared" si="1"/>
        <v/>
      </c>
      <c r="K3" s="50" t="str">
        <f t="shared" si="2"/>
        <v/>
      </c>
      <c r="L3" s="9" t="str">
        <f t="shared" ref="L3:L47" si="7">IF(K3="","",IF(H3=0,1,J3/H3))</f>
        <v/>
      </c>
      <c r="M3" s="19">
        <v>2</v>
      </c>
      <c r="N3" s="42" t="str">
        <v>Orla Shelly</v>
      </c>
      <c r="O3" s="23">
        <f t="shared" ref="O3:S18" si="8">IF(N3="","",ROUND(SUMIFS($I:$I,$A:$A,O$1,$B:$B,"*"&amp;$N3&amp;"*"),2))</f>
        <v>8.75</v>
      </c>
      <c r="P3" s="23">
        <f t="shared" si="8"/>
        <v>7.5</v>
      </c>
      <c r="Q3" s="23">
        <f t="shared" si="8"/>
        <v>5.42</v>
      </c>
      <c r="R3" s="23">
        <f t="shared" si="8"/>
        <v>7.25</v>
      </c>
      <c r="S3" s="23">
        <f t="shared" si="8"/>
        <v>7.17</v>
      </c>
      <c r="T3" s="10">
        <f t="shared" si="3"/>
        <v>36.090000000000003</v>
      </c>
      <c r="U3" s="21"/>
      <c r="V3" s="24">
        <f t="shared" si="4"/>
        <v>1085.9481000000001</v>
      </c>
      <c r="W3" s="25">
        <f t="shared" si="5"/>
        <v>124.88403150000002</v>
      </c>
    </row>
    <row r="4" spans="1:23" ht="25" customHeight="1">
      <c r="A4" s="37">
        <v>45775</v>
      </c>
      <c r="B4" s="15" t="s">
        <v>334</v>
      </c>
      <c r="D4" s="5"/>
      <c r="E4" s="5"/>
      <c r="F4" s="6" t="str">
        <f t="shared" si="0"/>
        <v/>
      </c>
      <c r="G4" s="6" t="str">
        <f t="shared" si="6"/>
        <v/>
      </c>
      <c r="H4" s="50" t="str">
        <f>_xlfn.IFNA(VLOOKUP(C:C,'Active Jobs'!B:K,8,0),"")</f>
        <v/>
      </c>
      <c r="I4" s="8">
        <v>7.42</v>
      </c>
      <c r="J4" s="50" t="str">
        <f t="shared" si="1"/>
        <v/>
      </c>
      <c r="K4" s="50" t="str">
        <f t="shared" si="2"/>
        <v/>
      </c>
      <c r="L4" s="9" t="str">
        <f t="shared" si="7"/>
        <v/>
      </c>
      <c r="M4" s="19">
        <v>3</v>
      </c>
      <c r="N4" s="42" t="str">
        <v>Julie Roccati</v>
      </c>
      <c r="O4" s="23">
        <f t="shared" si="8"/>
        <v>7.58</v>
      </c>
      <c r="P4" s="23">
        <f t="shared" si="8"/>
        <v>8.92</v>
      </c>
      <c r="Q4" s="23">
        <f t="shared" si="8"/>
        <v>7.08</v>
      </c>
      <c r="R4" s="23">
        <f t="shared" si="8"/>
        <v>7</v>
      </c>
      <c r="S4" s="23">
        <f t="shared" si="8"/>
        <v>7.92</v>
      </c>
      <c r="T4" s="10">
        <f t="shared" si="3"/>
        <v>38.5</v>
      </c>
      <c r="U4" s="21"/>
      <c r="V4" s="24">
        <f t="shared" si="4"/>
        <v>1158.4649999999999</v>
      </c>
      <c r="W4" s="25">
        <f t="shared" si="5"/>
        <v>133.22347500000001</v>
      </c>
    </row>
    <row r="5" spans="1:23" ht="25" customHeight="1">
      <c r="A5" s="37">
        <v>45776</v>
      </c>
      <c r="B5" s="15" t="s">
        <v>338</v>
      </c>
      <c r="D5" s="5"/>
      <c r="E5" s="5"/>
      <c r="F5" s="6" t="str">
        <f t="shared" si="0"/>
        <v/>
      </c>
      <c r="G5" s="6" t="str">
        <f t="shared" si="6"/>
        <v/>
      </c>
      <c r="H5" s="50" t="str">
        <f>_xlfn.IFNA(VLOOKUP(C:C,'Active Jobs'!B:K,8,0),"")</f>
        <v/>
      </c>
      <c r="I5" s="8">
        <v>7.5</v>
      </c>
      <c r="J5" s="50" t="str">
        <f t="shared" si="1"/>
        <v/>
      </c>
      <c r="K5" s="50" t="str">
        <f t="shared" si="2"/>
        <v/>
      </c>
      <c r="L5" s="9" t="str">
        <f t="shared" si="7"/>
        <v/>
      </c>
      <c r="M5" s="19">
        <v>1</v>
      </c>
      <c r="N5" s="42" t="str">
        <v>Cliodhna Corr</v>
      </c>
      <c r="O5" s="23">
        <f t="shared" si="8"/>
        <v>7.58</v>
      </c>
      <c r="P5" s="23">
        <f t="shared" si="8"/>
        <v>8.92</v>
      </c>
      <c r="Q5" s="23">
        <f t="shared" si="8"/>
        <v>7.08</v>
      </c>
      <c r="R5" s="23">
        <f t="shared" si="8"/>
        <v>7</v>
      </c>
      <c r="S5" s="23">
        <f t="shared" si="8"/>
        <v>7.92</v>
      </c>
      <c r="T5" s="10">
        <f t="shared" si="3"/>
        <v>38.5</v>
      </c>
      <c r="U5" s="21"/>
      <c r="V5" s="24">
        <f t="shared" si="4"/>
        <v>1158.4649999999999</v>
      </c>
      <c r="W5" s="25">
        <f t="shared" si="5"/>
        <v>133.22347500000001</v>
      </c>
    </row>
    <row r="6" spans="1:23" ht="25" customHeight="1">
      <c r="A6" s="37">
        <v>45776</v>
      </c>
      <c r="B6" s="15" t="s">
        <v>332</v>
      </c>
      <c r="D6" s="5"/>
      <c r="E6" s="5"/>
      <c r="F6" s="6" t="str">
        <f t="shared" si="0"/>
        <v/>
      </c>
      <c r="G6" s="6" t="str">
        <f t="shared" si="6"/>
        <v/>
      </c>
      <c r="H6" s="50" t="str">
        <f>_xlfn.IFNA(VLOOKUP(C:C,'Active Jobs'!B:K,8,0),"")</f>
        <v/>
      </c>
      <c r="I6" s="8">
        <v>8.92</v>
      </c>
      <c r="J6" s="50" t="str">
        <f t="shared" si="1"/>
        <v/>
      </c>
      <c r="K6" s="50" t="str">
        <f t="shared" si="2"/>
        <v/>
      </c>
      <c r="L6" s="9" t="str">
        <f t="shared" si="7"/>
        <v/>
      </c>
      <c r="M6" s="19">
        <v>2</v>
      </c>
      <c r="N6" s="43" t="str">
        <v>Orlaith Murphy</v>
      </c>
      <c r="O6" s="23">
        <f t="shared" si="8"/>
        <v>7.42</v>
      </c>
      <c r="P6" s="23">
        <f t="shared" si="8"/>
        <v>7.25</v>
      </c>
      <c r="Q6" s="23">
        <f t="shared" si="8"/>
        <v>6.83</v>
      </c>
      <c r="R6" s="23">
        <f t="shared" si="8"/>
        <v>8.83</v>
      </c>
      <c r="S6" s="23">
        <f t="shared" si="8"/>
        <v>0</v>
      </c>
      <c r="T6" s="10">
        <f t="shared" si="3"/>
        <v>30.33</v>
      </c>
      <c r="U6" s="21"/>
      <c r="V6" s="24">
        <f t="shared" si="4"/>
        <v>912.62969999999996</v>
      </c>
      <c r="W6" s="25">
        <f t="shared" si="5"/>
        <v>104.9524155</v>
      </c>
    </row>
    <row r="7" spans="1:23" ht="25" customHeight="1">
      <c r="A7" s="37">
        <v>45776</v>
      </c>
      <c r="B7" s="15" t="s">
        <v>334</v>
      </c>
      <c r="D7" s="5"/>
      <c r="E7" s="5"/>
      <c r="F7" s="6" t="str">
        <f t="shared" si="0"/>
        <v/>
      </c>
      <c r="G7" s="6" t="str">
        <f t="shared" si="6"/>
        <v/>
      </c>
      <c r="H7" s="50" t="str">
        <f>_xlfn.IFNA(VLOOKUP(C:C,'Active Jobs'!B:K,8,0),"")</f>
        <v/>
      </c>
      <c r="I7" s="8">
        <v>7.25</v>
      </c>
      <c r="J7" s="50" t="str">
        <f t="shared" si="1"/>
        <v/>
      </c>
      <c r="K7" s="50" t="str">
        <f t="shared" si="2"/>
        <v/>
      </c>
      <c r="L7" s="9" t="str">
        <f t="shared" si="7"/>
        <v/>
      </c>
      <c r="M7" s="19">
        <v>3</v>
      </c>
      <c r="N7" s="47" t="str">
        <v>Nancy Scott</v>
      </c>
      <c r="O7" s="23">
        <f t="shared" si="8"/>
        <v>7.42</v>
      </c>
      <c r="P7" s="23">
        <f t="shared" si="8"/>
        <v>7.25</v>
      </c>
      <c r="Q7" s="23">
        <f t="shared" si="8"/>
        <v>6.83</v>
      </c>
      <c r="R7" s="23">
        <f t="shared" si="8"/>
        <v>8.83</v>
      </c>
      <c r="S7" s="23">
        <f t="shared" si="8"/>
        <v>8.75</v>
      </c>
      <c r="T7" s="10">
        <f t="shared" si="3"/>
        <v>39.08</v>
      </c>
      <c r="U7" s="21"/>
      <c r="V7" s="24">
        <f t="shared" si="4"/>
        <v>1175.9171999999999</v>
      </c>
      <c r="W7" s="25">
        <f t="shared" si="5"/>
        <v>135.23047799999998</v>
      </c>
    </row>
    <row r="8" spans="1:23" ht="25" customHeight="1">
      <c r="A8" s="37">
        <v>45777</v>
      </c>
      <c r="B8" s="15" t="s">
        <v>338</v>
      </c>
      <c r="C8" s="49"/>
      <c r="D8" s="5"/>
      <c r="E8" s="5"/>
      <c r="F8" s="6" t="str">
        <f t="shared" si="0"/>
        <v/>
      </c>
      <c r="G8" s="6" t="str">
        <f t="shared" si="6"/>
        <v/>
      </c>
      <c r="H8" s="50" t="str">
        <f>_xlfn.IFNA(VLOOKUP(C:C,'Active Jobs'!B:K,8,0),"")</f>
        <v/>
      </c>
      <c r="I8" s="8">
        <v>5.42</v>
      </c>
      <c r="J8" s="50" t="str">
        <f t="shared" si="1"/>
        <v/>
      </c>
      <c r="K8" s="50" t="str">
        <f t="shared" si="2"/>
        <v/>
      </c>
      <c r="L8" s="9" t="str">
        <f t="shared" si="7"/>
        <v/>
      </c>
      <c r="M8" s="19">
        <v>1</v>
      </c>
      <c r="N8" s="41"/>
      <c r="O8" s="23" t="str">
        <f t="shared" si="8"/>
        <v/>
      </c>
      <c r="P8" s="23" t="str">
        <f t="shared" si="8"/>
        <v/>
      </c>
      <c r="Q8" s="23" t="str">
        <f t="shared" si="8"/>
        <v/>
      </c>
      <c r="R8" s="23" t="str">
        <f t="shared" si="8"/>
        <v/>
      </c>
      <c r="S8" s="23" t="str">
        <f t="shared" si="8"/>
        <v/>
      </c>
      <c r="T8" s="10" t="str">
        <f t="shared" si="3"/>
        <v/>
      </c>
      <c r="U8" s="21"/>
      <c r="V8" s="24" t="str">
        <f t="shared" si="4"/>
        <v/>
      </c>
      <c r="W8" s="25" t="str">
        <f t="shared" si="5"/>
        <v/>
      </c>
    </row>
    <row r="9" spans="1:23" ht="25" customHeight="1">
      <c r="A9" s="37">
        <v>45777</v>
      </c>
      <c r="B9" s="15" t="s">
        <v>332</v>
      </c>
      <c r="D9" s="5"/>
      <c r="E9" s="5"/>
      <c r="F9" s="6" t="str">
        <f t="shared" si="0"/>
        <v/>
      </c>
      <c r="G9" s="6" t="str">
        <f t="shared" si="6"/>
        <v/>
      </c>
      <c r="H9" s="50" t="str">
        <f>_xlfn.IFNA(VLOOKUP(C:C,'Active Jobs'!B:K,8,0),"")</f>
        <v/>
      </c>
      <c r="I9" s="8">
        <v>7.08</v>
      </c>
      <c r="J9" s="50" t="str">
        <f t="shared" si="1"/>
        <v/>
      </c>
      <c r="K9" s="50" t="str">
        <f t="shared" si="2"/>
        <v/>
      </c>
      <c r="L9" s="9" t="str">
        <f t="shared" si="7"/>
        <v/>
      </c>
      <c r="M9" s="19">
        <v>2</v>
      </c>
      <c r="N9" s="47"/>
      <c r="O9" s="23" t="str">
        <f t="shared" si="8"/>
        <v/>
      </c>
      <c r="P9" s="23" t="str">
        <f t="shared" si="8"/>
        <v/>
      </c>
      <c r="Q9" s="23" t="str">
        <f t="shared" si="8"/>
        <v/>
      </c>
      <c r="R9" s="23" t="str">
        <f t="shared" si="8"/>
        <v/>
      </c>
      <c r="S9" s="23" t="str">
        <f t="shared" si="8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>
        <v>45777</v>
      </c>
      <c r="B10" s="15" t="s">
        <v>334</v>
      </c>
      <c r="D10" s="5"/>
      <c r="E10" s="5"/>
      <c r="F10" s="6" t="str">
        <f t="shared" si="0"/>
        <v/>
      </c>
      <c r="G10" s="6" t="str">
        <f t="shared" si="6"/>
        <v/>
      </c>
      <c r="H10" s="50" t="str">
        <f>_xlfn.IFNA(VLOOKUP(C:C,'Active Jobs'!B:K,8,0),"")</f>
        <v/>
      </c>
      <c r="I10" s="8">
        <v>6.83</v>
      </c>
      <c r="J10" s="50" t="str">
        <f t="shared" si="1"/>
        <v/>
      </c>
      <c r="K10" s="50" t="str">
        <f t="shared" si="2"/>
        <v/>
      </c>
      <c r="L10" s="9" t="str">
        <f t="shared" si="7"/>
        <v/>
      </c>
      <c r="M10" s="19">
        <v>3</v>
      </c>
      <c r="O10" s="23" t="str">
        <f t="shared" si="8"/>
        <v/>
      </c>
      <c r="P10" s="23" t="str">
        <f t="shared" si="8"/>
        <v/>
      </c>
      <c r="Q10" s="23" t="str">
        <f t="shared" si="8"/>
        <v/>
      </c>
      <c r="R10" s="23" t="str">
        <f t="shared" si="8"/>
        <v/>
      </c>
      <c r="S10" s="23" t="str">
        <f t="shared" si="8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A11" s="38">
        <v>45778</v>
      </c>
      <c r="B11" s="15" t="s">
        <v>338</v>
      </c>
      <c r="D11" s="5"/>
      <c r="E11" s="5"/>
      <c r="F11" s="6" t="str">
        <f t="shared" si="0"/>
        <v/>
      </c>
      <c r="G11" s="6" t="str">
        <f t="shared" si="6"/>
        <v/>
      </c>
      <c r="H11" s="50" t="str">
        <f>_xlfn.IFNA(VLOOKUP(C:C,'Active Jobs'!B:K,8,0),"")</f>
        <v/>
      </c>
      <c r="I11" s="8">
        <v>7.25</v>
      </c>
      <c r="J11" s="50" t="str">
        <f t="shared" si="1"/>
        <v/>
      </c>
      <c r="K11" s="50" t="str">
        <f t="shared" si="2"/>
        <v/>
      </c>
      <c r="L11" s="9" t="str">
        <f t="shared" si="7"/>
        <v/>
      </c>
      <c r="M11" s="19">
        <v>1</v>
      </c>
      <c r="O11" s="23" t="str">
        <f t="shared" si="8"/>
        <v/>
      </c>
      <c r="P11" s="23" t="str">
        <f t="shared" si="8"/>
        <v/>
      </c>
      <c r="Q11" s="23" t="str">
        <f t="shared" si="8"/>
        <v/>
      </c>
      <c r="R11" s="23" t="str">
        <f t="shared" si="8"/>
        <v/>
      </c>
      <c r="S11" s="23" t="str">
        <f t="shared" si="8"/>
        <v/>
      </c>
      <c r="T11" s="10" t="str">
        <f t="shared" si="3"/>
        <v/>
      </c>
      <c r="U11" s="21"/>
      <c r="V11" s="24" t="str">
        <f t="shared" si="4"/>
        <v/>
      </c>
      <c r="W11" s="25" t="str">
        <f t="shared" si="5"/>
        <v/>
      </c>
    </row>
    <row r="12" spans="1:23" ht="25" customHeight="1">
      <c r="A12" s="38">
        <v>45778</v>
      </c>
      <c r="B12" s="15" t="s">
        <v>332</v>
      </c>
      <c r="D12" s="5"/>
      <c r="E12" s="5"/>
      <c r="F12" s="6" t="str">
        <f t="shared" si="0"/>
        <v/>
      </c>
      <c r="G12" s="6" t="str">
        <f t="shared" si="6"/>
        <v/>
      </c>
      <c r="H12" s="50" t="str">
        <f>_xlfn.IFNA(VLOOKUP(C:C,'Active Jobs'!B:K,8,0),"")</f>
        <v/>
      </c>
      <c r="I12" s="8">
        <v>7</v>
      </c>
      <c r="J12" s="50" t="str">
        <f t="shared" si="1"/>
        <v/>
      </c>
      <c r="K12" s="50" t="str">
        <f t="shared" si="2"/>
        <v/>
      </c>
      <c r="L12" s="9" t="str">
        <f t="shared" si="7"/>
        <v/>
      </c>
      <c r="M12" s="19">
        <v>2</v>
      </c>
      <c r="O12" s="23" t="str">
        <f t="shared" si="8"/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A13" s="38">
        <v>45778</v>
      </c>
      <c r="B13" s="15" t="s">
        <v>334</v>
      </c>
      <c r="D13" s="5"/>
      <c r="E13" s="5"/>
      <c r="F13" s="6" t="str">
        <f t="shared" si="0"/>
        <v/>
      </c>
      <c r="G13" s="6" t="str">
        <f t="shared" si="6"/>
        <v/>
      </c>
      <c r="H13" s="50" t="str">
        <f>_xlfn.IFNA(VLOOKUP(C:C,'Active Jobs'!B:K,8,0),"")</f>
        <v/>
      </c>
      <c r="I13" s="8">
        <v>8.83</v>
      </c>
      <c r="J13" s="50" t="str">
        <f t="shared" si="1"/>
        <v/>
      </c>
      <c r="K13" s="50" t="str">
        <f t="shared" si="2"/>
        <v/>
      </c>
      <c r="L13" s="9" t="str">
        <f t="shared" si="7"/>
        <v/>
      </c>
      <c r="M13" s="19">
        <v>3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A14" s="38">
        <v>45779</v>
      </c>
      <c r="B14" s="15" t="s">
        <v>338</v>
      </c>
      <c r="D14" s="5"/>
      <c r="E14" s="5"/>
      <c r="F14" s="6" t="str">
        <f t="shared" si="0"/>
        <v/>
      </c>
      <c r="G14" s="6" t="str">
        <f t="shared" si="6"/>
        <v/>
      </c>
      <c r="H14" s="50" t="str">
        <f>_xlfn.IFNA(VLOOKUP(C:C,'Active Jobs'!B:K,8,0),"")</f>
        <v/>
      </c>
      <c r="I14" s="8">
        <v>7.17</v>
      </c>
      <c r="J14" s="50" t="str">
        <f t="shared" si="1"/>
        <v/>
      </c>
      <c r="K14" s="50" t="str">
        <f t="shared" si="2"/>
        <v/>
      </c>
      <c r="L14" s="9" t="str">
        <f t="shared" si="7"/>
        <v/>
      </c>
      <c r="M14" s="19">
        <v>1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A15" s="38">
        <v>45779</v>
      </c>
      <c r="B15" s="15" t="s">
        <v>332</v>
      </c>
      <c r="D15" s="5"/>
      <c r="E15" s="5"/>
      <c r="F15" s="6" t="str">
        <f t="shared" si="0"/>
        <v/>
      </c>
      <c r="G15" s="6" t="str">
        <f t="shared" si="6"/>
        <v/>
      </c>
      <c r="H15" s="50" t="str">
        <f>_xlfn.IFNA(VLOOKUP(C:C,'Active Jobs'!B:K,8,0),"")</f>
        <v/>
      </c>
      <c r="I15" s="8">
        <v>7.92</v>
      </c>
      <c r="J15" s="50" t="str">
        <f t="shared" si="1"/>
        <v/>
      </c>
      <c r="K15" s="50" t="str">
        <f t="shared" si="2"/>
        <v/>
      </c>
      <c r="L15" s="9" t="str">
        <f t="shared" si="7"/>
        <v/>
      </c>
      <c r="M15" s="19">
        <v>2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A16" s="38">
        <v>45779</v>
      </c>
      <c r="B16" s="15" t="s">
        <v>83</v>
      </c>
      <c r="D16" s="5"/>
      <c r="E16" s="5"/>
      <c r="F16" s="6" t="str">
        <f t="shared" si="0"/>
        <v/>
      </c>
      <c r="G16" s="6" t="str">
        <f t="shared" si="6"/>
        <v/>
      </c>
      <c r="H16" s="50" t="str">
        <f>_xlfn.IFNA(VLOOKUP(C:C,'Active Jobs'!B:K,8,0),"")</f>
        <v/>
      </c>
      <c r="I16" s="8">
        <v>8.75</v>
      </c>
      <c r="J16" s="50" t="str">
        <f t="shared" si="1"/>
        <v/>
      </c>
      <c r="K16" s="50" t="str">
        <f t="shared" si="2"/>
        <v/>
      </c>
      <c r="L16" s="9" t="str">
        <f t="shared" si="7"/>
        <v/>
      </c>
      <c r="M16" s="19">
        <v>3</v>
      </c>
      <c r="O16" s="23" t="str">
        <f t="shared" si="8"/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2:23" ht="25" customHeight="1">
      <c r="B17" s="15"/>
      <c r="D17" s="5"/>
      <c r="E17" s="5"/>
      <c r="F17" s="6" t="str">
        <f t="shared" si="0"/>
        <v/>
      </c>
      <c r="G17" s="6" t="str">
        <f t="shared" si="6"/>
        <v/>
      </c>
      <c r="H17" s="50" t="str">
        <f>_xlfn.IFNA(VLOOKUP(C:C,'Active Jobs'!B:K,8,0),"")</f>
        <v/>
      </c>
      <c r="I17" s="8" t="str">
        <f t="shared" ref="I17:I47" si="9">IF(F17="Yes",(E17-D17)*24-0.5,IF(F17="No",(E17-D17)*24,""))</f>
        <v/>
      </c>
      <c r="J17" s="50" t="str">
        <f t="shared" si="1"/>
        <v/>
      </c>
      <c r="K17" s="50" t="str">
        <f t="shared" si="2"/>
        <v/>
      </c>
      <c r="L17" s="9" t="str">
        <f t="shared" si="7"/>
        <v/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2:23" ht="25" customHeight="1">
      <c r="B18" s="15"/>
      <c r="D18" s="5"/>
      <c r="E18" s="5"/>
      <c r="F18" s="6" t="str">
        <f t="shared" si="0"/>
        <v/>
      </c>
      <c r="G18" s="6" t="str">
        <f t="shared" si="6"/>
        <v/>
      </c>
      <c r="H18" s="50" t="str">
        <f>_xlfn.IFNA(VLOOKUP(C:C,'Active Jobs'!B:K,8,0),"")</f>
        <v/>
      </c>
      <c r="I18" s="8" t="str">
        <f t="shared" si="9"/>
        <v/>
      </c>
      <c r="J18" s="50" t="str">
        <f t="shared" si="1"/>
        <v/>
      </c>
      <c r="K18" s="50" t="str">
        <f t="shared" si="2"/>
        <v/>
      </c>
      <c r="L18" s="9" t="str">
        <f t="shared" si="7"/>
        <v/>
      </c>
      <c r="O18" s="23" t="str">
        <f t="shared" si="8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2:23" ht="25" customHeight="1">
      <c r="B19" s="15"/>
      <c r="D19" s="5"/>
      <c r="E19" s="5"/>
      <c r="F19" s="6" t="str">
        <f t="shared" si="0"/>
        <v/>
      </c>
      <c r="G19" s="6" t="str">
        <f t="shared" si="6"/>
        <v/>
      </c>
      <c r="H19" s="50" t="str">
        <f>_xlfn.IFNA(VLOOKUP(C:C,'Active Jobs'!B:K,8,0),"")</f>
        <v/>
      </c>
      <c r="I19" s="8" t="str">
        <f t="shared" si="9"/>
        <v/>
      </c>
      <c r="J19" s="50" t="str">
        <f t="shared" si="1"/>
        <v/>
      </c>
      <c r="K19" s="50" t="str">
        <f t="shared" si="2"/>
        <v/>
      </c>
      <c r="L19" s="9" t="str">
        <f t="shared" si="7"/>
        <v/>
      </c>
      <c r="O19" s="23" t="str">
        <f t="shared" ref="O19:S42" si="10">IF(N19="","",ROUND(SUMIFS($I:$I,$A:$A,O$1,$B:$B,"*"&amp;$N19&amp;"*"),2))</f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3"/>
        <v/>
      </c>
    </row>
    <row r="20" spans="2:23" ht="25" customHeight="1">
      <c r="B20" s="15"/>
      <c r="D20" s="5"/>
      <c r="E20" s="5"/>
      <c r="F20" s="6" t="str">
        <f t="shared" si="0"/>
        <v/>
      </c>
      <c r="G20" s="6" t="str">
        <f t="shared" si="6"/>
        <v/>
      </c>
      <c r="H20" s="50" t="str">
        <f>_xlfn.IFNA(VLOOKUP(C:C,'Active Jobs'!B:K,8,0),"")</f>
        <v/>
      </c>
      <c r="I20" s="8" t="str">
        <f t="shared" si="9"/>
        <v/>
      </c>
      <c r="J20" s="50" t="str">
        <f t="shared" si="1"/>
        <v/>
      </c>
      <c r="K20" s="50" t="str">
        <f t="shared" si="2"/>
        <v/>
      </c>
      <c r="L20" s="9" t="str">
        <f t="shared" si="7"/>
        <v/>
      </c>
      <c r="O20" s="23" t="str">
        <f t="shared" si="10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3"/>
        <v/>
      </c>
    </row>
    <row r="21" spans="2:23" ht="25" customHeight="1">
      <c r="B21" s="15"/>
      <c r="D21" s="5"/>
      <c r="E21" s="5"/>
      <c r="F21" s="6" t="str">
        <f t="shared" si="0"/>
        <v/>
      </c>
      <c r="G21" s="6" t="str">
        <f t="shared" si="6"/>
        <v/>
      </c>
      <c r="H21" s="50" t="str">
        <f>_xlfn.IFNA(VLOOKUP(C:C,'Active Jobs'!B:K,8,0),"")</f>
        <v/>
      </c>
      <c r="I21" s="8" t="str">
        <f t="shared" si="9"/>
        <v/>
      </c>
      <c r="J21" s="50" t="str">
        <f t="shared" si="1"/>
        <v/>
      </c>
      <c r="K21" s="50" t="str">
        <f t="shared" si="2"/>
        <v/>
      </c>
      <c r="L21" s="9" t="str">
        <f t="shared" si="7"/>
        <v/>
      </c>
      <c r="O21" s="23" t="str">
        <f t="shared" si="10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3"/>
        <v/>
      </c>
    </row>
    <row r="22" spans="2:23" ht="25" customHeight="1">
      <c r="B22" s="15"/>
      <c r="D22" s="5"/>
      <c r="E22" s="5"/>
      <c r="F22" s="6" t="str">
        <f t="shared" si="0"/>
        <v/>
      </c>
      <c r="G22" s="6" t="str">
        <f t="shared" si="6"/>
        <v/>
      </c>
      <c r="H22" s="50" t="str">
        <f>_xlfn.IFNA(VLOOKUP(C:C,'Active Jobs'!B:K,8,0),"")</f>
        <v/>
      </c>
      <c r="I22" s="8" t="str">
        <f t="shared" si="9"/>
        <v/>
      </c>
      <c r="J22" s="50" t="str">
        <f t="shared" si="1"/>
        <v/>
      </c>
      <c r="K22" s="50" t="str">
        <f t="shared" si="2"/>
        <v/>
      </c>
      <c r="L22" s="9" t="str">
        <f t="shared" si="7"/>
        <v/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3"/>
        <v/>
      </c>
    </row>
    <row r="23" spans="2:23" ht="25" customHeight="1">
      <c r="B23" s="15"/>
      <c r="D23" s="5"/>
      <c r="E23" s="5"/>
      <c r="F23" s="6" t="str">
        <f t="shared" si="0"/>
        <v/>
      </c>
      <c r="G23" s="6" t="str">
        <f t="shared" si="6"/>
        <v/>
      </c>
      <c r="H23" s="50" t="str">
        <f>_xlfn.IFNA(VLOOKUP(C:C,'Active Jobs'!B:K,8,0),"")</f>
        <v/>
      </c>
      <c r="I23" s="8" t="str">
        <f t="shared" si="9"/>
        <v/>
      </c>
      <c r="J23" s="50" t="str">
        <f t="shared" si="1"/>
        <v/>
      </c>
      <c r="K23" s="50" t="str">
        <f t="shared" si="2"/>
        <v/>
      </c>
      <c r="L23" s="9" t="str">
        <f t="shared" si="7"/>
        <v/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3"/>
        <v/>
      </c>
    </row>
    <row r="24" spans="2:23" ht="25" customHeight="1">
      <c r="B24" s="15"/>
      <c r="D24" s="5"/>
      <c r="E24" s="5"/>
      <c r="F24" s="6" t="str">
        <f t="shared" si="0"/>
        <v/>
      </c>
      <c r="G24" s="6" t="str">
        <f t="shared" si="6"/>
        <v/>
      </c>
      <c r="H24" s="50" t="str">
        <f>_xlfn.IFNA(VLOOKUP(C:C,'Active Jobs'!B:K,8,0),"")</f>
        <v/>
      </c>
      <c r="I24" s="8" t="str">
        <f t="shared" si="9"/>
        <v/>
      </c>
      <c r="J24" s="50" t="str">
        <f t="shared" si="1"/>
        <v/>
      </c>
      <c r="K24" s="50" t="str">
        <f t="shared" si="2"/>
        <v/>
      </c>
      <c r="L24" s="9" t="str">
        <f t="shared" si="7"/>
        <v/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3"/>
        <v/>
      </c>
    </row>
    <row r="25" spans="2:23" ht="25" customHeight="1">
      <c r="B25" s="15"/>
      <c r="D25" s="5"/>
      <c r="E25" s="5"/>
      <c r="F25" s="6" t="str">
        <f t="shared" si="0"/>
        <v/>
      </c>
      <c r="G25" s="6" t="str">
        <f t="shared" si="6"/>
        <v/>
      </c>
      <c r="H25" s="50" t="str">
        <f>_xlfn.IFNA(VLOOKUP(C:C,'Active Jobs'!B:K,8,0),"")</f>
        <v/>
      </c>
      <c r="I25" s="8" t="str">
        <f t="shared" si="9"/>
        <v/>
      </c>
      <c r="J25" s="50" t="str">
        <f t="shared" si="1"/>
        <v/>
      </c>
      <c r="K25" s="50" t="str">
        <f t="shared" si="2"/>
        <v/>
      </c>
      <c r="L25" s="9" t="str">
        <f t="shared" si="7"/>
        <v/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3"/>
        <v/>
      </c>
    </row>
    <row r="26" spans="2:23" ht="25" customHeight="1">
      <c r="B26" s="15"/>
      <c r="D26" s="5"/>
      <c r="E26" s="5"/>
      <c r="F26" s="6" t="str">
        <f t="shared" si="0"/>
        <v/>
      </c>
      <c r="G26" s="6" t="str">
        <f t="shared" si="6"/>
        <v/>
      </c>
      <c r="H26" s="50" t="str">
        <f>_xlfn.IFNA(VLOOKUP(C:C,'Active Jobs'!B:K,8,0),"")</f>
        <v/>
      </c>
      <c r="I26" s="8" t="str">
        <f t="shared" si="9"/>
        <v/>
      </c>
      <c r="J26" s="50" t="str">
        <f t="shared" si="1"/>
        <v/>
      </c>
      <c r="K26" s="50" t="str">
        <f t="shared" si="2"/>
        <v/>
      </c>
      <c r="L26" s="9" t="str">
        <f t="shared" si="7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3"/>
        <v/>
      </c>
    </row>
    <row r="27" spans="2:23" ht="25" customHeight="1">
      <c r="B27" s="15"/>
      <c r="D27" s="5"/>
      <c r="E27" s="5"/>
      <c r="F27" s="6" t="str">
        <f t="shared" si="0"/>
        <v/>
      </c>
      <c r="G27" s="6" t="str">
        <f t="shared" si="6"/>
        <v/>
      </c>
      <c r="H27" s="50" t="str">
        <f>_xlfn.IFNA(VLOOKUP(C:C,'Active Jobs'!B:K,8,0),"")</f>
        <v/>
      </c>
      <c r="I27" s="8" t="str">
        <f t="shared" si="9"/>
        <v/>
      </c>
      <c r="J27" s="50" t="str">
        <f t="shared" si="1"/>
        <v/>
      </c>
      <c r="K27" s="50" t="str">
        <f t="shared" si="2"/>
        <v/>
      </c>
      <c r="L27" s="9" t="str">
        <f t="shared" si="7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3"/>
        <v/>
      </c>
    </row>
    <row r="28" spans="2:23" ht="25" customHeight="1">
      <c r="B28" s="15"/>
      <c r="D28" s="5"/>
      <c r="E28" s="5"/>
      <c r="F28" s="6" t="str">
        <f t="shared" si="0"/>
        <v/>
      </c>
      <c r="G28" s="6" t="str">
        <f t="shared" si="6"/>
        <v/>
      </c>
      <c r="H28" s="50" t="str">
        <f>_xlfn.IFNA(VLOOKUP(C:C,'Active Jobs'!B:K,8,0),"")</f>
        <v/>
      </c>
      <c r="I28" s="8" t="str">
        <f t="shared" si="9"/>
        <v/>
      </c>
      <c r="J28" s="50" t="str">
        <f t="shared" si="1"/>
        <v/>
      </c>
      <c r="K28" s="50" t="str">
        <f t="shared" si="2"/>
        <v/>
      </c>
      <c r="L28" s="9" t="str">
        <f t="shared" si="7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3"/>
        <v/>
      </c>
    </row>
    <row r="29" spans="2:23" ht="25" customHeight="1">
      <c r="B29" s="15"/>
      <c r="D29" s="5"/>
      <c r="E29" s="5"/>
      <c r="F29" s="6" t="str">
        <f t="shared" si="0"/>
        <v/>
      </c>
      <c r="G29" s="6" t="str">
        <f t="shared" si="6"/>
        <v/>
      </c>
      <c r="H29" s="50" t="str">
        <f>_xlfn.IFNA(VLOOKUP(C:C,'Active Jobs'!B:K,8,0),"")</f>
        <v/>
      </c>
      <c r="I29" s="8" t="str">
        <f t="shared" si="9"/>
        <v/>
      </c>
      <c r="J29" s="50" t="str">
        <f t="shared" si="1"/>
        <v/>
      </c>
      <c r="K29" s="50" t="str">
        <f t="shared" si="2"/>
        <v/>
      </c>
      <c r="L29" s="9" t="str">
        <f t="shared" si="7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3"/>
        <v/>
      </c>
    </row>
    <row r="30" spans="2:23" ht="25" customHeight="1">
      <c r="B30" s="15"/>
      <c r="D30" s="5"/>
      <c r="E30" s="5"/>
      <c r="F30" s="6" t="str">
        <f t="shared" si="0"/>
        <v/>
      </c>
      <c r="G30" s="6" t="str">
        <f t="shared" si="6"/>
        <v/>
      </c>
      <c r="H30" s="50" t="str">
        <f>_xlfn.IFNA(VLOOKUP(C:C,'Active Jobs'!B:K,8,0),"")</f>
        <v/>
      </c>
      <c r="I30" s="8" t="str">
        <f t="shared" si="9"/>
        <v/>
      </c>
      <c r="J30" s="50" t="str">
        <f t="shared" si="1"/>
        <v/>
      </c>
      <c r="K30" s="50" t="str">
        <f t="shared" si="2"/>
        <v/>
      </c>
      <c r="L30" s="9" t="str">
        <f t="shared" si="7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3"/>
        <v/>
      </c>
    </row>
    <row r="31" spans="2:23" ht="25" customHeight="1">
      <c r="B31" s="15"/>
      <c r="D31" s="5"/>
      <c r="E31" s="5"/>
      <c r="F31" s="6" t="str">
        <f t="shared" si="0"/>
        <v/>
      </c>
      <c r="G31" s="6" t="str">
        <f t="shared" si="6"/>
        <v/>
      </c>
      <c r="H31" s="50" t="str">
        <f>_xlfn.IFNA(VLOOKUP(C:C,'Active Jobs'!B:K,8,0),"")</f>
        <v/>
      </c>
      <c r="I31" s="8" t="str">
        <f t="shared" si="9"/>
        <v/>
      </c>
      <c r="J31" s="50" t="str">
        <f t="shared" si="1"/>
        <v/>
      </c>
      <c r="K31" s="50" t="str">
        <f t="shared" si="2"/>
        <v/>
      </c>
      <c r="L31" s="9" t="str">
        <f t="shared" si="7"/>
        <v/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3"/>
        <v/>
      </c>
    </row>
    <row r="32" spans="2:23" ht="25" customHeight="1">
      <c r="B32" s="15"/>
      <c r="D32" s="5"/>
      <c r="E32" s="5"/>
      <c r="F32" s="6" t="str">
        <f t="shared" si="0"/>
        <v/>
      </c>
      <c r="G32" s="6" t="str">
        <f t="shared" si="6"/>
        <v/>
      </c>
      <c r="H32" s="50" t="str">
        <f>_xlfn.IFNA(VLOOKUP(C:C,'Active Jobs'!B:K,8,0),"")</f>
        <v/>
      </c>
      <c r="I32" s="8" t="str">
        <f t="shared" si="9"/>
        <v/>
      </c>
      <c r="J32" s="50" t="str">
        <f t="shared" si="1"/>
        <v/>
      </c>
      <c r="K32" s="50" t="str">
        <f t="shared" si="2"/>
        <v/>
      </c>
      <c r="L32" s="9" t="str">
        <f t="shared" si="7"/>
        <v/>
      </c>
      <c r="O32" s="23" t="str">
        <f t="shared" si="10"/>
        <v/>
      </c>
      <c r="P32" s="23" t="str">
        <f t="shared" si="10"/>
        <v/>
      </c>
      <c r="Q32" s="23" t="str">
        <f t="shared" si="10"/>
        <v/>
      </c>
      <c r="R32" s="23" t="str">
        <f t="shared" si="10"/>
        <v/>
      </c>
      <c r="S32" s="23" t="str">
        <f t="shared" si="10"/>
        <v/>
      </c>
      <c r="T32" s="74" t="str">
        <f t="shared" si="3"/>
        <v/>
      </c>
    </row>
    <row r="33" spans="2:20" ht="25" customHeight="1">
      <c r="B33" s="15"/>
      <c r="D33" s="5"/>
      <c r="E33" s="5"/>
      <c r="F33" s="6" t="str">
        <f t="shared" si="0"/>
        <v/>
      </c>
      <c r="G33" s="6" t="str">
        <f t="shared" si="6"/>
        <v/>
      </c>
      <c r="H33" s="50" t="str">
        <f>_xlfn.IFNA(VLOOKUP(C:C,'Active Jobs'!B:K,8,0),"")</f>
        <v/>
      </c>
      <c r="I33" s="8" t="str">
        <f t="shared" si="9"/>
        <v/>
      </c>
      <c r="J33" s="50" t="str">
        <f t="shared" si="1"/>
        <v/>
      </c>
      <c r="K33" s="50" t="str">
        <f t="shared" si="2"/>
        <v/>
      </c>
      <c r="L33" s="9" t="str">
        <f t="shared" si="7"/>
        <v/>
      </c>
      <c r="O33" s="23" t="str">
        <f t="shared" si="10"/>
        <v/>
      </c>
      <c r="P33" s="23" t="str">
        <f t="shared" si="10"/>
        <v/>
      </c>
      <c r="Q33" s="23" t="str">
        <f t="shared" si="10"/>
        <v/>
      </c>
      <c r="R33" s="23" t="str">
        <f t="shared" si="10"/>
        <v/>
      </c>
      <c r="S33" s="23" t="str">
        <f t="shared" si="10"/>
        <v/>
      </c>
      <c r="T33" s="74" t="str">
        <f t="shared" si="3"/>
        <v/>
      </c>
    </row>
    <row r="34" spans="2:20" ht="25" customHeight="1">
      <c r="B34" s="15"/>
      <c r="D34" s="5"/>
      <c r="E34" s="5"/>
      <c r="F34" s="6" t="str">
        <f t="shared" si="0"/>
        <v/>
      </c>
      <c r="G34" s="6" t="str">
        <f t="shared" si="6"/>
        <v/>
      </c>
      <c r="H34" s="50" t="str">
        <f>_xlfn.IFNA(VLOOKUP(C:C,'Active Jobs'!B:K,8,0),"")</f>
        <v/>
      </c>
      <c r="I34" s="8" t="str">
        <f t="shared" si="9"/>
        <v/>
      </c>
      <c r="J34" s="50" t="str">
        <f t="shared" si="1"/>
        <v/>
      </c>
      <c r="K34" s="50" t="str">
        <f t="shared" si="2"/>
        <v/>
      </c>
      <c r="L34" s="9" t="str">
        <f t="shared" si="7"/>
        <v/>
      </c>
      <c r="O34" s="23" t="str">
        <f t="shared" si="10"/>
        <v/>
      </c>
      <c r="P34" s="23" t="str">
        <f t="shared" si="10"/>
        <v/>
      </c>
      <c r="Q34" s="23" t="str">
        <f t="shared" si="10"/>
        <v/>
      </c>
      <c r="R34" s="23" t="str">
        <f t="shared" si="10"/>
        <v/>
      </c>
      <c r="S34" s="23" t="str">
        <f t="shared" si="10"/>
        <v/>
      </c>
      <c r="T34" s="74" t="str">
        <f t="shared" si="3"/>
        <v/>
      </c>
    </row>
    <row r="35" spans="2:20" ht="25" customHeight="1">
      <c r="B35" s="15"/>
      <c r="D35" s="5"/>
      <c r="E35" s="5"/>
      <c r="F35" s="6" t="str">
        <f t="shared" si="0"/>
        <v/>
      </c>
      <c r="G35" s="6" t="str">
        <f t="shared" si="6"/>
        <v/>
      </c>
      <c r="H35" s="50" t="str">
        <f>_xlfn.IFNA(VLOOKUP(C:C,'Active Jobs'!B:K,8,0),"")</f>
        <v/>
      </c>
      <c r="I35" s="8" t="str">
        <f t="shared" si="9"/>
        <v/>
      </c>
      <c r="J35" s="50" t="str">
        <f t="shared" si="1"/>
        <v/>
      </c>
      <c r="K35" s="50" t="str">
        <f t="shared" si="2"/>
        <v/>
      </c>
      <c r="L35" s="9" t="str">
        <f t="shared" si="7"/>
        <v/>
      </c>
      <c r="O35" s="23" t="str">
        <f t="shared" si="10"/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3"/>
        <v/>
      </c>
    </row>
    <row r="36" spans="2:20" ht="25" customHeight="1">
      <c r="B36" s="15"/>
      <c r="D36" s="5"/>
      <c r="E36" s="5"/>
      <c r="F36" s="6" t="str">
        <f t="shared" si="0"/>
        <v/>
      </c>
      <c r="G36" s="6" t="str">
        <f t="shared" si="6"/>
        <v/>
      </c>
      <c r="H36" s="50" t="str">
        <f>_xlfn.IFNA(VLOOKUP(C:C,'Active Jobs'!B:K,8,0),"")</f>
        <v/>
      </c>
      <c r="I36" s="8" t="str">
        <f t="shared" si="9"/>
        <v/>
      </c>
      <c r="J36" s="50" t="str">
        <f t="shared" si="1"/>
        <v/>
      </c>
      <c r="K36" s="50" t="str">
        <f t="shared" si="2"/>
        <v/>
      </c>
      <c r="L36" s="9" t="str">
        <f t="shared" si="7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3"/>
        <v/>
      </c>
    </row>
    <row r="37" spans="2:20" ht="25" customHeight="1">
      <c r="B37" s="15"/>
      <c r="D37" s="5"/>
      <c r="E37" s="5"/>
      <c r="F37" s="6" t="str">
        <f t="shared" si="0"/>
        <v/>
      </c>
      <c r="G37" s="6" t="str">
        <f t="shared" si="6"/>
        <v/>
      </c>
      <c r="H37" s="50" t="str">
        <f>_xlfn.IFNA(VLOOKUP(C:C,'Active Jobs'!B:K,8,0),"")</f>
        <v/>
      </c>
      <c r="I37" s="8" t="str">
        <f t="shared" si="9"/>
        <v/>
      </c>
      <c r="J37" s="50" t="str">
        <f t="shared" si="1"/>
        <v/>
      </c>
      <c r="K37" s="50" t="str">
        <f t="shared" si="2"/>
        <v/>
      </c>
      <c r="L37" s="9" t="str">
        <f t="shared" si="7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3"/>
        <v/>
      </c>
    </row>
    <row r="38" spans="2:20" ht="25" customHeight="1">
      <c r="B38" s="15"/>
      <c r="D38" s="5"/>
      <c r="E38" s="5"/>
      <c r="F38" s="6" t="str">
        <f t="shared" si="0"/>
        <v/>
      </c>
      <c r="G38" s="6" t="str">
        <f t="shared" si="6"/>
        <v/>
      </c>
      <c r="H38" s="50" t="str">
        <f>_xlfn.IFNA(VLOOKUP(C:C,'Active Jobs'!B:K,8,0),"")</f>
        <v/>
      </c>
      <c r="I38" s="8" t="str">
        <f t="shared" si="9"/>
        <v/>
      </c>
      <c r="J38" s="50" t="str">
        <f t="shared" si="1"/>
        <v/>
      </c>
      <c r="K38" s="50" t="str">
        <f t="shared" si="2"/>
        <v/>
      </c>
      <c r="L38" s="9" t="str">
        <f t="shared" si="7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3"/>
        <v/>
      </c>
    </row>
    <row r="39" spans="2:20" ht="25" customHeight="1">
      <c r="B39" s="15"/>
      <c r="D39" s="5"/>
      <c r="E39" s="5"/>
      <c r="F39" s="6" t="str">
        <f t="shared" si="0"/>
        <v/>
      </c>
      <c r="G39" s="6" t="str">
        <f t="shared" si="6"/>
        <v/>
      </c>
      <c r="H39" s="50" t="str">
        <f>_xlfn.IFNA(VLOOKUP(C:C,'Active Jobs'!B:K,8,0),"")</f>
        <v/>
      </c>
      <c r="I39" s="8" t="str">
        <f t="shared" si="9"/>
        <v/>
      </c>
      <c r="J39" s="50" t="str">
        <f t="shared" si="1"/>
        <v/>
      </c>
      <c r="K39" s="50" t="str">
        <f t="shared" si="2"/>
        <v/>
      </c>
      <c r="L39" s="9" t="str">
        <f t="shared" si="7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3"/>
        <v/>
      </c>
    </row>
    <row r="40" spans="2:20" ht="25" customHeight="1">
      <c r="B40" s="15"/>
      <c r="D40" s="5"/>
      <c r="E40" s="5"/>
      <c r="F40" s="6" t="str">
        <f t="shared" si="0"/>
        <v/>
      </c>
      <c r="G40" s="6" t="str">
        <f t="shared" si="6"/>
        <v/>
      </c>
      <c r="H40" s="50" t="str">
        <f>_xlfn.IFNA(VLOOKUP(C:C,'Active Jobs'!B:K,8,0),"")</f>
        <v/>
      </c>
      <c r="I40" s="8" t="str">
        <f t="shared" si="9"/>
        <v/>
      </c>
      <c r="J40" s="50" t="str">
        <f t="shared" si="1"/>
        <v/>
      </c>
      <c r="K40" s="50" t="str">
        <f t="shared" si="2"/>
        <v/>
      </c>
      <c r="L40" s="9" t="str">
        <f t="shared" si="7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3"/>
        <v/>
      </c>
    </row>
    <row r="41" spans="2:20" ht="25" customHeight="1">
      <c r="B41" s="15"/>
      <c r="D41" s="5"/>
      <c r="E41" s="5"/>
      <c r="F41" s="6" t="str">
        <f t="shared" si="0"/>
        <v/>
      </c>
      <c r="G41" s="6" t="str">
        <f t="shared" si="6"/>
        <v/>
      </c>
      <c r="H41" s="50" t="str">
        <f>_xlfn.IFNA(VLOOKUP(C:C,'Active Jobs'!B:K,8,0),"")</f>
        <v/>
      </c>
      <c r="I41" s="8" t="str">
        <f t="shared" si="9"/>
        <v/>
      </c>
      <c r="J41" s="50" t="str">
        <f t="shared" si="1"/>
        <v/>
      </c>
      <c r="K41" s="50" t="str">
        <f t="shared" si="2"/>
        <v/>
      </c>
      <c r="L41" s="9" t="str">
        <f t="shared" si="7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3"/>
        <v/>
      </c>
    </row>
    <row r="42" spans="2:20" ht="25" customHeight="1">
      <c r="B42" s="15"/>
      <c r="D42" s="5"/>
      <c r="E42" s="5"/>
      <c r="F42" s="6" t="str">
        <f t="shared" si="0"/>
        <v/>
      </c>
      <c r="G42" s="6" t="str">
        <f t="shared" si="6"/>
        <v/>
      </c>
      <c r="H42" s="50" t="str">
        <f>_xlfn.IFNA(VLOOKUP(C:C,'Active Jobs'!B:K,8,0),"")</f>
        <v/>
      </c>
      <c r="I42" s="8" t="str">
        <f t="shared" si="9"/>
        <v/>
      </c>
      <c r="J42" s="50" t="str">
        <f t="shared" si="1"/>
        <v/>
      </c>
      <c r="K42" s="50" t="str">
        <f t="shared" si="2"/>
        <v/>
      </c>
      <c r="L42" s="9" t="str">
        <f t="shared" si="7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3"/>
        <v/>
      </c>
    </row>
    <row r="43" spans="2:20" ht="25" customHeight="1">
      <c r="B43" s="15"/>
      <c r="D43" s="5"/>
      <c r="E43" s="5"/>
      <c r="F43" s="6" t="str">
        <f t="shared" si="0"/>
        <v/>
      </c>
      <c r="G43" s="6" t="str">
        <f t="shared" si="6"/>
        <v/>
      </c>
      <c r="H43" s="50" t="str">
        <f>_xlfn.IFNA(VLOOKUP(C:C,'Active Jobs'!B:K,8,0),"")</f>
        <v/>
      </c>
      <c r="I43" s="8" t="str">
        <f t="shared" si="9"/>
        <v/>
      </c>
      <c r="J43" s="50" t="str">
        <f t="shared" si="1"/>
        <v/>
      </c>
      <c r="K43" s="50" t="str">
        <f t="shared" si="2"/>
        <v/>
      </c>
      <c r="L43" s="9" t="str">
        <f t="shared" si="7"/>
        <v/>
      </c>
    </row>
    <row r="44" spans="2:20" ht="25" customHeight="1">
      <c r="B44" s="15"/>
      <c r="D44" s="5"/>
      <c r="E44" s="5"/>
      <c r="F44" s="6" t="str">
        <f t="shared" si="0"/>
        <v/>
      </c>
      <c r="G44" s="6" t="str">
        <f t="shared" si="6"/>
        <v/>
      </c>
      <c r="H44" s="50" t="str">
        <f>_xlfn.IFNA(VLOOKUP(C:C,'Active Jobs'!B:K,8,0),"")</f>
        <v/>
      </c>
      <c r="I44" s="8" t="str">
        <f t="shared" si="9"/>
        <v/>
      </c>
      <c r="J44" s="50" t="str">
        <f t="shared" si="1"/>
        <v/>
      </c>
      <c r="K44" s="50" t="str">
        <f t="shared" si="2"/>
        <v/>
      </c>
      <c r="L44" s="9" t="str">
        <f t="shared" si="7"/>
        <v/>
      </c>
    </row>
    <row r="45" spans="2:20" ht="25" customHeight="1">
      <c r="B45" s="15"/>
      <c r="D45" s="5"/>
      <c r="E45" s="5"/>
      <c r="F45" s="6" t="str">
        <f t="shared" si="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9"/>
        <v/>
      </c>
      <c r="J45" s="50" t="str">
        <f t="shared" si="1"/>
        <v/>
      </c>
      <c r="K45" s="50" t="str">
        <f t="shared" si="2"/>
        <v/>
      </c>
      <c r="L45" s="9" t="str">
        <f t="shared" si="7"/>
        <v/>
      </c>
    </row>
    <row r="46" spans="2:20" ht="25" customHeight="1">
      <c r="B46" s="86"/>
      <c r="D46" s="5"/>
      <c r="E46" s="5"/>
      <c r="F46" s="6" t="str">
        <f t="shared" si="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9"/>
        <v/>
      </c>
      <c r="J46" s="50" t="str">
        <f t="shared" si="1"/>
        <v/>
      </c>
      <c r="K46" s="50" t="str">
        <f t="shared" si="2"/>
        <v/>
      </c>
      <c r="L46" s="9" t="str">
        <f t="shared" si="7"/>
        <v/>
      </c>
    </row>
    <row r="47" spans="2:20" ht="25" customHeight="1">
      <c r="B47" s="86"/>
      <c r="D47" s="5"/>
      <c r="E47" s="5"/>
      <c r="F47" s="6" t="str">
        <f t="shared" si="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9"/>
        <v/>
      </c>
      <c r="J47" s="50" t="str">
        <f t="shared" si="1"/>
        <v/>
      </c>
      <c r="K47" s="50" t="str">
        <f t="shared" si="2"/>
        <v/>
      </c>
      <c r="L47" s="9" t="str">
        <f t="shared" si="7"/>
        <v/>
      </c>
    </row>
    <row r="48" spans="2:20" ht="25" customHeight="1">
      <c r="D48" s="83"/>
      <c r="E48" s="83"/>
      <c r="F48" s="84"/>
      <c r="G48" s="6"/>
      <c r="H48" s="85">
        <f>SUBTOTAL(109,Table22612101416646266[Quoted])</f>
        <v>0</v>
      </c>
      <c r="I48" s="81">
        <f>SUBTOTAL(109,Table22612101416646266[Hours Payable])</f>
        <v>113.67</v>
      </c>
      <c r="J48" s="85">
        <f>SUBTOTAL(109,Table22612101416646266[Wages (Incl. Super)])</f>
        <v>0</v>
      </c>
      <c r="K48" s="85">
        <f>SUBTOTAL(109,Table22612101416646266[Profit])</f>
        <v>0</v>
      </c>
      <c r="L48" s="82" t="str">
        <f>IF(L2="","",SUBTOTAL(101,Table22612101416646266[Quote/Wages]))</f>
        <v/>
      </c>
    </row>
  </sheetData>
  <conditionalFormatting sqref="B1 B49:B269">
    <cfRule type="expression" dxfId="71" priority="3">
      <formula>AND(ROW()&gt;1, E1&lt;&gt;"", COUNTIFS(A:A, $A1, B:B, $B1, F:F, "Yes")=0)</formula>
    </cfRule>
  </conditionalFormatting>
  <conditionalFormatting sqref="F1 F49:F269">
    <cfRule type="expression" dxfId="70" priority="4" stopIfTrue="1">
      <formula>AND(ROW()&gt;1, E1&lt;&gt;"", COUNTIFS(A:A, $A1, B:B, $B1, F:F, "Yes")=0)</formula>
    </cfRule>
  </conditionalFormatting>
  <conditionalFormatting sqref="B2:B45">
    <cfRule type="expression" dxfId="69" priority="1">
      <formula>AND(ROW()&gt;1, E2&lt;&gt;"", COUNTIFS(A:A, $A2, B:B, $B2, F:F, "Yes")=0)</formula>
    </cfRule>
  </conditionalFormatting>
  <conditionalFormatting sqref="F2:F47">
    <cfRule type="expression" dxfId="68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DE009E81-8B4B-4C4E-97E0-1EB01465DF35}">
      <formula1>"No, Yes"</formula1>
    </dataValidation>
    <dataValidation type="list" allowBlank="1" showErrorMessage="1" promptTitle="Select" sqref="B2:B45" xr:uid="{CA286355-7983-0D47-91C2-D1A2ECCDDAE6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94E679AD-D4C0-9040-A199-56075C48E99C}">
          <x14:formula1>
            <xm:f>'Active Jobs'!$B$2:$B$154</xm:f>
          </x14:formula1>
          <xm:sqref>C2:C47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AEBB-2F2A-2541-8B4E-2B8127BEFF07}">
  <sheetPr codeName="Sheet29"/>
  <dimension ref="A1:W48"/>
  <sheetViews>
    <sheetView zoomScale="125" zoomScaleNormal="125" workbookViewId="0">
      <selection activeCell="B3" sqref="B3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45768</v>
      </c>
      <c r="P1" s="63">
        <v>45769</v>
      </c>
      <c r="Q1" s="63">
        <v>45770</v>
      </c>
      <c r="R1" s="63">
        <v>45771</v>
      </c>
      <c r="S1" s="63">
        <v>45772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45768</v>
      </c>
      <c r="B2" s="15" t="s">
        <v>335</v>
      </c>
      <c r="D2" s="5"/>
      <c r="E2" s="5"/>
      <c r="F2" s="6"/>
      <c r="G2" s="6"/>
      <c r="H2" s="50"/>
      <c r="I2" s="91"/>
      <c r="J2" s="50" t="str">
        <f t="shared" ref="J2:J47" si="0">IF(G2="","",G2*24*HourlyRate*2*(1+Super))</f>
        <v/>
      </c>
      <c r="K2" s="50" t="str">
        <f t="shared" ref="K2:K47" si="1">IF(H2="","",IF(E2="","",IF(J2=0,0,H2-J2)))</f>
        <v/>
      </c>
      <c r="L2" s="9" t="str">
        <f>IF(K2="","",IF(H2=0,1,J2/H2))</f>
        <v/>
      </c>
      <c r="M2" s="16">
        <v>1</v>
      </c>
      <c r="N2" s="41" t="str" cm="1">
        <f t="array" ref="N2:N7">IF(B2="","",_xlfn.UNIQUE(TRANSPOSE(_xlfn.TEXTSPLIT(_xlfn.TEXTJOIN(" &amp; ", TRUE, TRIM(B2:B219)), " &amp; "))))</f>
        <v>Aoife O'Gorman</v>
      </c>
      <c r="O2" s="23">
        <f>IF(N2="","",ROUND(SUMIFS($I:$I,$A:$A,O$1,$B:$B,"*"&amp;$N2&amp;"*"),2))</f>
        <v>0</v>
      </c>
      <c r="P2" s="23">
        <f>IF(O2="","",ROUND(SUMIFS($I:$I,$A:$A,P$1,$B:$B,"*"&amp;$N2&amp;"*"),2))</f>
        <v>8.58</v>
      </c>
      <c r="Q2" s="23">
        <f>IF(P2="","",ROUND(SUMIFS($I:$I,$A:$A,Q$1,$B:$B,"*"&amp;$N2&amp;"*"),2))</f>
        <v>9</v>
      </c>
      <c r="R2" s="23">
        <f>IF(Q2="","",ROUND(SUMIFS($I:$I,$A:$A,R$1,$B:$B,"*"&amp;$N2&amp;"*"),2))</f>
        <v>8.67</v>
      </c>
      <c r="S2" s="23">
        <f>IF(R2="","",ROUND(SUMIFS($I:$I,$A:$A,S$1,$B:$B,"*"&amp;$N2&amp;"*"),2))</f>
        <v>0</v>
      </c>
      <c r="T2" s="10">
        <f t="shared" ref="T2:T42" si="2">IF(N2="","",SUM(O2:S2))</f>
        <v>26.25</v>
      </c>
      <c r="U2" s="24"/>
      <c r="V2" s="24">
        <f t="shared" ref="V2:V18" si="3">IF(N2="","",T2*HourlyRate)</f>
        <v>789.86249999999995</v>
      </c>
      <c r="W2" s="25">
        <f t="shared" ref="W2:W18" si="4">IF(N2="","",V2*Super)</f>
        <v>90.834187499999999</v>
      </c>
    </row>
    <row r="3" spans="1:23" ht="26" customHeight="1">
      <c r="A3" s="37">
        <v>45768</v>
      </c>
      <c r="B3" s="15" t="s">
        <v>90</v>
      </c>
      <c r="D3" s="5"/>
      <c r="E3" s="5"/>
      <c r="F3" s="6"/>
      <c r="G3" s="6"/>
      <c r="H3" s="50"/>
      <c r="I3" s="91"/>
      <c r="J3" s="50" t="str">
        <f t="shared" si="0"/>
        <v/>
      </c>
      <c r="K3" s="50" t="str">
        <f t="shared" si="1"/>
        <v/>
      </c>
      <c r="L3" s="9" t="str">
        <f t="shared" ref="L3:L47" si="5">IF(K3="","",IF(H3=0,1,J3/H3))</f>
        <v/>
      </c>
      <c r="M3" s="16">
        <v>2</v>
      </c>
      <c r="N3" s="42" t="str">
        <v>Julie Roccati</v>
      </c>
      <c r="O3" s="23">
        <f t="shared" ref="O3:S18" si="6">IF(N3="","",ROUND(SUMIFS($I:$I,$A:$A,O$1,$B:$B,"*"&amp;$N3&amp;"*"),2))</f>
        <v>0</v>
      </c>
      <c r="P3" s="23">
        <f t="shared" si="6"/>
        <v>8.42</v>
      </c>
      <c r="Q3" s="23">
        <f t="shared" si="6"/>
        <v>8.92</v>
      </c>
      <c r="R3" s="23">
        <f t="shared" si="6"/>
        <v>6.25</v>
      </c>
      <c r="S3" s="23">
        <f t="shared" si="6"/>
        <v>0</v>
      </c>
      <c r="T3" s="10">
        <f t="shared" si="2"/>
        <v>23.59</v>
      </c>
      <c r="U3" s="21"/>
      <c r="V3" s="24">
        <f t="shared" si="3"/>
        <v>709.82309999999995</v>
      </c>
      <c r="W3" s="25">
        <f t="shared" si="4"/>
        <v>81.629656499999996</v>
      </c>
    </row>
    <row r="4" spans="1:23" ht="25" customHeight="1">
      <c r="A4" s="37">
        <v>45768</v>
      </c>
      <c r="B4" s="15" t="s">
        <v>89</v>
      </c>
      <c r="D4" s="5"/>
      <c r="E4" s="5"/>
      <c r="F4" s="6"/>
      <c r="G4" s="6"/>
      <c r="H4" s="50"/>
      <c r="I4" s="91"/>
      <c r="J4" s="50" t="str">
        <f t="shared" si="0"/>
        <v/>
      </c>
      <c r="K4" s="50" t="str">
        <f t="shared" si="1"/>
        <v/>
      </c>
      <c r="L4" s="9" t="str">
        <f t="shared" si="5"/>
        <v/>
      </c>
      <c r="M4" s="16">
        <v>2</v>
      </c>
      <c r="N4" s="42" t="str">
        <v>Cliodhna Corr</v>
      </c>
      <c r="O4" s="23">
        <f t="shared" si="6"/>
        <v>0</v>
      </c>
      <c r="P4" s="23">
        <f t="shared" si="6"/>
        <v>0</v>
      </c>
      <c r="Q4" s="23">
        <f t="shared" si="6"/>
        <v>8.92</v>
      </c>
      <c r="R4" s="23">
        <f t="shared" si="6"/>
        <v>0</v>
      </c>
      <c r="S4" s="23">
        <f t="shared" si="6"/>
        <v>0</v>
      </c>
      <c r="T4" s="10">
        <f t="shared" si="2"/>
        <v>8.92</v>
      </c>
      <c r="U4" s="21"/>
      <c r="V4" s="24">
        <f t="shared" si="3"/>
        <v>268.40280000000001</v>
      </c>
      <c r="W4" s="25">
        <f t="shared" si="4"/>
        <v>30.866322000000004</v>
      </c>
    </row>
    <row r="5" spans="1:23" ht="25" customHeight="1">
      <c r="A5" s="37">
        <v>45768</v>
      </c>
      <c r="B5" s="15" t="s">
        <v>83</v>
      </c>
      <c r="D5" s="5"/>
      <c r="E5" s="5"/>
      <c r="F5" s="6"/>
      <c r="G5" s="6"/>
      <c r="H5" s="50"/>
      <c r="I5" s="91"/>
      <c r="J5" s="50" t="str">
        <f t="shared" si="0"/>
        <v/>
      </c>
      <c r="K5" s="50" t="str">
        <f t="shared" si="1"/>
        <v/>
      </c>
      <c r="L5" s="9" t="str">
        <f t="shared" si="5"/>
        <v/>
      </c>
      <c r="M5" s="16">
        <v>3</v>
      </c>
      <c r="N5" s="42" t="str">
        <v>Nancy Scott</v>
      </c>
      <c r="O5" s="23">
        <f t="shared" si="6"/>
        <v>0</v>
      </c>
      <c r="P5" s="23">
        <f t="shared" si="6"/>
        <v>0</v>
      </c>
      <c r="Q5" s="23">
        <f t="shared" si="6"/>
        <v>0</v>
      </c>
      <c r="R5" s="23">
        <f t="shared" si="6"/>
        <v>0</v>
      </c>
      <c r="S5" s="23">
        <f t="shared" si="6"/>
        <v>0</v>
      </c>
      <c r="T5" s="10">
        <f t="shared" si="2"/>
        <v>0</v>
      </c>
      <c r="U5" s="21"/>
      <c r="V5" s="24">
        <f t="shared" si="3"/>
        <v>0</v>
      </c>
      <c r="W5" s="25">
        <f t="shared" si="4"/>
        <v>0</v>
      </c>
    </row>
    <row r="6" spans="1:23" ht="25" customHeight="1">
      <c r="A6" s="37">
        <v>45768</v>
      </c>
      <c r="B6" s="15" t="s">
        <v>84</v>
      </c>
      <c r="D6" s="5"/>
      <c r="E6" s="5"/>
      <c r="F6" s="6"/>
      <c r="G6" s="6"/>
      <c r="H6" s="50"/>
      <c r="I6" s="91"/>
      <c r="J6" s="50" t="str">
        <f t="shared" si="0"/>
        <v/>
      </c>
      <c r="K6" s="50" t="str">
        <f t="shared" si="1"/>
        <v/>
      </c>
      <c r="L6" s="9" t="str">
        <f t="shared" si="5"/>
        <v/>
      </c>
      <c r="M6" s="16">
        <v>1</v>
      </c>
      <c r="N6" s="43" t="str">
        <v>Orla Shelly</v>
      </c>
      <c r="O6" s="23">
        <f t="shared" si="6"/>
        <v>0</v>
      </c>
      <c r="P6" s="23">
        <f t="shared" si="6"/>
        <v>8.58</v>
      </c>
      <c r="Q6" s="23">
        <f t="shared" si="6"/>
        <v>9</v>
      </c>
      <c r="R6" s="23">
        <f t="shared" si="6"/>
        <v>8.67</v>
      </c>
      <c r="S6" s="23">
        <f t="shared" si="6"/>
        <v>0</v>
      </c>
      <c r="T6" s="10">
        <f t="shared" si="2"/>
        <v>26.25</v>
      </c>
      <c r="U6" s="21"/>
      <c r="V6" s="24">
        <f t="shared" si="3"/>
        <v>789.86249999999995</v>
      </c>
      <c r="W6" s="25">
        <f t="shared" si="4"/>
        <v>90.834187499999999</v>
      </c>
    </row>
    <row r="7" spans="1:23" ht="25" customHeight="1">
      <c r="A7" s="37">
        <v>45768</v>
      </c>
      <c r="B7" s="15" t="s">
        <v>91</v>
      </c>
      <c r="D7" s="5"/>
      <c r="E7" s="5"/>
      <c r="F7" s="6"/>
      <c r="G7" s="6"/>
      <c r="H7" s="50"/>
      <c r="I7" s="91"/>
      <c r="J7" s="50" t="str">
        <f t="shared" si="0"/>
        <v/>
      </c>
      <c r="K7" s="50" t="str">
        <f t="shared" si="1"/>
        <v/>
      </c>
      <c r="L7" s="9" t="str">
        <f t="shared" si="5"/>
        <v/>
      </c>
      <c r="M7" s="16">
        <v>3</v>
      </c>
      <c r="N7" s="47" t="str">
        <v>Orlaith Murphy</v>
      </c>
      <c r="O7" s="23">
        <f t="shared" si="6"/>
        <v>0</v>
      </c>
      <c r="P7" s="23">
        <f t="shared" si="6"/>
        <v>8.83</v>
      </c>
      <c r="Q7" s="23">
        <f t="shared" si="6"/>
        <v>9.25</v>
      </c>
      <c r="R7" s="23">
        <f t="shared" si="6"/>
        <v>8.33</v>
      </c>
      <c r="S7" s="23">
        <f t="shared" si="6"/>
        <v>0</v>
      </c>
      <c r="T7" s="10">
        <f t="shared" si="2"/>
        <v>26.409999999999997</v>
      </c>
      <c r="U7" s="21"/>
      <c r="V7" s="24">
        <f t="shared" si="3"/>
        <v>794.67689999999993</v>
      </c>
      <c r="W7" s="25">
        <f t="shared" si="4"/>
        <v>91.387843500000002</v>
      </c>
    </row>
    <row r="8" spans="1:23" ht="25" customHeight="1">
      <c r="A8" s="37">
        <v>45769</v>
      </c>
      <c r="B8" s="15" t="s">
        <v>335</v>
      </c>
      <c r="C8" s="49"/>
      <c r="D8" s="5"/>
      <c r="E8" s="5"/>
      <c r="F8" s="6"/>
      <c r="G8" s="6"/>
      <c r="H8" s="50"/>
      <c r="I8" s="8">
        <v>8.58</v>
      </c>
      <c r="J8" s="50" t="str">
        <f t="shared" si="0"/>
        <v/>
      </c>
      <c r="K8" s="50" t="str">
        <f t="shared" si="1"/>
        <v/>
      </c>
      <c r="L8" s="9" t="str">
        <f t="shared" si="5"/>
        <v/>
      </c>
      <c r="M8" s="16">
        <v>1</v>
      </c>
      <c r="N8" s="41"/>
      <c r="O8" s="23" t="str">
        <f t="shared" si="6"/>
        <v/>
      </c>
      <c r="P8" s="23" t="str">
        <f t="shared" si="6"/>
        <v/>
      </c>
      <c r="Q8" s="23" t="str">
        <f t="shared" si="6"/>
        <v/>
      </c>
      <c r="R8" s="23" t="str">
        <f t="shared" si="6"/>
        <v/>
      </c>
      <c r="S8" s="23" t="str">
        <f t="shared" si="6"/>
        <v/>
      </c>
      <c r="T8" s="10" t="str">
        <f t="shared" si="2"/>
        <v/>
      </c>
      <c r="U8" s="21"/>
      <c r="V8" s="24" t="str">
        <f t="shared" si="3"/>
        <v/>
      </c>
      <c r="W8" s="25" t="str">
        <f t="shared" si="4"/>
        <v/>
      </c>
    </row>
    <row r="9" spans="1:23" ht="25" customHeight="1">
      <c r="A9" s="37">
        <v>45769</v>
      </c>
      <c r="B9" s="15" t="s">
        <v>89</v>
      </c>
      <c r="D9" s="5"/>
      <c r="E9" s="5"/>
      <c r="F9" s="6"/>
      <c r="G9" s="6"/>
      <c r="H9" s="50"/>
      <c r="I9" s="8" t="s">
        <v>82</v>
      </c>
      <c r="J9" s="50" t="str">
        <f t="shared" si="0"/>
        <v/>
      </c>
      <c r="K9" s="50" t="str">
        <f t="shared" si="1"/>
        <v/>
      </c>
      <c r="L9" s="9" t="str">
        <f t="shared" si="5"/>
        <v/>
      </c>
      <c r="M9" s="16">
        <v>2</v>
      </c>
      <c r="N9" s="47"/>
      <c r="O9" s="23" t="str">
        <f t="shared" si="6"/>
        <v/>
      </c>
      <c r="P9" s="23" t="str">
        <f t="shared" si="6"/>
        <v/>
      </c>
      <c r="Q9" s="23" t="str">
        <f t="shared" si="6"/>
        <v/>
      </c>
      <c r="R9" s="23" t="str">
        <f t="shared" si="6"/>
        <v/>
      </c>
      <c r="S9" s="23" t="str">
        <f t="shared" si="6"/>
        <v/>
      </c>
      <c r="T9" s="10" t="str">
        <f t="shared" si="2"/>
        <v/>
      </c>
      <c r="U9" s="21"/>
      <c r="V9" s="24" t="str">
        <f t="shared" si="3"/>
        <v/>
      </c>
      <c r="W9" s="25" t="str">
        <f t="shared" si="4"/>
        <v/>
      </c>
    </row>
    <row r="10" spans="1:23" ht="25" customHeight="1">
      <c r="A10" s="37">
        <v>45769</v>
      </c>
      <c r="B10" s="15" t="s">
        <v>90</v>
      </c>
      <c r="D10" s="5"/>
      <c r="E10" s="5"/>
      <c r="F10" s="6"/>
      <c r="G10" s="6"/>
      <c r="H10" s="50"/>
      <c r="I10" s="8">
        <v>8.42</v>
      </c>
      <c r="J10" s="50" t="str">
        <f t="shared" si="0"/>
        <v/>
      </c>
      <c r="K10" s="50" t="str">
        <f t="shared" si="1"/>
        <v/>
      </c>
      <c r="L10" s="9" t="str">
        <f t="shared" si="5"/>
        <v/>
      </c>
      <c r="M10" s="16">
        <v>2</v>
      </c>
      <c r="O10" s="23" t="str">
        <f t="shared" si="6"/>
        <v/>
      </c>
      <c r="P10" s="23" t="str">
        <f t="shared" si="6"/>
        <v/>
      </c>
      <c r="Q10" s="23" t="str">
        <f t="shared" si="6"/>
        <v/>
      </c>
      <c r="R10" s="23" t="str">
        <f t="shared" si="6"/>
        <v/>
      </c>
      <c r="S10" s="23" t="str">
        <f t="shared" si="6"/>
        <v/>
      </c>
      <c r="T10" s="10" t="str">
        <f t="shared" si="2"/>
        <v/>
      </c>
      <c r="U10" s="21"/>
      <c r="V10" s="24" t="str">
        <f t="shared" si="3"/>
        <v/>
      </c>
      <c r="W10" s="25" t="str">
        <f t="shared" si="4"/>
        <v/>
      </c>
    </row>
    <row r="11" spans="1:23" ht="25" customHeight="1">
      <c r="A11" s="37">
        <v>45769</v>
      </c>
      <c r="B11" s="15" t="s">
        <v>83</v>
      </c>
      <c r="D11" s="5"/>
      <c r="E11" s="5"/>
      <c r="F11" s="6"/>
      <c r="G11" s="6"/>
      <c r="H11" s="50"/>
      <c r="I11" s="8" t="s">
        <v>82</v>
      </c>
      <c r="J11" s="50" t="str">
        <f t="shared" si="0"/>
        <v/>
      </c>
      <c r="K11" s="50" t="str">
        <f t="shared" si="1"/>
        <v/>
      </c>
      <c r="L11" s="9" t="str">
        <f t="shared" si="5"/>
        <v/>
      </c>
      <c r="M11" s="16">
        <v>3</v>
      </c>
      <c r="O11" s="23" t="str">
        <f t="shared" si="6"/>
        <v/>
      </c>
      <c r="P11" s="23" t="str">
        <f t="shared" si="6"/>
        <v/>
      </c>
      <c r="Q11" s="23" t="str">
        <f t="shared" si="6"/>
        <v/>
      </c>
      <c r="R11" s="23" t="str">
        <f t="shared" si="6"/>
        <v/>
      </c>
      <c r="S11" s="23" t="str">
        <f t="shared" si="6"/>
        <v/>
      </c>
      <c r="T11" s="10" t="str">
        <f t="shared" si="2"/>
        <v/>
      </c>
      <c r="U11" s="21"/>
      <c r="V11" s="24" t="str">
        <f t="shared" si="3"/>
        <v/>
      </c>
      <c r="W11" s="25" t="str">
        <f t="shared" si="4"/>
        <v/>
      </c>
    </row>
    <row r="12" spans="1:23" ht="25" customHeight="1">
      <c r="A12" s="37">
        <v>45769</v>
      </c>
      <c r="B12" s="15" t="s">
        <v>84</v>
      </c>
      <c r="D12" s="5"/>
      <c r="E12" s="5"/>
      <c r="F12" s="6"/>
      <c r="G12" s="6"/>
      <c r="H12" s="50"/>
      <c r="I12" s="8">
        <v>8.58</v>
      </c>
      <c r="J12" s="50" t="str">
        <f t="shared" si="0"/>
        <v/>
      </c>
      <c r="K12" s="50" t="str">
        <f t="shared" si="1"/>
        <v/>
      </c>
      <c r="L12" s="9" t="str">
        <f t="shared" si="5"/>
        <v/>
      </c>
      <c r="M12" s="16">
        <v>1</v>
      </c>
      <c r="O12" s="23" t="str">
        <f t="shared" si="6"/>
        <v/>
      </c>
      <c r="P12" s="23" t="str">
        <f t="shared" si="6"/>
        <v/>
      </c>
      <c r="Q12" s="23" t="str">
        <f t="shared" si="6"/>
        <v/>
      </c>
      <c r="R12" s="23" t="str">
        <f t="shared" si="6"/>
        <v/>
      </c>
      <c r="S12" s="23" t="str">
        <f t="shared" si="6"/>
        <v/>
      </c>
      <c r="T12" s="10" t="str">
        <f t="shared" si="2"/>
        <v/>
      </c>
      <c r="V12" s="24" t="str">
        <f t="shared" si="3"/>
        <v/>
      </c>
      <c r="W12" s="25" t="str">
        <f t="shared" si="4"/>
        <v/>
      </c>
    </row>
    <row r="13" spans="1:23" ht="25" customHeight="1">
      <c r="A13" s="37">
        <v>45769</v>
      </c>
      <c r="B13" s="15" t="s">
        <v>91</v>
      </c>
      <c r="D13" s="5"/>
      <c r="E13" s="5"/>
      <c r="F13" s="6"/>
      <c r="G13" s="6"/>
      <c r="H13" s="50"/>
      <c r="I13" s="8">
        <v>8.83</v>
      </c>
      <c r="J13" s="50" t="str">
        <f t="shared" si="0"/>
        <v/>
      </c>
      <c r="K13" s="50" t="str">
        <f t="shared" si="1"/>
        <v/>
      </c>
      <c r="L13" s="9" t="str">
        <f t="shared" si="5"/>
        <v/>
      </c>
      <c r="M13" s="16">
        <v>3</v>
      </c>
      <c r="O13" s="23" t="str">
        <f t="shared" si="6"/>
        <v/>
      </c>
      <c r="P13" s="23" t="str">
        <f t="shared" si="6"/>
        <v/>
      </c>
      <c r="Q13" s="23" t="str">
        <f t="shared" si="6"/>
        <v/>
      </c>
      <c r="R13" s="23" t="str">
        <f t="shared" si="6"/>
        <v/>
      </c>
      <c r="S13" s="23" t="str">
        <f t="shared" si="6"/>
        <v/>
      </c>
      <c r="T13" s="10" t="str">
        <f t="shared" si="2"/>
        <v/>
      </c>
      <c r="V13" s="24" t="str">
        <f t="shared" si="3"/>
        <v/>
      </c>
      <c r="W13" s="25" t="str">
        <f t="shared" si="4"/>
        <v/>
      </c>
    </row>
    <row r="14" spans="1:23" ht="25" customHeight="1">
      <c r="A14" s="37">
        <v>45770</v>
      </c>
      <c r="B14" s="15" t="s">
        <v>335</v>
      </c>
      <c r="D14" s="5"/>
      <c r="E14" s="5"/>
      <c r="F14" s="6"/>
      <c r="G14" s="6"/>
      <c r="H14" s="50"/>
      <c r="I14" s="8">
        <v>9</v>
      </c>
      <c r="J14" s="50" t="str">
        <f t="shared" si="0"/>
        <v/>
      </c>
      <c r="K14" s="50" t="str">
        <f t="shared" si="1"/>
        <v/>
      </c>
      <c r="L14" s="9" t="str">
        <f t="shared" si="5"/>
        <v/>
      </c>
      <c r="M14" s="16">
        <v>1</v>
      </c>
      <c r="O14" s="23" t="str">
        <f t="shared" si="6"/>
        <v/>
      </c>
      <c r="P14" s="23" t="str">
        <f t="shared" si="6"/>
        <v/>
      </c>
      <c r="Q14" s="23" t="str">
        <f t="shared" si="6"/>
        <v/>
      </c>
      <c r="R14" s="23" t="str">
        <f t="shared" si="6"/>
        <v/>
      </c>
      <c r="S14" s="23" t="str">
        <f t="shared" si="6"/>
        <v/>
      </c>
      <c r="T14" s="10" t="str">
        <f t="shared" si="2"/>
        <v/>
      </c>
      <c r="V14" s="24" t="str">
        <f t="shared" si="3"/>
        <v/>
      </c>
      <c r="W14" s="25" t="str">
        <f t="shared" si="4"/>
        <v/>
      </c>
    </row>
    <row r="15" spans="1:23" ht="25" customHeight="1">
      <c r="A15" s="37">
        <v>45770</v>
      </c>
      <c r="B15" s="15" t="s">
        <v>89</v>
      </c>
      <c r="D15" s="5"/>
      <c r="E15" s="5"/>
      <c r="F15" s="6"/>
      <c r="G15" s="6"/>
      <c r="H15" s="50"/>
      <c r="I15" s="8">
        <v>8.92</v>
      </c>
      <c r="J15" s="50" t="str">
        <f t="shared" si="0"/>
        <v/>
      </c>
      <c r="K15" s="50" t="str">
        <f t="shared" si="1"/>
        <v/>
      </c>
      <c r="L15" s="9" t="str">
        <f t="shared" si="5"/>
        <v/>
      </c>
      <c r="M15" s="16">
        <v>2</v>
      </c>
      <c r="O15" s="23" t="str">
        <f t="shared" si="6"/>
        <v/>
      </c>
      <c r="P15" s="23" t="str">
        <f t="shared" si="6"/>
        <v/>
      </c>
      <c r="Q15" s="23" t="str">
        <f t="shared" si="6"/>
        <v/>
      </c>
      <c r="R15" s="23" t="str">
        <f t="shared" si="6"/>
        <v/>
      </c>
      <c r="S15" s="23" t="str">
        <f t="shared" si="6"/>
        <v/>
      </c>
      <c r="T15" s="10" t="str">
        <f t="shared" si="2"/>
        <v/>
      </c>
      <c r="V15" s="24" t="str">
        <f t="shared" si="3"/>
        <v/>
      </c>
      <c r="W15" s="25" t="str">
        <f t="shared" si="4"/>
        <v/>
      </c>
    </row>
    <row r="16" spans="1:23" ht="25" customHeight="1">
      <c r="A16" s="37">
        <v>45770</v>
      </c>
      <c r="B16" s="15" t="s">
        <v>90</v>
      </c>
      <c r="D16" s="5"/>
      <c r="E16" s="5"/>
      <c r="F16" s="6"/>
      <c r="G16" s="6"/>
      <c r="H16" s="50"/>
      <c r="I16" s="8">
        <v>8.92</v>
      </c>
      <c r="J16" s="50" t="str">
        <f t="shared" si="0"/>
        <v/>
      </c>
      <c r="K16" s="50" t="str">
        <f t="shared" si="1"/>
        <v/>
      </c>
      <c r="L16" s="9" t="str">
        <f t="shared" si="5"/>
        <v/>
      </c>
      <c r="M16" s="16">
        <v>2</v>
      </c>
      <c r="O16" s="23" t="str">
        <f t="shared" si="6"/>
        <v/>
      </c>
      <c r="P16" s="23" t="str">
        <f t="shared" si="6"/>
        <v/>
      </c>
      <c r="Q16" s="23" t="str">
        <f t="shared" si="6"/>
        <v/>
      </c>
      <c r="R16" s="23" t="str">
        <f t="shared" si="6"/>
        <v/>
      </c>
      <c r="S16" s="23" t="str">
        <f t="shared" si="6"/>
        <v/>
      </c>
      <c r="T16" s="10" t="str">
        <f t="shared" si="2"/>
        <v/>
      </c>
      <c r="V16" s="24" t="str">
        <f t="shared" si="3"/>
        <v/>
      </c>
      <c r="W16" s="25" t="str">
        <f t="shared" si="4"/>
        <v/>
      </c>
    </row>
    <row r="17" spans="1:23" ht="25" customHeight="1">
      <c r="A17" s="37">
        <v>45770</v>
      </c>
      <c r="B17" s="15" t="s">
        <v>83</v>
      </c>
      <c r="D17" s="5"/>
      <c r="E17" s="5"/>
      <c r="F17" s="6" t="str">
        <f t="shared" ref="F17:F47" si="7">IF(E17="","","No")</f>
        <v/>
      </c>
      <c r="G17" s="6" t="str">
        <f t="shared" ref="G17:G47" si="8">IF(E17="","",IF(F17="Yes",(E17-D17)-TIME(0,30,0),E17-D17))</f>
        <v/>
      </c>
      <c r="H17" s="50" t="str">
        <f>_xlfn.IFNA(VLOOKUP(C:C,'Active Jobs'!B:K,8,0),"")</f>
        <v/>
      </c>
      <c r="I17" s="8" t="s">
        <v>82</v>
      </c>
      <c r="J17" s="50" t="str">
        <f t="shared" si="0"/>
        <v/>
      </c>
      <c r="K17" s="50" t="str">
        <f t="shared" si="1"/>
        <v/>
      </c>
      <c r="L17" s="9" t="str">
        <f t="shared" si="5"/>
        <v/>
      </c>
      <c r="M17" s="16">
        <v>3</v>
      </c>
      <c r="O17" s="23" t="str">
        <f t="shared" si="6"/>
        <v/>
      </c>
      <c r="P17" s="23" t="str">
        <f t="shared" si="6"/>
        <v/>
      </c>
      <c r="Q17" s="23" t="str">
        <f t="shared" si="6"/>
        <v/>
      </c>
      <c r="R17" s="23" t="str">
        <f t="shared" si="6"/>
        <v/>
      </c>
      <c r="S17" s="23" t="str">
        <f t="shared" si="6"/>
        <v/>
      </c>
      <c r="T17" s="10" t="str">
        <f t="shared" si="2"/>
        <v/>
      </c>
      <c r="V17" s="24" t="str">
        <f t="shared" si="3"/>
        <v/>
      </c>
      <c r="W17" s="25" t="str">
        <f t="shared" si="4"/>
        <v/>
      </c>
    </row>
    <row r="18" spans="1:23" ht="25" customHeight="1">
      <c r="A18" s="37">
        <v>45770</v>
      </c>
      <c r="B18" s="15" t="s">
        <v>84</v>
      </c>
      <c r="D18" s="5"/>
      <c r="E18" s="5"/>
      <c r="F18" s="6" t="str">
        <f t="shared" si="7"/>
        <v/>
      </c>
      <c r="G18" s="6" t="str">
        <f t="shared" si="8"/>
        <v/>
      </c>
      <c r="H18" s="50" t="str">
        <f>_xlfn.IFNA(VLOOKUP(C:C,'Active Jobs'!B:K,8,0),"")</f>
        <v/>
      </c>
      <c r="I18" s="8">
        <v>9</v>
      </c>
      <c r="J18" s="50" t="str">
        <f t="shared" si="0"/>
        <v/>
      </c>
      <c r="K18" s="50" t="str">
        <f t="shared" si="1"/>
        <v/>
      </c>
      <c r="L18" s="9" t="str">
        <f t="shared" si="5"/>
        <v/>
      </c>
      <c r="M18" s="16">
        <v>1</v>
      </c>
      <c r="O18" s="23" t="str">
        <f t="shared" si="6"/>
        <v/>
      </c>
      <c r="P18" s="23" t="str">
        <f t="shared" si="6"/>
        <v/>
      </c>
      <c r="Q18" s="23" t="str">
        <f t="shared" si="6"/>
        <v/>
      </c>
      <c r="R18" s="23" t="str">
        <f t="shared" si="6"/>
        <v/>
      </c>
      <c r="S18" s="23" t="str">
        <f t="shared" si="6"/>
        <v/>
      </c>
      <c r="T18" s="10" t="str">
        <f t="shared" si="2"/>
        <v/>
      </c>
      <c r="V18" s="24" t="str">
        <f t="shared" si="3"/>
        <v/>
      </c>
      <c r="W18" s="25" t="str">
        <f t="shared" si="4"/>
        <v/>
      </c>
    </row>
    <row r="19" spans="1:23" ht="25" customHeight="1">
      <c r="A19" s="37">
        <v>45770</v>
      </c>
      <c r="B19" s="15" t="s">
        <v>91</v>
      </c>
      <c r="D19" s="5"/>
      <c r="E19" s="5"/>
      <c r="F19" s="6" t="str">
        <f t="shared" si="7"/>
        <v/>
      </c>
      <c r="G19" s="6" t="str">
        <f t="shared" si="8"/>
        <v/>
      </c>
      <c r="H19" s="50" t="str">
        <f>_xlfn.IFNA(VLOOKUP(C:C,'Active Jobs'!B:K,8,0),"")</f>
        <v/>
      </c>
      <c r="I19" s="8">
        <v>9.25</v>
      </c>
      <c r="J19" s="50" t="str">
        <f t="shared" si="0"/>
        <v/>
      </c>
      <c r="K19" s="50" t="str">
        <f t="shared" si="1"/>
        <v/>
      </c>
      <c r="L19" s="9" t="str">
        <f t="shared" si="5"/>
        <v/>
      </c>
      <c r="M19" s="16">
        <v>3</v>
      </c>
      <c r="O19" s="23" t="str">
        <f t="shared" ref="O19:S34" si="9">IF(N19="","",ROUND(SUMIFS($I:$I,$A:$A,O$1,$B:$B,"*"&amp;$N19&amp;"*"),2))</f>
        <v/>
      </c>
      <c r="P19" s="23" t="str">
        <f t="shared" si="9"/>
        <v/>
      </c>
      <c r="Q19" s="23" t="str">
        <f t="shared" si="9"/>
        <v/>
      </c>
      <c r="R19" s="23" t="str">
        <f t="shared" si="9"/>
        <v/>
      </c>
      <c r="S19" s="23" t="str">
        <f t="shared" si="9"/>
        <v/>
      </c>
      <c r="T19" s="74" t="str">
        <f t="shared" si="2"/>
        <v/>
      </c>
    </row>
    <row r="20" spans="1:23" ht="25" customHeight="1">
      <c r="A20" s="37">
        <v>45771</v>
      </c>
      <c r="B20" s="15" t="s">
        <v>335</v>
      </c>
      <c r="D20" s="5"/>
      <c r="E20" s="5"/>
      <c r="F20" s="6" t="str">
        <f t="shared" si="7"/>
        <v/>
      </c>
      <c r="G20" s="6" t="str">
        <f t="shared" si="8"/>
        <v/>
      </c>
      <c r="H20" s="50" t="str">
        <f>_xlfn.IFNA(VLOOKUP(C:C,'Active Jobs'!B:K,8,0),"")</f>
        <v/>
      </c>
      <c r="I20" s="8">
        <v>8.67</v>
      </c>
      <c r="J20" s="50" t="str">
        <f t="shared" si="0"/>
        <v/>
      </c>
      <c r="K20" s="50" t="str">
        <f t="shared" si="1"/>
        <v/>
      </c>
      <c r="L20" s="9" t="str">
        <f t="shared" si="5"/>
        <v/>
      </c>
      <c r="M20" s="16">
        <v>1</v>
      </c>
      <c r="O20" s="23" t="str">
        <f t="shared" si="9"/>
        <v/>
      </c>
      <c r="P20" s="23" t="str">
        <f t="shared" si="9"/>
        <v/>
      </c>
      <c r="Q20" s="23" t="str">
        <f t="shared" si="9"/>
        <v/>
      </c>
      <c r="R20" s="23" t="str">
        <f t="shared" si="9"/>
        <v/>
      </c>
      <c r="S20" s="23" t="str">
        <f t="shared" si="9"/>
        <v/>
      </c>
      <c r="T20" s="74" t="str">
        <f t="shared" si="2"/>
        <v/>
      </c>
    </row>
    <row r="21" spans="1:23" ht="25" customHeight="1">
      <c r="A21" s="37">
        <v>45771</v>
      </c>
      <c r="B21" s="15" t="s">
        <v>89</v>
      </c>
      <c r="D21" s="5"/>
      <c r="E21" s="5"/>
      <c r="F21" s="6" t="str">
        <f t="shared" si="7"/>
        <v/>
      </c>
      <c r="G21" s="6" t="str">
        <f t="shared" si="8"/>
        <v/>
      </c>
      <c r="H21" s="50" t="str">
        <f>_xlfn.IFNA(VLOOKUP(C:C,'Active Jobs'!B:K,8,0),"")</f>
        <v/>
      </c>
      <c r="I21" s="8" t="s">
        <v>82</v>
      </c>
      <c r="J21" s="50" t="str">
        <f t="shared" si="0"/>
        <v/>
      </c>
      <c r="K21" s="50" t="str">
        <f t="shared" si="1"/>
        <v/>
      </c>
      <c r="L21" s="9" t="str">
        <f t="shared" si="5"/>
        <v/>
      </c>
      <c r="M21" s="16">
        <v>2</v>
      </c>
      <c r="O21" s="23" t="str">
        <f t="shared" si="9"/>
        <v/>
      </c>
      <c r="P21" s="23" t="str">
        <f t="shared" si="9"/>
        <v/>
      </c>
      <c r="Q21" s="23" t="str">
        <f t="shared" si="9"/>
        <v/>
      </c>
      <c r="R21" s="23" t="str">
        <f t="shared" si="9"/>
        <v/>
      </c>
      <c r="S21" s="23" t="str">
        <f t="shared" si="9"/>
        <v/>
      </c>
      <c r="T21" s="74" t="str">
        <f t="shared" si="2"/>
        <v/>
      </c>
    </row>
    <row r="22" spans="1:23" ht="25" customHeight="1">
      <c r="A22" s="37">
        <v>45771</v>
      </c>
      <c r="B22" s="15" t="s">
        <v>90</v>
      </c>
      <c r="D22" s="5"/>
      <c r="E22" s="5"/>
      <c r="F22" s="6" t="str">
        <f t="shared" si="7"/>
        <v/>
      </c>
      <c r="G22" s="6" t="str">
        <f t="shared" si="8"/>
        <v/>
      </c>
      <c r="H22" s="50" t="str">
        <f>_xlfn.IFNA(VLOOKUP(C:C,'Active Jobs'!B:K,8,0),"")</f>
        <v/>
      </c>
      <c r="I22" s="8">
        <v>6.25</v>
      </c>
      <c r="J22" s="50" t="str">
        <f t="shared" si="0"/>
        <v/>
      </c>
      <c r="K22" s="50" t="str">
        <f t="shared" si="1"/>
        <v/>
      </c>
      <c r="L22" s="9" t="str">
        <f t="shared" si="5"/>
        <v/>
      </c>
      <c r="M22" s="16">
        <v>2</v>
      </c>
      <c r="O22" s="23" t="str">
        <f t="shared" si="9"/>
        <v/>
      </c>
      <c r="P22" s="23" t="str">
        <f t="shared" si="9"/>
        <v/>
      </c>
      <c r="Q22" s="23" t="str">
        <f t="shared" si="9"/>
        <v/>
      </c>
      <c r="R22" s="23" t="str">
        <f t="shared" si="9"/>
        <v/>
      </c>
      <c r="S22" s="23" t="str">
        <f t="shared" si="9"/>
        <v/>
      </c>
      <c r="T22" s="74" t="str">
        <f t="shared" si="2"/>
        <v/>
      </c>
    </row>
    <row r="23" spans="1:23" ht="25" customHeight="1">
      <c r="A23" s="37">
        <v>45771</v>
      </c>
      <c r="B23" s="15" t="s">
        <v>83</v>
      </c>
      <c r="D23" s="5"/>
      <c r="E23" s="5"/>
      <c r="F23" s="6" t="str">
        <f t="shared" si="7"/>
        <v/>
      </c>
      <c r="G23" s="6" t="str">
        <f t="shared" si="8"/>
        <v/>
      </c>
      <c r="H23" s="50" t="str">
        <f>_xlfn.IFNA(VLOOKUP(C:C,'Active Jobs'!B:K,8,0),"")</f>
        <v/>
      </c>
      <c r="I23" s="8" t="s">
        <v>82</v>
      </c>
      <c r="J23" s="50" t="str">
        <f t="shared" si="0"/>
        <v/>
      </c>
      <c r="K23" s="50" t="str">
        <f t="shared" si="1"/>
        <v/>
      </c>
      <c r="L23" s="9" t="str">
        <f t="shared" si="5"/>
        <v/>
      </c>
      <c r="M23" s="16">
        <v>3</v>
      </c>
      <c r="O23" s="23" t="str">
        <f t="shared" si="9"/>
        <v/>
      </c>
      <c r="P23" s="23" t="str">
        <f t="shared" si="9"/>
        <v/>
      </c>
      <c r="Q23" s="23" t="str">
        <f t="shared" si="9"/>
        <v/>
      </c>
      <c r="R23" s="23" t="str">
        <f t="shared" si="9"/>
        <v/>
      </c>
      <c r="S23" s="23" t="str">
        <f t="shared" si="9"/>
        <v/>
      </c>
      <c r="T23" s="74" t="str">
        <f t="shared" si="2"/>
        <v/>
      </c>
    </row>
    <row r="24" spans="1:23" ht="25" customHeight="1">
      <c r="A24" s="37">
        <v>45771</v>
      </c>
      <c r="B24" s="15" t="s">
        <v>84</v>
      </c>
      <c r="D24" s="5"/>
      <c r="E24" s="5"/>
      <c r="F24" s="6" t="str">
        <f t="shared" si="7"/>
        <v/>
      </c>
      <c r="G24" s="6" t="str">
        <f t="shared" si="8"/>
        <v/>
      </c>
      <c r="H24" s="50" t="str">
        <f>_xlfn.IFNA(VLOOKUP(C:C,'Active Jobs'!B:K,8,0),"")</f>
        <v/>
      </c>
      <c r="I24" s="8">
        <v>8.67</v>
      </c>
      <c r="J24" s="50" t="str">
        <f t="shared" si="0"/>
        <v/>
      </c>
      <c r="K24" s="50" t="str">
        <f t="shared" si="1"/>
        <v/>
      </c>
      <c r="L24" s="9" t="str">
        <f t="shared" si="5"/>
        <v/>
      </c>
      <c r="M24" s="16">
        <v>1</v>
      </c>
      <c r="O24" s="23" t="str">
        <f t="shared" si="9"/>
        <v/>
      </c>
      <c r="P24" s="23" t="str">
        <f t="shared" si="9"/>
        <v/>
      </c>
      <c r="Q24" s="23" t="str">
        <f t="shared" si="9"/>
        <v/>
      </c>
      <c r="R24" s="23" t="str">
        <f t="shared" si="9"/>
        <v/>
      </c>
      <c r="S24" s="23" t="str">
        <f t="shared" si="9"/>
        <v/>
      </c>
      <c r="T24" s="74" t="str">
        <f t="shared" si="2"/>
        <v/>
      </c>
    </row>
    <row r="25" spans="1:23" ht="25" customHeight="1">
      <c r="A25" s="37">
        <v>45771</v>
      </c>
      <c r="B25" s="15" t="s">
        <v>91</v>
      </c>
      <c r="D25" s="5"/>
      <c r="E25" s="5"/>
      <c r="F25" s="6" t="str">
        <f t="shared" si="7"/>
        <v/>
      </c>
      <c r="G25" s="6" t="str">
        <f t="shared" si="8"/>
        <v/>
      </c>
      <c r="H25" s="50" t="str">
        <f>_xlfn.IFNA(VLOOKUP(C:C,'Active Jobs'!B:K,8,0),"")</f>
        <v/>
      </c>
      <c r="I25" s="8">
        <v>8.33</v>
      </c>
      <c r="J25" s="50" t="str">
        <f t="shared" si="0"/>
        <v/>
      </c>
      <c r="K25" s="50" t="str">
        <f t="shared" si="1"/>
        <v/>
      </c>
      <c r="L25" s="9" t="str">
        <f t="shared" si="5"/>
        <v/>
      </c>
      <c r="M25" s="16">
        <v>3</v>
      </c>
      <c r="O25" s="23" t="str">
        <f t="shared" si="9"/>
        <v/>
      </c>
      <c r="P25" s="23" t="str">
        <f t="shared" si="9"/>
        <v/>
      </c>
      <c r="Q25" s="23" t="str">
        <f t="shared" si="9"/>
        <v/>
      </c>
      <c r="R25" s="23" t="str">
        <f t="shared" si="9"/>
        <v/>
      </c>
      <c r="S25" s="23" t="str">
        <f t="shared" si="9"/>
        <v/>
      </c>
      <c r="T25" s="74" t="str">
        <f t="shared" si="2"/>
        <v/>
      </c>
    </row>
    <row r="26" spans="1:23" ht="25" customHeight="1">
      <c r="A26" s="37">
        <v>45772</v>
      </c>
      <c r="B26" s="15" t="s">
        <v>335</v>
      </c>
      <c r="D26" s="5"/>
      <c r="E26" s="5"/>
      <c r="F26" s="6" t="str">
        <f t="shared" si="7"/>
        <v/>
      </c>
      <c r="G26" s="6" t="str">
        <f t="shared" si="8"/>
        <v/>
      </c>
      <c r="H26" s="50" t="str">
        <f>_xlfn.IFNA(VLOOKUP(C:C,'Active Jobs'!B:K,8,0),"")</f>
        <v/>
      </c>
      <c r="I26" s="8"/>
      <c r="J26" s="50" t="str">
        <f t="shared" si="0"/>
        <v/>
      </c>
      <c r="K26" s="50" t="str">
        <f t="shared" si="1"/>
        <v/>
      </c>
      <c r="L26" s="9" t="str">
        <f t="shared" si="5"/>
        <v/>
      </c>
      <c r="M26" s="16">
        <v>1</v>
      </c>
      <c r="O26" s="23" t="str">
        <f t="shared" si="9"/>
        <v/>
      </c>
      <c r="P26" s="23" t="str">
        <f t="shared" si="9"/>
        <v/>
      </c>
      <c r="Q26" s="23" t="str">
        <f t="shared" si="9"/>
        <v/>
      </c>
      <c r="R26" s="23" t="str">
        <f t="shared" si="9"/>
        <v/>
      </c>
      <c r="S26" s="23" t="str">
        <f t="shared" si="9"/>
        <v/>
      </c>
      <c r="T26" s="74" t="str">
        <f t="shared" si="2"/>
        <v/>
      </c>
    </row>
    <row r="27" spans="1:23" ht="25" customHeight="1">
      <c r="A27" s="37">
        <v>45772</v>
      </c>
      <c r="B27" s="15" t="s">
        <v>89</v>
      </c>
      <c r="D27" s="5"/>
      <c r="E27" s="5"/>
      <c r="F27" s="6" t="str">
        <f t="shared" si="7"/>
        <v/>
      </c>
      <c r="G27" s="6" t="str">
        <f t="shared" si="8"/>
        <v/>
      </c>
      <c r="H27" s="50" t="str">
        <f>_xlfn.IFNA(VLOOKUP(C:C,'Active Jobs'!B:K,8,0),"")</f>
        <v/>
      </c>
      <c r="I27" s="8"/>
      <c r="J27" s="50" t="str">
        <f t="shared" si="0"/>
        <v/>
      </c>
      <c r="K27" s="50" t="str">
        <f t="shared" si="1"/>
        <v/>
      </c>
      <c r="L27" s="9" t="str">
        <f t="shared" si="5"/>
        <v/>
      </c>
      <c r="M27" s="16">
        <v>2</v>
      </c>
      <c r="O27" s="23" t="str">
        <f t="shared" si="9"/>
        <v/>
      </c>
      <c r="P27" s="23" t="str">
        <f t="shared" si="9"/>
        <v/>
      </c>
      <c r="Q27" s="23" t="str">
        <f t="shared" si="9"/>
        <v/>
      </c>
      <c r="R27" s="23" t="str">
        <f t="shared" si="9"/>
        <v/>
      </c>
      <c r="S27" s="23" t="str">
        <f t="shared" si="9"/>
        <v/>
      </c>
      <c r="T27" s="74" t="str">
        <f t="shared" si="2"/>
        <v/>
      </c>
    </row>
    <row r="28" spans="1:23" ht="25" customHeight="1">
      <c r="A28" s="37">
        <v>45772</v>
      </c>
      <c r="B28" s="15" t="s">
        <v>90</v>
      </c>
      <c r="D28" s="5"/>
      <c r="E28" s="5"/>
      <c r="F28" s="6" t="str">
        <f t="shared" si="7"/>
        <v/>
      </c>
      <c r="G28" s="6" t="str">
        <f t="shared" si="8"/>
        <v/>
      </c>
      <c r="H28" s="50" t="str">
        <f>_xlfn.IFNA(VLOOKUP(C:C,'Active Jobs'!B:K,8,0),"")</f>
        <v/>
      </c>
      <c r="I28" s="8"/>
      <c r="J28" s="50" t="str">
        <f t="shared" si="0"/>
        <v/>
      </c>
      <c r="K28" s="50" t="str">
        <f t="shared" si="1"/>
        <v/>
      </c>
      <c r="L28" s="9" t="str">
        <f t="shared" si="5"/>
        <v/>
      </c>
      <c r="M28" s="16">
        <v>2</v>
      </c>
      <c r="O28" s="23" t="str">
        <f t="shared" si="9"/>
        <v/>
      </c>
      <c r="P28" s="23" t="str">
        <f t="shared" si="9"/>
        <v/>
      </c>
      <c r="Q28" s="23" t="str">
        <f t="shared" si="9"/>
        <v/>
      </c>
      <c r="R28" s="23" t="str">
        <f t="shared" si="9"/>
        <v/>
      </c>
      <c r="S28" s="23" t="str">
        <f t="shared" si="9"/>
        <v/>
      </c>
      <c r="T28" s="74" t="str">
        <f t="shared" si="2"/>
        <v/>
      </c>
    </row>
    <row r="29" spans="1:23" ht="25" customHeight="1">
      <c r="A29" s="37">
        <v>45772</v>
      </c>
      <c r="B29" s="15" t="s">
        <v>83</v>
      </c>
      <c r="D29" s="5"/>
      <c r="E29" s="5"/>
      <c r="F29" s="6" t="str">
        <f t="shared" si="7"/>
        <v/>
      </c>
      <c r="G29" s="6" t="str">
        <f t="shared" si="8"/>
        <v/>
      </c>
      <c r="H29" s="50" t="str">
        <f>_xlfn.IFNA(VLOOKUP(C:C,'Active Jobs'!B:K,8,0),"")</f>
        <v/>
      </c>
      <c r="I29" s="8"/>
      <c r="J29" s="50" t="str">
        <f t="shared" si="0"/>
        <v/>
      </c>
      <c r="K29" s="50" t="str">
        <f t="shared" si="1"/>
        <v/>
      </c>
      <c r="L29" s="9" t="str">
        <f t="shared" si="5"/>
        <v/>
      </c>
      <c r="M29" s="16">
        <v>3</v>
      </c>
      <c r="O29" s="23" t="str">
        <f t="shared" si="9"/>
        <v/>
      </c>
      <c r="P29" s="23" t="str">
        <f t="shared" si="9"/>
        <v/>
      </c>
      <c r="Q29" s="23" t="str">
        <f t="shared" si="9"/>
        <v/>
      </c>
      <c r="R29" s="23" t="str">
        <f t="shared" si="9"/>
        <v/>
      </c>
      <c r="S29" s="23" t="str">
        <f t="shared" si="9"/>
        <v/>
      </c>
      <c r="T29" s="74" t="str">
        <f t="shared" si="2"/>
        <v/>
      </c>
    </row>
    <row r="30" spans="1:23" ht="25" customHeight="1">
      <c r="A30" s="37">
        <v>45772</v>
      </c>
      <c r="B30" s="15" t="s">
        <v>84</v>
      </c>
      <c r="D30" s="5"/>
      <c r="E30" s="5"/>
      <c r="F30" s="6" t="str">
        <f t="shared" si="7"/>
        <v/>
      </c>
      <c r="G30" s="6" t="str">
        <f t="shared" si="8"/>
        <v/>
      </c>
      <c r="H30" s="50" t="str">
        <f>_xlfn.IFNA(VLOOKUP(C:C,'Active Jobs'!B:K,8,0),"")</f>
        <v/>
      </c>
      <c r="I30" s="8"/>
      <c r="J30" s="50" t="str">
        <f t="shared" si="0"/>
        <v/>
      </c>
      <c r="K30" s="50" t="str">
        <f t="shared" si="1"/>
        <v/>
      </c>
      <c r="L30" s="9" t="str">
        <f t="shared" si="5"/>
        <v/>
      </c>
      <c r="M30" s="16">
        <v>1</v>
      </c>
      <c r="O30" s="23" t="str">
        <f t="shared" si="9"/>
        <v/>
      </c>
      <c r="P30" s="23" t="str">
        <f t="shared" si="9"/>
        <v/>
      </c>
      <c r="Q30" s="23" t="str">
        <f t="shared" si="9"/>
        <v/>
      </c>
      <c r="R30" s="23" t="str">
        <f t="shared" si="9"/>
        <v/>
      </c>
      <c r="S30" s="23" t="str">
        <f t="shared" si="9"/>
        <v/>
      </c>
      <c r="T30" s="74" t="str">
        <f t="shared" si="2"/>
        <v/>
      </c>
    </row>
    <row r="31" spans="1:23" ht="25" customHeight="1">
      <c r="A31" s="38">
        <v>45772</v>
      </c>
      <c r="B31" s="15" t="s">
        <v>91</v>
      </c>
      <c r="D31" s="5"/>
      <c r="E31" s="5"/>
      <c r="F31" s="6" t="str">
        <f t="shared" si="7"/>
        <v/>
      </c>
      <c r="G31" s="6" t="str">
        <f t="shared" si="8"/>
        <v/>
      </c>
      <c r="H31" s="50" t="str">
        <f>_xlfn.IFNA(VLOOKUP(C:C,'Active Jobs'!B:K,8,0),"")</f>
        <v/>
      </c>
      <c r="I31" s="8"/>
      <c r="J31" s="50" t="str">
        <f t="shared" si="0"/>
        <v/>
      </c>
      <c r="K31" s="50" t="str">
        <f t="shared" si="1"/>
        <v/>
      </c>
      <c r="L31" s="9" t="str">
        <f t="shared" si="5"/>
        <v/>
      </c>
      <c r="M31" s="16">
        <v>3</v>
      </c>
      <c r="O31" s="23" t="str">
        <f t="shared" si="9"/>
        <v/>
      </c>
      <c r="P31" s="23" t="str">
        <f t="shared" si="9"/>
        <v/>
      </c>
      <c r="Q31" s="23" t="str">
        <f t="shared" si="9"/>
        <v/>
      </c>
      <c r="R31" s="23" t="str">
        <f t="shared" si="9"/>
        <v/>
      </c>
      <c r="S31" s="23" t="str">
        <f t="shared" si="9"/>
        <v/>
      </c>
      <c r="T31" s="74" t="str">
        <f t="shared" si="2"/>
        <v/>
      </c>
    </row>
    <row r="32" spans="1:23" ht="25" customHeight="1">
      <c r="B32" s="15"/>
      <c r="D32" s="5"/>
      <c r="E32" s="5"/>
      <c r="F32" s="6" t="str">
        <f t="shared" si="7"/>
        <v/>
      </c>
      <c r="G32" s="6" t="str">
        <f t="shared" si="8"/>
        <v/>
      </c>
      <c r="H32" s="50" t="str">
        <f>_xlfn.IFNA(VLOOKUP(C:C,'Active Jobs'!B:K,8,0),"")</f>
        <v/>
      </c>
      <c r="I32" s="8"/>
      <c r="J32" s="50" t="str">
        <f t="shared" si="0"/>
        <v/>
      </c>
      <c r="K32" s="50" t="str">
        <f t="shared" si="1"/>
        <v/>
      </c>
      <c r="L32" s="9" t="str">
        <f t="shared" si="5"/>
        <v/>
      </c>
      <c r="O32" s="23" t="str">
        <f t="shared" si="9"/>
        <v/>
      </c>
      <c r="P32" s="23" t="str">
        <f t="shared" si="9"/>
        <v/>
      </c>
      <c r="Q32" s="23" t="str">
        <f t="shared" si="9"/>
        <v/>
      </c>
      <c r="R32" s="23" t="str">
        <f t="shared" si="9"/>
        <v/>
      </c>
      <c r="S32" s="23" t="str">
        <f t="shared" si="9"/>
        <v/>
      </c>
      <c r="T32" s="74" t="str">
        <f t="shared" si="2"/>
        <v/>
      </c>
    </row>
    <row r="33" spans="2:20" ht="25" customHeight="1">
      <c r="B33" s="15"/>
      <c r="D33" s="5"/>
      <c r="E33" s="5"/>
      <c r="F33" s="6" t="str">
        <f t="shared" si="7"/>
        <v/>
      </c>
      <c r="G33" s="6" t="str">
        <f t="shared" si="8"/>
        <v/>
      </c>
      <c r="H33" s="50" t="str">
        <f>_xlfn.IFNA(VLOOKUP(C:C,'Active Jobs'!B:K,8,0),"")</f>
        <v/>
      </c>
      <c r="I33" s="8"/>
      <c r="J33" s="50" t="str">
        <f t="shared" si="0"/>
        <v/>
      </c>
      <c r="K33" s="50" t="str">
        <f t="shared" si="1"/>
        <v/>
      </c>
      <c r="L33" s="9" t="str">
        <f t="shared" si="5"/>
        <v/>
      </c>
      <c r="O33" s="23" t="str">
        <f t="shared" si="9"/>
        <v/>
      </c>
      <c r="P33" s="23" t="str">
        <f t="shared" si="9"/>
        <v/>
      </c>
      <c r="Q33" s="23" t="str">
        <f t="shared" si="9"/>
        <v/>
      </c>
      <c r="R33" s="23" t="str">
        <f t="shared" si="9"/>
        <v/>
      </c>
      <c r="S33" s="23" t="str">
        <f t="shared" si="9"/>
        <v/>
      </c>
      <c r="T33" s="74" t="str">
        <f t="shared" si="2"/>
        <v/>
      </c>
    </row>
    <row r="34" spans="2:20" ht="25" customHeight="1">
      <c r="B34" s="15"/>
      <c r="D34" s="5"/>
      <c r="E34" s="5"/>
      <c r="F34" s="6" t="str">
        <f t="shared" si="7"/>
        <v/>
      </c>
      <c r="G34" s="6" t="str">
        <f t="shared" si="8"/>
        <v/>
      </c>
      <c r="H34" s="50" t="str">
        <f>_xlfn.IFNA(VLOOKUP(C:C,'Active Jobs'!B:K,8,0),"")</f>
        <v/>
      </c>
      <c r="I34" s="8"/>
      <c r="J34" s="50" t="str">
        <f t="shared" si="0"/>
        <v/>
      </c>
      <c r="K34" s="50" t="str">
        <f t="shared" si="1"/>
        <v/>
      </c>
      <c r="L34" s="9" t="str">
        <f t="shared" si="5"/>
        <v/>
      </c>
      <c r="O34" s="23" t="str">
        <f t="shared" si="9"/>
        <v/>
      </c>
      <c r="P34" s="23" t="str">
        <f t="shared" si="9"/>
        <v/>
      </c>
      <c r="Q34" s="23" t="str">
        <f t="shared" si="9"/>
        <v/>
      </c>
      <c r="R34" s="23" t="str">
        <f t="shared" si="9"/>
        <v/>
      </c>
      <c r="S34" s="23" t="str">
        <f t="shared" si="9"/>
        <v/>
      </c>
      <c r="T34" s="74" t="str">
        <f t="shared" si="2"/>
        <v/>
      </c>
    </row>
    <row r="35" spans="2:20" ht="25" customHeight="1">
      <c r="B35" s="15"/>
      <c r="D35" s="5"/>
      <c r="E35" s="5"/>
      <c r="F35" s="6" t="str">
        <f t="shared" si="7"/>
        <v/>
      </c>
      <c r="G35" s="6" t="str">
        <f t="shared" si="8"/>
        <v/>
      </c>
      <c r="H35" s="50" t="str">
        <f>_xlfn.IFNA(VLOOKUP(C:C,'Active Jobs'!B:K,8,0),"")</f>
        <v/>
      </c>
      <c r="I35" s="8"/>
      <c r="J35" s="50" t="str">
        <f t="shared" si="0"/>
        <v/>
      </c>
      <c r="K35" s="50" t="str">
        <f t="shared" si="1"/>
        <v/>
      </c>
      <c r="L35" s="9" t="str">
        <f t="shared" si="5"/>
        <v/>
      </c>
      <c r="O35" s="23" t="str">
        <f t="shared" ref="O35:S42" si="10">IF(N35="","",ROUND(SUMIFS($I:$I,$A:$A,O$1,$B:$B,"*"&amp;$N35&amp;"*"),2))</f>
        <v/>
      </c>
      <c r="P35" s="23" t="str">
        <f t="shared" si="10"/>
        <v/>
      </c>
      <c r="Q35" s="23" t="str">
        <f t="shared" si="10"/>
        <v/>
      </c>
      <c r="R35" s="23" t="str">
        <f t="shared" si="10"/>
        <v/>
      </c>
      <c r="S35" s="23" t="str">
        <f t="shared" si="10"/>
        <v/>
      </c>
      <c r="T35" s="74" t="str">
        <f t="shared" si="2"/>
        <v/>
      </c>
    </row>
    <row r="36" spans="2:20" ht="25" customHeight="1">
      <c r="B36" s="15"/>
      <c r="D36" s="5"/>
      <c r="E36" s="5"/>
      <c r="F36" s="6" t="str">
        <f t="shared" si="7"/>
        <v/>
      </c>
      <c r="G36" s="6" t="str">
        <f t="shared" si="8"/>
        <v/>
      </c>
      <c r="H36" s="50" t="str">
        <f>_xlfn.IFNA(VLOOKUP(C:C,'Active Jobs'!B:K,8,0),"")</f>
        <v/>
      </c>
      <c r="I36" s="8"/>
      <c r="J36" s="50" t="str">
        <f t="shared" si="0"/>
        <v/>
      </c>
      <c r="K36" s="50" t="str">
        <f t="shared" si="1"/>
        <v/>
      </c>
      <c r="L36" s="9" t="str">
        <f t="shared" si="5"/>
        <v/>
      </c>
      <c r="O36" s="23" t="str">
        <f t="shared" si="10"/>
        <v/>
      </c>
      <c r="P36" s="23" t="str">
        <f t="shared" si="10"/>
        <v/>
      </c>
      <c r="Q36" s="23" t="str">
        <f t="shared" si="10"/>
        <v/>
      </c>
      <c r="R36" s="23" t="str">
        <f t="shared" si="10"/>
        <v/>
      </c>
      <c r="S36" s="23" t="str">
        <f t="shared" si="10"/>
        <v/>
      </c>
      <c r="T36" s="74" t="str">
        <f t="shared" si="2"/>
        <v/>
      </c>
    </row>
    <row r="37" spans="2:20" ht="25" customHeight="1">
      <c r="B37" s="15"/>
      <c r="D37" s="5"/>
      <c r="E37" s="5"/>
      <c r="F37" s="6" t="str">
        <f t="shared" si="7"/>
        <v/>
      </c>
      <c r="G37" s="6" t="str">
        <f t="shared" si="8"/>
        <v/>
      </c>
      <c r="H37" s="50" t="str">
        <f>_xlfn.IFNA(VLOOKUP(C:C,'Active Jobs'!B:K,8,0),"")</f>
        <v/>
      </c>
      <c r="I37" s="8" t="str">
        <f t="shared" ref="I37:I47" si="11">IF(F37="Yes",(E37-D37)*24-0.5,IF(F37="No",(E37-D37)*24,""))</f>
        <v/>
      </c>
      <c r="J37" s="50" t="str">
        <f t="shared" si="0"/>
        <v/>
      </c>
      <c r="K37" s="50" t="str">
        <f t="shared" si="1"/>
        <v/>
      </c>
      <c r="L37" s="9" t="str">
        <f t="shared" si="5"/>
        <v/>
      </c>
      <c r="O37" s="23" t="str">
        <f t="shared" si="10"/>
        <v/>
      </c>
      <c r="P37" s="23" t="str">
        <f t="shared" si="10"/>
        <v/>
      </c>
      <c r="Q37" s="23" t="str">
        <f t="shared" si="10"/>
        <v/>
      </c>
      <c r="R37" s="23" t="str">
        <f t="shared" si="10"/>
        <v/>
      </c>
      <c r="S37" s="23" t="str">
        <f t="shared" si="10"/>
        <v/>
      </c>
      <c r="T37" s="74" t="str">
        <f t="shared" si="2"/>
        <v/>
      </c>
    </row>
    <row r="38" spans="2:20" ht="25" customHeight="1">
      <c r="B38" s="15"/>
      <c r="D38" s="5"/>
      <c r="E38" s="5"/>
      <c r="F38" s="6" t="str">
        <f t="shared" si="7"/>
        <v/>
      </c>
      <c r="G38" s="6" t="str">
        <f t="shared" si="8"/>
        <v/>
      </c>
      <c r="H38" s="50" t="str">
        <f>_xlfn.IFNA(VLOOKUP(C:C,'Active Jobs'!B:K,8,0),"")</f>
        <v/>
      </c>
      <c r="I38" s="8" t="str">
        <f t="shared" si="11"/>
        <v/>
      </c>
      <c r="J38" s="50" t="str">
        <f t="shared" si="0"/>
        <v/>
      </c>
      <c r="K38" s="50" t="str">
        <f t="shared" si="1"/>
        <v/>
      </c>
      <c r="L38" s="9" t="str">
        <f t="shared" si="5"/>
        <v/>
      </c>
      <c r="O38" s="23" t="str">
        <f t="shared" si="10"/>
        <v/>
      </c>
      <c r="P38" s="23" t="str">
        <f t="shared" si="10"/>
        <v/>
      </c>
      <c r="Q38" s="23" t="str">
        <f t="shared" si="10"/>
        <v/>
      </c>
      <c r="R38" s="23" t="str">
        <f t="shared" si="10"/>
        <v/>
      </c>
      <c r="S38" s="23" t="str">
        <f t="shared" si="10"/>
        <v/>
      </c>
      <c r="T38" s="74" t="str">
        <f t="shared" si="2"/>
        <v/>
      </c>
    </row>
    <row r="39" spans="2:20" ht="25" customHeight="1">
      <c r="B39" s="15"/>
      <c r="D39" s="5"/>
      <c r="E39" s="5"/>
      <c r="F39" s="6" t="str">
        <f t="shared" si="7"/>
        <v/>
      </c>
      <c r="G39" s="6" t="str">
        <f t="shared" si="8"/>
        <v/>
      </c>
      <c r="H39" s="50" t="str">
        <f>_xlfn.IFNA(VLOOKUP(C:C,'Active Jobs'!B:K,8,0),"")</f>
        <v/>
      </c>
      <c r="I39" s="8" t="str">
        <f t="shared" si="11"/>
        <v/>
      </c>
      <c r="J39" s="50" t="str">
        <f t="shared" si="0"/>
        <v/>
      </c>
      <c r="K39" s="50" t="str">
        <f t="shared" si="1"/>
        <v/>
      </c>
      <c r="L39" s="9" t="str">
        <f t="shared" si="5"/>
        <v/>
      </c>
      <c r="O39" s="23" t="str">
        <f t="shared" si="10"/>
        <v/>
      </c>
      <c r="P39" s="23" t="str">
        <f t="shared" si="10"/>
        <v/>
      </c>
      <c r="Q39" s="23" t="str">
        <f t="shared" si="10"/>
        <v/>
      </c>
      <c r="R39" s="23" t="str">
        <f t="shared" si="10"/>
        <v/>
      </c>
      <c r="S39" s="23" t="str">
        <f t="shared" si="10"/>
        <v/>
      </c>
      <c r="T39" s="74" t="str">
        <f t="shared" si="2"/>
        <v/>
      </c>
    </row>
    <row r="40" spans="2:20" ht="25" customHeight="1">
      <c r="B40" s="15"/>
      <c r="D40" s="5"/>
      <c r="E40" s="5"/>
      <c r="F40" s="6" t="str">
        <f t="shared" si="7"/>
        <v/>
      </c>
      <c r="G40" s="6" t="str">
        <f t="shared" si="8"/>
        <v/>
      </c>
      <c r="H40" s="50" t="str">
        <f>_xlfn.IFNA(VLOOKUP(C:C,'Active Jobs'!B:K,8,0),"")</f>
        <v/>
      </c>
      <c r="I40" s="8" t="str">
        <f t="shared" si="11"/>
        <v/>
      </c>
      <c r="J40" s="50" t="str">
        <f t="shared" si="0"/>
        <v/>
      </c>
      <c r="K40" s="50" t="str">
        <f t="shared" si="1"/>
        <v/>
      </c>
      <c r="L40" s="9" t="str">
        <f t="shared" si="5"/>
        <v/>
      </c>
      <c r="O40" s="23" t="str">
        <f t="shared" si="10"/>
        <v/>
      </c>
      <c r="P40" s="23" t="str">
        <f t="shared" si="10"/>
        <v/>
      </c>
      <c r="Q40" s="23" t="str">
        <f t="shared" si="10"/>
        <v/>
      </c>
      <c r="R40" s="23" t="str">
        <f t="shared" si="10"/>
        <v/>
      </c>
      <c r="S40" s="23" t="str">
        <f t="shared" si="10"/>
        <v/>
      </c>
      <c r="T40" s="74" t="str">
        <f t="shared" si="2"/>
        <v/>
      </c>
    </row>
    <row r="41" spans="2:20" ht="25" customHeight="1">
      <c r="B41" s="15"/>
      <c r="D41" s="5"/>
      <c r="E41" s="5"/>
      <c r="F41" s="6" t="str">
        <f t="shared" si="7"/>
        <v/>
      </c>
      <c r="G41" s="6" t="str">
        <f t="shared" si="8"/>
        <v/>
      </c>
      <c r="H41" s="50" t="str">
        <f>_xlfn.IFNA(VLOOKUP(C:C,'Active Jobs'!B:K,8,0),"")</f>
        <v/>
      </c>
      <c r="I41" s="8" t="str">
        <f t="shared" si="11"/>
        <v/>
      </c>
      <c r="J41" s="50" t="str">
        <f t="shared" si="0"/>
        <v/>
      </c>
      <c r="K41" s="50" t="str">
        <f t="shared" si="1"/>
        <v/>
      </c>
      <c r="L41" s="9" t="str">
        <f t="shared" si="5"/>
        <v/>
      </c>
      <c r="O41" s="23" t="str">
        <f t="shared" si="10"/>
        <v/>
      </c>
      <c r="P41" s="23" t="str">
        <f t="shared" si="10"/>
        <v/>
      </c>
      <c r="Q41" s="23" t="str">
        <f t="shared" si="10"/>
        <v/>
      </c>
      <c r="R41" s="23" t="str">
        <f t="shared" si="10"/>
        <v/>
      </c>
      <c r="S41" s="23" t="str">
        <f t="shared" si="10"/>
        <v/>
      </c>
      <c r="T41" s="74" t="str">
        <f t="shared" si="2"/>
        <v/>
      </c>
    </row>
    <row r="42" spans="2:20" ht="25" customHeight="1">
      <c r="B42" s="15"/>
      <c r="D42" s="5"/>
      <c r="E42" s="5"/>
      <c r="F42" s="6" t="str">
        <f t="shared" si="7"/>
        <v/>
      </c>
      <c r="G42" s="6" t="str">
        <f t="shared" si="8"/>
        <v/>
      </c>
      <c r="H42" s="50" t="str">
        <f>_xlfn.IFNA(VLOOKUP(C:C,'Active Jobs'!B:K,8,0),"")</f>
        <v/>
      </c>
      <c r="I42" s="8" t="str">
        <f t="shared" si="11"/>
        <v/>
      </c>
      <c r="J42" s="50" t="str">
        <f t="shared" si="0"/>
        <v/>
      </c>
      <c r="K42" s="50" t="str">
        <f t="shared" si="1"/>
        <v/>
      </c>
      <c r="L42" s="9" t="str">
        <f t="shared" si="5"/>
        <v/>
      </c>
      <c r="O42" s="23" t="str">
        <f t="shared" si="10"/>
        <v/>
      </c>
      <c r="P42" s="23" t="str">
        <f t="shared" si="10"/>
        <v/>
      </c>
      <c r="Q42" s="23" t="str">
        <f t="shared" si="10"/>
        <v/>
      </c>
      <c r="R42" s="23" t="str">
        <f t="shared" si="10"/>
        <v/>
      </c>
      <c r="S42" s="23" t="str">
        <f t="shared" si="10"/>
        <v/>
      </c>
      <c r="T42" s="74" t="str">
        <f t="shared" si="2"/>
        <v/>
      </c>
    </row>
    <row r="43" spans="2:20" ht="25" customHeight="1">
      <c r="B43" s="15"/>
      <c r="D43" s="5"/>
      <c r="E43" s="5"/>
      <c r="F43" s="6" t="str">
        <f t="shared" si="7"/>
        <v/>
      </c>
      <c r="G43" s="6" t="str">
        <f t="shared" si="8"/>
        <v/>
      </c>
      <c r="H43" s="50" t="str">
        <f>_xlfn.IFNA(VLOOKUP(C:C,'Active Jobs'!B:K,8,0),"")</f>
        <v/>
      </c>
      <c r="I43" s="8" t="str">
        <f t="shared" si="11"/>
        <v/>
      </c>
      <c r="J43" s="50" t="str">
        <f t="shared" si="0"/>
        <v/>
      </c>
      <c r="K43" s="50" t="str">
        <f t="shared" si="1"/>
        <v/>
      </c>
      <c r="L43" s="9" t="str">
        <f t="shared" si="5"/>
        <v/>
      </c>
    </row>
    <row r="44" spans="2:20" ht="25" customHeight="1">
      <c r="B44" s="15"/>
      <c r="D44" s="5"/>
      <c r="E44" s="5"/>
      <c r="F44" s="6" t="str">
        <f t="shared" si="7"/>
        <v/>
      </c>
      <c r="G44" s="6" t="str">
        <f t="shared" si="8"/>
        <v/>
      </c>
      <c r="H44" s="50" t="str">
        <f>_xlfn.IFNA(VLOOKUP(C:C,'Active Jobs'!B:K,8,0),"")</f>
        <v/>
      </c>
      <c r="I44" s="8" t="str">
        <f t="shared" si="11"/>
        <v/>
      </c>
      <c r="J44" s="50" t="str">
        <f t="shared" si="0"/>
        <v/>
      </c>
      <c r="K44" s="50" t="str">
        <f t="shared" si="1"/>
        <v/>
      </c>
      <c r="L44" s="9" t="str">
        <f t="shared" si="5"/>
        <v/>
      </c>
    </row>
    <row r="45" spans="2:20" ht="25" customHeight="1">
      <c r="B45" s="15"/>
      <c r="D45" s="5"/>
      <c r="E45" s="5"/>
      <c r="F45" s="6" t="str">
        <f t="shared" si="7"/>
        <v/>
      </c>
      <c r="G45" s="6" t="str">
        <f t="shared" si="8"/>
        <v/>
      </c>
      <c r="H45" s="50" t="str">
        <f>_xlfn.IFNA(VLOOKUP(C:C,'Active Jobs'!B:K,8,0),"")</f>
        <v/>
      </c>
      <c r="I45" s="8" t="str">
        <f t="shared" si="11"/>
        <v/>
      </c>
      <c r="J45" s="50" t="str">
        <f t="shared" si="0"/>
        <v/>
      </c>
      <c r="K45" s="50" t="str">
        <f t="shared" si="1"/>
        <v/>
      </c>
      <c r="L45" s="9" t="str">
        <f t="shared" si="5"/>
        <v/>
      </c>
    </row>
    <row r="46" spans="2:20" ht="25" customHeight="1">
      <c r="B46" s="86"/>
      <c r="D46" s="5"/>
      <c r="E46" s="5"/>
      <c r="F46" s="6" t="str">
        <f t="shared" si="7"/>
        <v/>
      </c>
      <c r="G46" s="6" t="str">
        <f t="shared" si="8"/>
        <v/>
      </c>
      <c r="H46" s="50" t="str">
        <f>_xlfn.IFNA(VLOOKUP(C:C,'Active Jobs'!B:K,8,0),"")</f>
        <v/>
      </c>
      <c r="I46" s="8" t="str">
        <f t="shared" si="11"/>
        <v/>
      </c>
      <c r="J46" s="50" t="str">
        <f t="shared" si="0"/>
        <v/>
      </c>
      <c r="K46" s="50" t="str">
        <f t="shared" si="1"/>
        <v/>
      </c>
      <c r="L46" s="9" t="str">
        <f t="shared" si="5"/>
        <v/>
      </c>
    </row>
    <row r="47" spans="2:20" ht="25" customHeight="1">
      <c r="B47" s="86"/>
      <c r="D47" s="5"/>
      <c r="E47" s="5"/>
      <c r="F47" s="6" t="str">
        <f t="shared" si="7"/>
        <v/>
      </c>
      <c r="G47" s="6" t="str">
        <f t="shared" si="8"/>
        <v/>
      </c>
      <c r="H47" s="50" t="str">
        <f>_xlfn.IFNA(VLOOKUP(C:C,'Active Jobs'!B:K,8,0),"")</f>
        <v/>
      </c>
      <c r="I47" s="8" t="str">
        <f t="shared" si="11"/>
        <v/>
      </c>
      <c r="J47" s="50" t="str">
        <f t="shared" si="0"/>
        <v/>
      </c>
      <c r="K47" s="50" t="str">
        <f t="shared" si="1"/>
        <v/>
      </c>
      <c r="L47" s="9" t="str">
        <f t="shared" si="5"/>
        <v/>
      </c>
    </row>
    <row r="48" spans="2:20" ht="25" customHeight="1">
      <c r="D48" s="83"/>
      <c r="E48" s="83"/>
      <c r="F48" s="84"/>
      <c r="G48" s="6"/>
      <c r="H48" s="85">
        <f>SUBTOTAL(109,Table22612101416485052[Quoted])</f>
        <v>0</v>
      </c>
      <c r="I48" s="81">
        <f>SUBTOTAL(109,Table22612101416485052[Hours Payable])</f>
        <v>111.42</v>
      </c>
      <c r="J48" s="85">
        <f>SUBTOTAL(109,Table22612101416485052[Wages (Incl. Super)])</f>
        <v>0</v>
      </c>
      <c r="K48" s="85">
        <f>SUBTOTAL(109,Table22612101416485052[Profit])</f>
        <v>0</v>
      </c>
      <c r="L48" s="82" t="str">
        <f>IF(L2="","",SUBTOTAL(101,Table22612101416485052[Quote/Wages]))</f>
        <v/>
      </c>
    </row>
  </sheetData>
  <conditionalFormatting sqref="B1 B49:B269">
    <cfRule type="expression" dxfId="67" priority="3">
      <formula>AND(ROW()&gt;1, E1&lt;&gt;"", COUNTIFS(A:A, $A1, B:B, $B1, F:F, "Yes")=0)</formula>
    </cfRule>
  </conditionalFormatting>
  <conditionalFormatting sqref="F1 F49:F269">
    <cfRule type="expression" dxfId="66" priority="4" stopIfTrue="1">
      <formula>AND(ROW()&gt;1, E1&lt;&gt;"", COUNTIFS(A:A, $A1, B:B, $B1, F:F, "Yes")=0)</formula>
    </cfRule>
  </conditionalFormatting>
  <conditionalFormatting sqref="B2:B45">
    <cfRule type="expression" dxfId="65" priority="1">
      <formula>AND(ROW()&gt;1, E2&lt;&gt;"", COUNTIFS(A:A, $A2, B:B, $B2, F:F, "Yes")=0)</formula>
    </cfRule>
  </conditionalFormatting>
  <conditionalFormatting sqref="F2:F47">
    <cfRule type="expression" dxfId="64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5DC65EA6-CD81-C64F-8B13-201452EF6508}">
      <formula1>"No, Yes"</formula1>
    </dataValidation>
    <dataValidation type="list" allowBlank="1" showErrorMessage="1" promptTitle="Select" sqref="B2:B45" xr:uid="{B1EEC2FC-8999-6549-BC53-4C7B3167D214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95ED5577-CE56-9747-8F2E-5575FCC6564C}">
          <x14:formula1>
            <xm:f>'Active Jobs'!$B$2:$B$154</xm:f>
          </x14:formula1>
          <xm:sqref>C2:C47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9CF9E-D748-48D5-ADC7-BE04F1A39A3D}">
  <sheetPr codeName="Sheet24"/>
  <dimension ref="A1:W48"/>
  <sheetViews>
    <sheetView topLeftCell="A21" zoomScale="125" zoomScaleNormal="125" workbookViewId="0">
      <selection activeCell="C30" sqref="C30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4" width="7.140625" style="89" customWidth="1"/>
    <col min="5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18" width="14.28515625" style="19" customWidth="1"/>
    <col min="19" max="19" width="4.42578125" style="19" customWidth="1"/>
    <col min="20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90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R1">IF(B2="","",TRANSPOSE(_xlfn._xlws.FILTER(_xlfn.UNIQUE(A2:A219), _xlfn.UNIQUE(A2:A219)&lt;&gt;"")))</f>
        <v>45761</v>
      </c>
      <c r="P1" s="63">
        <v>45762</v>
      </c>
      <c r="Q1" s="63">
        <v>45763</v>
      </c>
      <c r="R1" s="63">
        <v>45764</v>
      </c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45761</v>
      </c>
      <c r="B2" s="15" t="s">
        <v>334</v>
      </c>
      <c r="C2" s="16" t="s">
        <v>92</v>
      </c>
      <c r="D2" s="87">
        <v>0.35416666666666669</v>
      </c>
      <c r="E2" s="5">
        <v>0.44791666666666669</v>
      </c>
      <c r="F2" s="6" t="str">
        <f t="shared" ref="F2:F47" si="0">IF(E2="","","No")</f>
        <v>No</v>
      </c>
      <c r="G2" s="6">
        <f>IF(E2="","",IF(F2="Yes",(E2-D2)-TIME(0,30,0),E2-D2))</f>
        <v>9.375E-2</v>
      </c>
      <c r="H2" s="50">
        <v>200</v>
      </c>
      <c r="I2" s="8">
        <f>IF(F2="Yes",(E2-D2)*24-0.5,IF(F2="No",(E2-D2)*24,""))</f>
        <v>2.25</v>
      </c>
      <c r="J2" s="50">
        <f t="shared" ref="J2:J47" si="1">IF(G2="","",G2*24*HourlyRate*2*(1+Super))</f>
        <v>150.976575</v>
      </c>
      <c r="K2" s="50">
        <f t="shared" ref="K2:K47" si="2">IF(H2="","",IF(E2="","",IF(J2=0,0,H2-J2)))</f>
        <v>49.023425000000003</v>
      </c>
      <c r="L2" s="9">
        <f>IF(K2="","",IF(H2=0,1,J2/H2))</f>
        <v>0.75488287499999995</v>
      </c>
      <c r="M2" s="16">
        <v>3</v>
      </c>
      <c r="N2" s="41" t="str" cm="1">
        <f t="array" ref="N2:N7">IF(B2="","",_xlfn.UNIQUE(TRANSPOSE(_xlfn.TEXTSPLIT(_xlfn.TEXTJOIN(" &amp; ", TRUE, TRIM(B2:B219)), " &amp; "))))</f>
        <v>Orlaith Murphy</v>
      </c>
      <c r="O2" s="23">
        <f>IF(N2="","",ROUND(SUMIFS($I:$I,$A:$A,O$1,$B:$B,"*"&amp;$N2&amp;"*"),2))</f>
        <v>4.58</v>
      </c>
      <c r="P2" s="23">
        <f>IF(O2="","",ROUND(SUMIFS($I:$I,$A:$A,P$1,$B:$B,"*"&amp;$N2&amp;"*"),2))</f>
        <v>8.92</v>
      </c>
      <c r="Q2" s="23">
        <f>IF(P2="","",ROUND(SUMIFS($I:$I,$A:$A,Q$1,$B:$B,"*"&amp;$N2&amp;"*"),2))</f>
        <v>8.58</v>
      </c>
      <c r="R2" s="23">
        <f>IF(Q2="","",ROUND(SUMIFS($I:$I,$A:$A,R$1,$B:$B,"*"&amp;$N2&amp;"*"),2))</f>
        <v>6.58</v>
      </c>
      <c r="S2" s="23">
        <f>IF(R2="","",ROUND(SUMIFS($I:$I,$A:$A,S$1,$B:$B,"*"&amp;$N2&amp;"*"),2))</f>
        <v>0</v>
      </c>
      <c r="T2" s="10">
        <f t="shared" ref="T2:T42" si="3">IF(N2="","",SUM(O2:S2))</f>
        <v>28.659999999999997</v>
      </c>
      <c r="U2" s="24"/>
      <c r="V2" s="24">
        <f t="shared" ref="V2:V18" si="4">IF(N2="","",T2*HourlyRate)</f>
        <v>862.37939999999992</v>
      </c>
      <c r="W2" s="25">
        <f t="shared" ref="W2:W18" si="5">IF(N2="","",V2*Super)</f>
        <v>99.173631</v>
      </c>
    </row>
    <row r="3" spans="1:23" ht="25" customHeight="1">
      <c r="A3" s="37">
        <v>45761</v>
      </c>
      <c r="B3" s="15" t="s">
        <v>334</v>
      </c>
      <c r="C3" s="16" t="s">
        <v>49</v>
      </c>
      <c r="D3" s="87">
        <v>0.45833333333333331</v>
      </c>
      <c r="E3" s="5">
        <v>0.55555555555555558</v>
      </c>
      <c r="F3" s="6" t="str">
        <f t="shared" si="0"/>
        <v>No</v>
      </c>
      <c r="G3" s="6">
        <f t="shared" ref="G3:G47" si="6">IF(E3="","",IF(F3="Yes",(E3-D3)-TIME(0,30,0),E3-D3))</f>
        <v>9.7222222222222265E-2</v>
      </c>
      <c r="H3" s="50">
        <f>_xlfn.IFNA(VLOOKUP(C:C,'Active Jobs'!B:K,8,0),"")</f>
        <v>240</v>
      </c>
      <c r="I3" s="8">
        <f t="shared" ref="I3:I47" si="7">IF(F3="Yes",(E3-D3)*24-0.5,IF(F3="No",(E3-D3)*24,""))</f>
        <v>2.3333333333333344</v>
      </c>
      <c r="J3" s="50">
        <f t="shared" si="1"/>
        <v>156.56830000000008</v>
      </c>
      <c r="K3" s="50">
        <f t="shared" si="2"/>
        <v>83.431699999999921</v>
      </c>
      <c r="L3" s="9">
        <f t="shared" ref="L3:L47" si="8">IF(K3="","",IF(H3=0,1,J3/H3))</f>
        <v>0.65236791666666705</v>
      </c>
      <c r="M3" s="16">
        <v>3</v>
      </c>
      <c r="N3" s="42" t="str">
        <v>Nancy Scott</v>
      </c>
      <c r="O3" s="23">
        <f t="shared" ref="O3:O5" si="9">IF(N3="","",ROUND(SUMIFS($I:$I,$A:$A,O$1,$B:$B,"*"&amp;$N3&amp;"*"),2))</f>
        <v>4.58</v>
      </c>
      <c r="P3" s="23">
        <f t="shared" ref="P3:S22" si="10">IF(O3="","",ROUND(SUMIFS($I:$I,$A:$A,P$1,$B:$B,"*"&amp;$N3&amp;"*"),2))</f>
        <v>8.92</v>
      </c>
      <c r="Q3" s="23">
        <f t="shared" si="10"/>
        <v>8.58</v>
      </c>
      <c r="R3" s="23">
        <f t="shared" si="10"/>
        <v>0</v>
      </c>
      <c r="S3" s="23">
        <f t="shared" si="10"/>
        <v>0</v>
      </c>
      <c r="T3" s="10">
        <f t="shared" si="3"/>
        <v>22.08</v>
      </c>
      <c r="U3" s="21"/>
      <c r="V3" s="24">
        <f t="shared" si="4"/>
        <v>664.38719999999989</v>
      </c>
      <c r="W3" s="25">
        <f t="shared" si="5"/>
        <v>76.404527999999985</v>
      </c>
    </row>
    <row r="4" spans="1:23" ht="25" customHeight="1">
      <c r="A4" s="37">
        <v>45761</v>
      </c>
      <c r="B4" s="15" t="s">
        <v>338</v>
      </c>
      <c r="C4" s="16" t="s">
        <v>93</v>
      </c>
      <c r="D4" s="87">
        <v>0.35416666666666669</v>
      </c>
      <c r="E4" s="5">
        <v>0.48958333333333331</v>
      </c>
      <c r="F4" s="6" t="str">
        <f t="shared" si="0"/>
        <v>No</v>
      </c>
      <c r="G4" s="6">
        <f t="shared" si="6"/>
        <v>0.13541666666666663</v>
      </c>
      <c r="H4" s="50">
        <v>360</v>
      </c>
      <c r="I4" s="8">
        <f t="shared" si="7"/>
        <v>3.2499999999999991</v>
      </c>
      <c r="J4" s="50">
        <f t="shared" si="1"/>
        <v>218.07727499999996</v>
      </c>
      <c r="K4" s="50">
        <f t="shared" si="2"/>
        <v>141.92272500000004</v>
      </c>
      <c r="L4" s="9">
        <f t="shared" si="8"/>
        <v>0.60577020833333317</v>
      </c>
      <c r="M4" s="16">
        <v>1</v>
      </c>
      <c r="N4" s="42" t="str">
        <v>Aoife O'Gorman</v>
      </c>
      <c r="O4" s="23">
        <f t="shared" si="9"/>
        <v>6.93</v>
      </c>
      <c r="P4" s="23">
        <f t="shared" si="10"/>
        <v>9.23</v>
      </c>
      <c r="Q4" s="23">
        <f t="shared" si="10"/>
        <v>8.17</v>
      </c>
      <c r="R4" s="23">
        <f t="shared" si="10"/>
        <v>6.7</v>
      </c>
      <c r="S4" s="23">
        <f t="shared" si="10"/>
        <v>0</v>
      </c>
      <c r="T4" s="10">
        <f t="shared" si="3"/>
        <v>31.029999999999998</v>
      </c>
      <c r="U4" s="21"/>
      <c r="V4" s="24">
        <f t="shared" si="4"/>
        <v>933.69269999999995</v>
      </c>
      <c r="W4" s="25">
        <f t="shared" si="5"/>
        <v>107.3746605</v>
      </c>
    </row>
    <row r="5" spans="1:23" ht="25" customHeight="1">
      <c r="A5" s="37">
        <v>45761</v>
      </c>
      <c r="B5" s="15" t="s">
        <v>338</v>
      </c>
      <c r="C5" s="16" t="s">
        <v>94</v>
      </c>
      <c r="D5" s="87">
        <v>0.48958333333333331</v>
      </c>
      <c r="E5" s="5">
        <v>0.5625</v>
      </c>
      <c r="F5" s="6" t="str">
        <f t="shared" si="0"/>
        <v>No</v>
      </c>
      <c r="G5" s="6">
        <f t="shared" si="6"/>
        <v>7.2916666666666685E-2</v>
      </c>
      <c r="H5" s="50">
        <v>200</v>
      </c>
      <c r="I5" s="8">
        <f t="shared" si="7"/>
        <v>1.7500000000000004</v>
      </c>
      <c r="J5" s="50">
        <f t="shared" si="1"/>
        <v>117.42622500000003</v>
      </c>
      <c r="K5" s="50">
        <f t="shared" si="2"/>
        <v>82.573774999999969</v>
      </c>
      <c r="L5" s="9">
        <f t="shared" si="8"/>
        <v>0.5871311250000002</v>
      </c>
      <c r="M5" s="16">
        <v>1</v>
      </c>
      <c r="N5" s="42" t="str">
        <v>Orla Shelly</v>
      </c>
      <c r="O5" s="23">
        <f t="shared" si="9"/>
        <v>6.93</v>
      </c>
      <c r="P5" s="23">
        <f t="shared" si="10"/>
        <v>9.23</v>
      </c>
      <c r="Q5" s="23">
        <f t="shared" si="10"/>
        <v>8.17</v>
      </c>
      <c r="R5" s="23">
        <f t="shared" si="10"/>
        <v>6.7</v>
      </c>
      <c r="S5" s="23">
        <f t="shared" si="10"/>
        <v>0</v>
      </c>
      <c r="T5" s="10">
        <f t="shared" si="3"/>
        <v>31.029999999999998</v>
      </c>
      <c r="U5" s="21"/>
      <c r="V5" s="24">
        <f t="shared" si="4"/>
        <v>933.69269999999995</v>
      </c>
      <c r="W5" s="25">
        <f t="shared" si="5"/>
        <v>107.3746605</v>
      </c>
    </row>
    <row r="6" spans="1:23" ht="25" customHeight="1">
      <c r="A6" s="37">
        <v>45761</v>
      </c>
      <c r="B6" s="15" t="s">
        <v>338</v>
      </c>
      <c r="C6" s="16" t="s">
        <v>50</v>
      </c>
      <c r="D6" s="87">
        <v>0.5625</v>
      </c>
      <c r="E6" s="5">
        <v>0.6430555555555556</v>
      </c>
      <c r="F6" s="6" t="str">
        <f t="shared" si="0"/>
        <v>No</v>
      </c>
      <c r="G6" s="6">
        <f t="shared" si="6"/>
        <v>8.0555555555555602E-2</v>
      </c>
      <c r="H6" s="50">
        <f>_xlfn.IFNA(VLOOKUP(C:C,'Active Jobs'!B:K,8,0),"")</f>
        <v>250</v>
      </c>
      <c r="I6" s="8">
        <f t="shared" si="7"/>
        <v>1.9333333333333345</v>
      </c>
      <c r="J6" s="50">
        <f t="shared" si="1"/>
        <v>129.72802000000007</v>
      </c>
      <c r="K6" s="50">
        <f t="shared" si="2"/>
        <v>120.27197999999993</v>
      </c>
      <c r="L6" s="9">
        <f t="shared" si="8"/>
        <v>0.51891208000000033</v>
      </c>
      <c r="M6" s="16">
        <v>1</v>
      </c>
      <c r="N6" s="43" t="str">
        <v>Julie Roccati</v>
      </c>
      <c r="O6" s="23">
        <f t="shared" ref="O6:O42" si="11">IF(N6="","",ROUND(SUMIFS($I:$I,$A:$A,O$1,$B:$B,"*"&amp;$N6&amp;"*"),2))</f>
        <v>3.7</v>
      </c>
      <c r="P6" s="23">
        <f t="shared" si="10"/>
        <v>8.1</v>
      </c>
      <c r="Q6" s="23">
        <f t="shared" si="10"/>
        <v>7.93</v>
      </c>
      <c r="R6" s="23">
        <f t="shared" si="10"/>
        <v>6.7</v>
      </c>
      <c r="S6" s="23">
        <f t="shared" si="10"/>
        <v>0</v>
      </c>
      <c r="T6" s="10">
        <f t="shared" si="3"/>
        <v>26.43</v>
      </c>
      <c r="U6" s="21"/>
      <c r="V6" s="24">
        <f t="shared" si="4"/>
        <v>795.27869999999996</v>
      </c>
      <c r="W6" s="25">
        <f t="shared" si="5"/>
        <v>91.457050499999994</v>
      </c>
    </row>
    <row r="7" spans="1:23" ht="25" customHeight="1">
      <c r="A7" s="37">
        <v>45761</v>
      </c>
      <c r="B7" s="15" t="s">
        <v>332</v>
      </c>
      <c r="C7" s="16" t="s">
        <v>116</v>
      </c>
      <c r="D7" s="87">
        <v>0.35416666666666669</v>
      </c>
      <c r="E7" s="5">
        <v>0.44791666666666669</v>
      </c>
      <c r="F7" s="6" t="str">
        <f t="shared" si="0"/>
        <v>No</v>
      </c>
      <c r="G7" s="6">
        <f t="shared" si="6"/>
        <v>9.375E-2</v>
      </c>
      <c r="H7" s="50">
        <v>200</v>
      </c>
      <c r="I7" s="8">
        <f t="shared" si="7"/>
        <v>2.25</v>
      </c>
      <c r="J7" s="50">
        <f t="shared" si="1"/>
        <v>150.976575</v>
      </c>
      <c r="K7" s="50">
        <f t="shared" si="2"/>
        <v>49.023425000000003</v>
      </c>
      <c r="L7" s="9">
        <f t="shared" si="8"/>
        <v>0.75488287499999995</v>
      </c>
      <c r="M7" s="16">
        <v>2</v>
      </c>
      <c r="N7" s="47" t="str">
        <v>Cliodhna Corr</v>
      </c>
      <c r="O7" s="23">
        <f t="shared" si="11"/>
        <v>3.7</v>
      </c>
      <c r="P7" s="23">
        <f t="shared" si="10"/>
        <v>8.1</v>
      </c>
      <c r="Q7" s="23">
        <f t="shared" si="10"/>
        <v>7.93</v>
      </c>
      <c r="R7" s="23">
        <f t="shared" si="10"/>
        <v>6.7</v>
      </c>
      <c r="S7" s="23">
        <f t="shared" si="10"/>
        <v>0</v>
      </c>
      <c r="T7" s="10">
        <f t="shared" si="3"/>
        <v>26.43</v>
      </c>
      <c r="U7" s="21"/>
      <c r="V7" s="24">
        <f t="shared" si="4"/>
        <v>795.27869999999996</v>
      </c>
      <c r="W7" s="25">
        <f t="shared" si="5"/>
        <v>91.457050499999994</v>
      </c>
    </row>
    <row r="8" spans="1:23" ht="25" customHeight="1">
      <c r="A8" s="37">
        <v>45761</v>
      </c>
      <c r="B8" s="15" t="s">
        <v>332</v>
      </c>
      <c r="C8" s="49" t="s">
        <v>29</v>
      </c>
      <c r="D8" s="87">
        <v>0.44791666666666669</v>
      </c>
      <c r="E8" s="5">
        <v>0.5083333333333333</v>
      </c>
      <c r="F8" s="6" t="str">
        <f t="shared" si="0"/>
        <v>No</v>
      </c>
      <c r="G8" s="6">
        <f t="shared" si="6"/>
        <v>6.0416666666666619E-2</v>
      </c>
      <c r="H8" s="50">
        <f>_xlfn.IFNA(VLOOKUP(C:C,'Active Jobs'!B:K,8,0),"")</f>
        <v>200</v>
      </c>
      <c r="I8" s="8">
        <f t="shared" si="7"/>
        <v>1.4499999999999988</v>
      </c>
      <c r="J8" s="50">
        <f t="shared" si="1"/>
        <v>97.296014999999912</v>
      </c>
      <c r="K8" s="50">
        <f t="shared" si="2"/>
        <v>102.70398500000009</v>
      </c>
      <c r="L8" s="9">
        <f t="shared" si="8"/>
        <v>0.48648007499999957</v>
      </c>
      <c r="M8" s="16">
        <v>2</v>
      </c>
      <c r="N8" s="41"/>
      <c r="O8" s="23" t="str">
        <f t="shared" si="11"/>
        <v/>
      </c>
      <c r="P8" s="23" t="str">
        <f t="shared" si="10"/>
        <v/>
      </c>
      <c r="Q8" s="23" t="str">
        <f t="shared" si="10"/>
        <v/>
      </c>
      <c r="R8" s="23" t="str">
        <f t="shared" si="10"/>
        <v/>
      </c>
      <c r="S8" s="23" t="str">
        <f t="shared" si="10"/>
        <v/>
      </c>
      <c r="T8" s="10" t="str">
        <f t="shared" si="3"/>
        <v/>
      </c>
      <c r="U8" s="21"/>
      <c r="V8" s="24" t="str">
        <f t="shared" si="4"/>
        <v/>
      </c>
      <c r="W8" s="25" t="str">
        <f t="shared" si="5"/>
        <v/>
      </c>
    </row>
    <row r="9" spans="1:23" ht="25" customHeight="1">
      <c r="A9" s="37">
        <f>A8+1</f>
        <v>45762</v>
      </c>
      <c r="B9" s="15" t="s">
        <v>332</v>
      </c>
      <c r="C9" s="16" t="s">
        <v>21</v>
      </c>
      <c r="D9" s="87" t="str">
        <f>IF(A9="","",IF(A9&lt;&gt;A8,"08:30",E8))</f>
        <v>08:30</v>
      </c>
      <c r="E9" s="5">
        <v>0.44791666666666669</v>
      </c>
      <c r="F9" s="6" t="str">
        <f t="shared" si="0"/>
        <v>No</v>
      </c>
      <c r="G9" s="6">
        <f t="shared" si="6"/>
        <v>9.375E-2</v>
      </c>
      <c r="H9" s="50">
        <f>_xlfn.IFNA(VLOOKUP(C:C,'Active Jobs'!B:K,8,0),"")</f>
        <v>220</v>
      </c>
      <c r="I9" s="8">
        <f t="shared" si="7"/>
        <v>2.25</v>
      </c>
      <c r="J9" s="50">
        <f t="shared" si="1"/>
        <v>150.976575</v>
      </c>
      <c r="K9" s="50">
        <f t="shared" si="2"/>
        <v>69.023425000000003</v>
      </c>
      <c r="L9" s="9">
        <f t="shared" si="8"/>
        <v>0.68625715909090912</v>
      </c>
      <c r="M9" s="16">
        <v>2</v>
      </c>
      <c r="N9" s="47"/>
      <c r="O9" s="23" t="str">
        <f t="shared" si="11"/>
        <v/>
      </c>
      <c r="P9" s="23" t="str">
        <f t="shared" si="10"/>
        <v/>
      </c>
      <c r="Q9" s="23" t="str">
        <f t="shared" si="10"/>
        <v/>
      </c>
      <c r="R9" s="23" t="str">
        <f t="shared" si="10"/>
        <v/>
      </c>
      <c r="S9" s="23" t="str">
        <f t="shared" si="10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>
        <f t="shared" ref="A10:A20" si="12">A9</f>
        <v>45762</v>
      </c>
      <c r="B10" s="15" t="s">
        <v>332</v>
      </c>
      <c r="C10" s="16" t="s">
        <v>20</v>
      </c>
      <c r="D10" s="87">
        <f>IF(A10="","",IF(A10&lt;&gt;A9,"08:30",E9))</f>
        <v>0.44791666666666669</v>
      </c>
      <c r="E10" s="5">
        <v>0.55208333333333337</v>
      </c>
      <c r="F10" s="6" t="s">
        <v>17</v>
      </c>
      <c r="G10" s="6">
        <f t="shared" si="6"/>
        <v>8.3333333333333356E-2</v>
      </c>
      <c r="H10" s="50">
        <f>_xlfn.IFNA(VLOOKUP(C:C,'Active Jobs'!B:K,8,0),"")</f>
        <v>250</v>
      </c>
      <c r="I10" s="8">
        <f t="shared" si="7"/>
        <v>2.0000000000000004</v>
      </c>
      <c r="J10" s="50">
        <f t="shared" si="1"/>
        <v>134.20140000000004</v>
      </c>
      <c r="K10" s="50">
        <f t="shared" si="2"/>
        <v>115.79859999999996</v>
      </c>
      <c r="L10" s="9">
        <f t="shared" si="8"/>
        <v>0.5368056000000001</v>
      </c>
      <c r="M10" s="16">
        <v>2</v>
      </c>
      <c r="O10" s="23" t="str">
        <f t="shared" si="11"/>
        <v/>
      </c>
      <c r="P10" s="23" t="str">
        <f t="shared" si="10"/>
        <v/>
      </c>
      <c r="Q10" s="23" t="str">
        <f t="shared" si="10"/>
        <v/>
      </c>
      <c r="R10" s="23" t="str">
        <f t="shared" si="10"/>
        <v/>
      </c>
      <c r="S10" s="23" t="str">
        <f t="shared" si="10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A11" s="37">
        <f t="shared" si="12"/>
        <v>45762</v>
      </c>
      <c r="B11" s="15" t="s">
        <v>332</v>
      </c>
      <c r="C11" s="16" t="s">
        <v>95</v>
      </c>
      <c r="D11" s="87">
        <f t="shared" ref="D11:D47" si="13">IF(A11="","",IF(A11&lt;&gt;A10,"08:30",E10))</f>
        <v>0.55208333333333337</v>
      </c>
      <c r="E11" s="5">
        <v>0.64583333333333337</v>
      </c>
      <c r="F11" s="6" t="str">
        <f t="shared" si="0"/>
        <v>No</v>
      </c>
      <c r="G11" s="6">
        <f t="shared" si="6"/>
        <v>9.375E-2</v>
      </c>
      <c r="H11" s="50">
        <f>_xlfn.IFNA(VLOOKUP(C:C,'Active Jobs'!B:K,8,0),"")</f>
        <v>210</v>
      </c>
      <c r="I11" s="8">
        <f t="shared" si="7"/>
        <v>2.25</v>
      </c>
      <c r="J11" s="50">
        <f t="shared" si="1"/>
        <v>150.976575</v>
      </c>
      <c r="K11" s="50">
        <f t="shared" si="2"/>
        <v>59.023425000000003</v>
      </c>
      <c r="L11" s="9">
        <f t="shared" si="8"/>
        <v>0.71893607142857141</v>
      </c>
      <c r="M11" s="16">
        <v>2</v>
      </c>
      <c r="O11" s="23" t="str">
        <f t="shared" si="11"/>
        <v/>
      </c>
      <c r="P11" s="23" t="str">
        <f t="shared" si="10"/>
        <v/>
      </c>
      <c r="Q11" s="23" t="str">
        <f t="shared" si="10"/>
        <v/>
      </c>
      <c r="R11" s="23" t="str">
        <f t="shared" si="10"/>
        <v/>
      </c>
      <c r="S11" s="23" t="str">
        <f t="shared" si="10"/>
        <v/>
      </c>
      <c r="T11" s="10" t="str">
        <f t="shared" si="3"/>
        <v/>
      </c>
      <c r="U11" s="21"/>
      <c r="V11" s="24" t="str">
        <f t="shared" si="4"/>
        <v/>
      </c>
      <c r="W11" s="25" t="str">
        <f t="shared" si="5"/>
        <v/>
      </c>
    </row>
    <row r="12" spans="1:23" ht="25" customHeight="1">
      <c r="A12" s="37">
        <f t="shared" si="12"/>
        <v>45762</v>
      </c>
      <c r="B12" s="15" t="s">
        <v>332</v>
      </c>
      <c r="C12" s="16" t="s">
        <v>96</v>
      </c>
      <c r="D12" s="87">
        <f t="shared" si="13"/>
        <v>0.64583333333333337</v>
      </c>
      <c r="E12" s="5">
        <v>0.71250000000000002</v>
      </c>
      <c r="F12" s="6" t="str">
        <f t="shared" si="0"/>
        <v>No</v>
      </c>
      <c r="G12" s="6">
        <f t="shared" si="6"/>
        <v>6.6666666666666652E-2</v>
      </c>
      <c r="H12" s="50">
        <v>200</v>
      </c>
      <c r="I12" s="8">
        <f t="shared" si="7"/>
        <v>1.5999999999999996</v>
      </c>
      <c r="J12" s="50">
        <f t="shared" si="1"/>
        <v>107.36111999999999</v>
      </c>
      <c r="K12" s="50">
        <f t="shared" si="2"/>
        <v>92.638880000000015</v>
      </c>
      <c r="L12" s="9">
        <f t="shared" si="8"/>
        <v>0.53680559999999988</v>
      </c>
      <c r="M12" s="16">
        <v>2</v>
      </c>
      <c r="O12" s="23" t="str">
        <f t="shared" si="11"/>
        <v/>
      </c>
      <c r="P12" s="23" t="str">
        <f t="shared" si="10"/>
        <v/>
      </c>
      <c r="Q12" s="23" t="str">
        <f t="shared" si="10"/>
        <v/>
      </c>
      <c r="R12" s="23" t="str">
        <f t="shared" si="10"/>
        <v/>
      </c>
      <c r="S12" s="23" t="str">
        <f t="shared" si="10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A13" s="37">
        <f t="shared" si="12"/>
        <v>45762</v>
      </c>
      <c r="B13" s="15" t="s">
        <v>338</v>
      </c>
      <c r="C13" s="16" t="s">
        <v>97</v>
      </c>
      <c r="D13" s="87">
        <v>0.35416666666666669</v>
      </c>
      <c r="E13" s="5">
        <v>0.45833333333333331</v>
      </c>
      <c r="F13" s="6" t="str">
        <f t="shared" si="0"/>
        <v>No</v>
      </c>
      <c r="G13" s="6">
        <f t="shared" si="6"/>
        <v>0.10416666666666663</v>
      </c>
      <c r="H13" s="50">
        <v>230</v>
      </c>
      <c r="I13" s="8">
        <f t="shared" si="7"/>
        <v>2.4999999999999991</v>
      </c>
      <c r="J13" s="50">
        <f t="shared" si="1"/>
        <v>167.75174999999993</v>
      </c>
      <c r="K13" s="50">
        <f t="shared" si="2"/>
        <v>62.24825000000007</v>
      </c>
      <c r="L13" s="9">
        <f t="shared" si="8"/>
        <v>0.72935543478260845</v>
      </c>
      <c r="M13" s="16">
        <v>1</v>
      </c>
      <c r="O13" s="23" t="str">
        <f t="shared" si="11"/>
        <v/>
      </c>
      <c r="P13" s="23" t="str">
        <f t="shared" si="10"/>
        <v/>
      </c>
      <c r="Q13" s="23" t="str">
        <f t="shared" si="10"/>
        <v/>
      </c>
      <c r="R13" s="23" t="str">
        <f t="shared" si="10"/>
        <v/>
      </c>
      <c r="S13" s="23" t="str">
        <f t="shared" si="10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A14" s="37">
        <f t="shared" si="12"/>
        <v>45762</v>
      </c>
      <c r="B14" s="15" t="s">
        <v>338</v>
      </c>
      <c r="C14" s="16" t="s">
        <v>45</v>
      </c>
      <c r="D14" s="87">
        <v>0.45833333333333331</v>
      </c>
      <c r="E14" s="5">
        <v>0.5625</v>
      </c>
      <c r="F14" s="6" t="s">
        <v>17</v>
      </c>
      <c r="G14" s="6">
        <f t="shared" si="6"/>
        <v>8.3333333333333356E-2</v>
      </c>
      <c r="H14" s="50">
        <f>_xlfn.IFNA(VLOOKUP(C:C,'Active Jobs'!B:K,8,0),"")</f>
        <v>275</v>
      </c>
      <c r="I14" s="8">
        <f t="shared" si="7"/>
        <v>2.0000000000000004</v>
      </c>
      <c r="J14" s="50">
        <f t="shared" si="1"/>
        <v>134.20140000000004</v>
      </c>
      <c r="K14" s="50">
        <f t="shared" si="2"/>
        <v>140.79859999999996</v>
      </c>
      <c r="L14" s="9">
        <f t="shared" si="8"/>
        <v>0.48800509090909105</v>
      </c>
      <c r="M14" s="16">
        <v>1</v>
      </c>
      <c r="O14" s="23" t="str">
        <f t="shared" si="11"/>
        <v/>
      </c>
      <c r="P14" s="23" t="str">
        <f t="shared" si="10"/>
        <v/>
      </c>
      <c r="Q14" s="23" t="str">
        <f t="shared" si="10"/>
        <v/>
      </c>
      <c r="R14" s="23" t="str">
        <f t="shared" si="10"/>
        <v/>
      </c>
      <c r="S14" s="23" t="str">
        <f t="shared" si="10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A15" s="37">
        <f t="shared" si="12"/>
        <v>45762</v>
      </c>
      <c r="B15" s="15" t="s">
        <v>338</v>
      </c>
      <c r="C15" s="16" t="s">
        <v>98</v>
      </c>
      <c r="D15" s="87">
        <v>0.54166666666666663</v>
      </c>
      <c r="E15" s="5">
        <v>0.64583333333333337</v>
      </c>
      <c r="F15" s="6" t="str">
        <f t="shared" si="0"/>
        <v>No</v>
      </c>
      <c r="G15" s="6">
        <f t="shared" si="6"/>
        <v>0.10416666666666674</v>
      </c>
      <c r="H15" s="50">
        <f>_xlfn.IFNA(VLOOKUP(C:C,'Active Jobs'!B:K,8,0),"")</f>
        <v>250</v>
      </c>
      <c r="I15" s="8">
        <f t="shared" si="7"/>
        <v>2.5000000000000018</v>
      </c>
      <c r="J15" s="50">
        <f t="shared" si="1"/>
        <v>167.7517500000001</v>
      </c>
      <c r="K15" s="50">
        <f t="shared" si="2"/>
        <v>82.248249999999899</v>
      </c>
      <c r="L15" s="9">
        <f t="shared" si="8"/>
        <v>0.67100700000000035</v>
      </c>
      <c r="M15" s="16">
        <v>1</v>
      </c>
      <c r="O15" s="23" t="str">
        <f t="shared" si="11"/>
        <v/>
      </c>
      <c r="P15" s="23" t="str">
        <f t="shared" si="10"/>
        <v/>
      </c>
      <c r="Q15" s="23" t="str">
        <f t="shared" si="10"/>
        <v/>
      </c>
      <c r="R15" s="23" t="str">
        <f t="shared" si="10"/>
        <v/>
      </c>
      <c r="S15" s="23" t="str">
        <f t="shared" si="10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A16" s="37">
        <f t="shared" si="12"/>
        <v>45762</v>
      </c>
      <c r="B16" s="15" t="s">
        <v>338</v>
      </c>
      <c r="C16" s="16" t="s">
        <v>30</v>
      </c>
      <c r="D16" s="87">
        <f t="shared" si="13"/>
        <v>0.64583333333333337</v>
      </c>
      <c r="E16" s="5">
        <v>0.73888888888888893</v>
      </c>
      <c r="F16" s="6" t="str">
        <f t="shared" si="0"/>
        <v>No</v>
      </c>
      <c r="G16" s="6">
        <f t="shared" si="6"/>
        <v>9.3055555555555558E-2</v>
      </c>
      <c r="H16" s="50">
        <v>240</v>
      </c>
      <c r="I16" s="8">
        <f t="shared" si="7"/>
        <v>2.2333333333333334</v>
      </c>
      <c r="J16" s="50">
        <f t="shared" si="1"/>
        <v>149.85823000000002</v>
      </c>
      <c r="K16" s="50">
        <f t="shared" si="2"/>
        <v>90.14176999999998</v>
      </c>
      <c r="L16" s="9">
        <f t="shared" si="8"/>
        <v>0.6244092916666667</v>
      </c>
      <c r="M16" s="16">
        <v>1</v>
      </c>
      <c r="O16" s="23" t="str">
        <f t="shared" si="11"/>
        <v/>
      </c>
      <c r="P16" s="23" t="str">
        <f t="shared" si="10"/>
        <v/>
      </c>
      <c r="Q16" s="23" t="str">
        <f t="shared" si="10"/>
        <v/>
      </c>
      <c r="R16" s="23" t="str">
        <f t="shared" si="10"/>
        <v/>
      </c>
      <c r="S16" s="23" t="str">
        <f t="shared" si="10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1:23" ht="25" customHeight="1">
      <c r="A17" s="37">
        <f t="shared" si="12"/>
        <v>45762</v>
      </c>
      <c r="B17" s="15" t="s">
        <v>334</v>
      </c>
      <c r="C17" s="16" t="s">
        <v>99</v>
      </c>
      <c r="D17" s="87">
        <v>0.35416666666666669</v>
      </c>
      <c r="E17" s="5">
        <v>0.44444444444444442</v>
      </c>
      <c r="F17" s="6" t="str">
        <f t="shared" si="0"/>
        <v>No</v>
      </c>
      <c r="G17" s="6">
        <f t="shared" si="6"/>
        <v>9.0277777777777735E-2</v>
      </c>
      <c r="H17" s="50">
        <f>_xlfn.IFNA(VLOOKUP(C:C,'Active Jobs'!B:K,8,0),"")</f>
        <v>200</v>
      </c>
      <c r="I17" s="8">
        <f t="shared" si="7"/>
        <v>2.1666666666666656</v>
      </c>
      <c r="J17" s="50">
        <f t="shared" si="1"/>
        <v>145.38484999999991</v>
      </c>
      <c r="K17" s="50">
        <f t="shared" si="2"/>
        <v>54.615150000000085</v>
      </c>
      <c r="L17" s="9">
        <f t="shared" si="8"/>
        <v>0.72692424999999961</v>
      </c>
      <c r="M17" s="16">
        <v>3</v>
      </c>
      <c r="O17" s="23" t="str">
        <f t="shared" si="11"/>
        <v/>
      </c>
      <c r="P17" s="23" t="str">
        <f t="shared" si="10"/>
        <v/>
      </c>
      <c r="Q17" s="23" t="str">
        <f t="shared" si="10"/>
        <v/>
      </c>
      <c r="R17" s="23" t="str">
        <f t="shared" si="10"/>
        <v/>
      </c>
      <c r="S17" s="23" t="str">
        <f t="shared" si="10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1:23" ht="25" customHeight="1">
      <c r="A18" s="37">
        <f t="shared" si="12"/>
        <v>45762</v>
      </c>
      <c r="B18" s="15" t="s">
        <v>334</v>
      </c>
      <c r="C18" s="16" t="s">
        <v>100</v>
      </c>
      <c r="D18" s="87">
        <f t="shared" si="13"/>
        <v>0.44444444444444442</v>
      </c>
      <c r="E18" s="5">
        <v>0.55208333333333337</v>
      </c>
      <c r="F18" s="6" t="s">
        <v>17</v>
      </c>
      <c r="G18" s="6">
        <f t="shared" si="6"/>
        <v>8.6805555555555622E-2</v>
      </c>
      <c r="H18" s="50">
        <f>_xlfn.IFNA(VLOOKUP(C:C,'Active Jobs'!B:K,8,0),"")</f>
        <v>200</v>
      </c>
      <c r="I18" s="8">
        <f t="shared" si="7"/>
        <v>2.0833333333333348</v>
      </c>
      <c r="J18" s="50">
        <f t="shared" si="1"/>
        <v>139.79312500000009</v>
      </c>
      <c r="K18" s="50">
        <f t="shared" si="2"/>
        <v>60.206874999999911</v>
      </c>
      <c r="L18" s="9">
        <f t="shared" si="8"/>
        <v>0.69896562500000048</v>
      </c>
      <c r="M18" s="16">
        <v>3</v>
      </c>
      <c r="O18" s="23" t="str">
        <f t="shared" si="11"/>
        <v/>
      </c>
      <c r="P18" s="23" t="str">
        <f t="shared" si="10"/>
        <v/>
      </c>
      <c r="Q18" s="23" t="str">
        <f t="shared" si="10"/>
        <v/>
      </c>
      <c r="R18" s="23" t="str">
        <f t="shared" si="10"/>
        <v/>
      </c>
      <c r="S18" s="23" t="str">
        <f t="shared" si="10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1:23" ht="25" customHeight="1">
      <c r="A19" s="37">
        <f t="shared" si="12"/>
        <v>45762</v>
      </c>
      <c r="B19" s="15" t="s">
        <v>334</v>
      </c>
      <c r="C19" s="16" t="s">
        <v>32</v>
      </c>
      <c r="D19" s="87">
        <f t="shared" si="13"/>
        <v>0.55208333333333337</v>
      </c>
      <c r="E19" s="5">
        <v>0.63541666666666663</v>
      </c>
      <c r="F19" s="6" t="str">
        <f t="shared" si="0"/>
        <v>No</v>
      </c>
      <c r="G19" s="6">
        <f t="shared" si="6"/>
        <v>8.3333333333333259E-2</v>
      </c>
      <c r="H19" s="50">
        <v>195</v>
      </c>
      <c r="I19" s="8">
        <f t="shared" si="7"/>
        <v>1.9999999999999982</v>
      </c>
      <c r="J19" s="50">
        <f t="shared" si="1"/>
        <v>134.20139999999986</v>
      </c>
      <c r="K19" s="50">
        <f t="shared" si="2"/>
        <v>60.798600000000135</v>
      </c>
      <c r="L19" s="9">
        <f t="shared" si="8"/>
        <v>0.68821230769230701</v>
      </c>
      <c r="M19" s="16">
        <v>3</v>
      </c>
      <c r="O19" s="23" t="str">
        <f t="shared" si="11"/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3"/>
        <v/>
      </c>
    </row>
    <row r="20" spans="1:23" ht="25" customHeight="1">
      <c r="A20" s="37">
        <f t="shared" si="12"/>
        <v>45762</v>
      </c>
      <c r="B20" s="15" t="s">
        <v>334</v>
      </c>
      <c r="C20" s="16" t="s">
        <v>101</v>
      </c>
      <c r="D20" s="87">
        <f t="shared" si="13"/>
        <v>0.63541666666666663</v>
      </c>
      <c r="E20" s="5">
        <v>0.74652777777777779</v>
      </c>
      <c r="F20" s="6" t="str">
        <f t="shared" si="0"/>
        <v>No</v>
      </c>
      <c r="G20" s="6">
        <f t="shared" si="6"/>
        <v>0.11111111111111116</v>
      </c>
      <c r="H20" s="50">
        <v>250</v>
      </c>
      <c r="I20" s="8">
        <f t="shared" si="7"/>
        <v>2.6666666666666679</v>
      </c>
      <c r="J20" s="50">
        <f t="shared" si="1"/>
        <v>178.93520000000009</v>
      </c>
      <c r="K20" s="50">
        <f t="shared" si="2"/>
        <v>71.064799999999906</v>
      </c>
      <c r="L20" s="9">
        <f t="shared" si="8"/>
        <v>0.7157408000000004</v>
      </c>
      <c r="M20" s="16">
        <v>3</v>
      </c>
      <c r="O20" s="23" t="str">
        <f t="shared" si="11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3"/>
        <v/>
      </c>
    </row>
    <row r="21" spans="1:23" ht="25" customHeight="1">
      <c r="A21" s="38">
        <v>45763</v>
      </c>
      <c r="B21" s="15" t="s">
        <v>332</v>
      </c>
      <c r="C21" s="16" t="s">
        <v>102</v>
      </c>
      <c r="D21" s="87" t="str">
        <f t="shared" si="13"/>
        <v>08:30</v>
      </c>
      <c r="E21" s="5">
        <v>0.45833333333333331</v>
      </c>
      <c r="F21" s="6" t="str">
        <f t="shared" si="0"/>
        <v>No</v>
      </c>
      <c r="G21" s="6">
        <f t="shared" si="6"/>
        <v>0.10416666666666663</v>
      </c>
      <c r="H21" s="50">
        <f>_xlfn.IFNA(VLOOKUP(C:C,'Active Jobs'!B:K,8,0),"")</f>
        <v>240</v>
      </c>
      <c r="I21" s="8">
        <f t="shared" si="7"/>
        <v>2.4999999999999991</v>
      </c>
      <c r="J21" s="50">
        <f t="shared" si="1"/>
        <v>167.75174999999993</v>
      </c>
      <c r="K21" s="50">
        <f t="shared" si="2"/>
        <v>72.24825000000007</v>
      </c>
      <c r="L21" s="9">
        <f t="shared" si="8"/>
        <v>0.6989656249999997</v>
      </c>
      <c r="M21" s="16">
        <v>2</v>
      </c>
      <c r="O21" s="23" t="str">
        <f t="shared" si="11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3"/>
        <v/>
      </c>
    </row>
    <row r="22" spans="1:23" ht="25" customHeight="1">
      <c r="A22" s="38">
        <v>45763</v>
      </c>
      <c r="B22" s="15" t="s">
        <v>332</v>
      </c>
      <c r="C22" s="16" t="s">
        <v>25</v>
      </c>
      <c r="D22" s="87">
        <f t="shared" si="13"/>
        <v>0.45833333333333331</v>
      </c>
      <c r="E22" s="5">
        <v>0.55208333333333337</v>
      </c>
      <c r="F22" s="6" t="s">
        <v>17</v>
      </c>
      <c r="G22" s="6">
        <f t="shared" si="6"/>
        <v>7.2916666666666727E-2</v>
      </c>
      <c r="H22" s="50">
        <f>_xlfn.IFNA(VLOOKUP(C:C,'Active Jobs'!B:K,8,0),"")</f>
        <v>220</v>
      </c>
      <c r="I22" s="8">
        <f t="shared" si="7"/>
        <v>1.7500000000000013</v>
      </c>
      <c r="J22" s="50">
        <f t="shared" si="1"/>
        <v>117.42622500000009</v>
      </c>
      <c r="K22" s="50">
        <f t="shared" si="2"/>
        <v>102.57377499999991</v>
      </c>
      <c r="L22" s="9">
        <f t="shared" si="8"/>
        <v>0.53375556818181857</v>
      </c>
      <c r="M22" s="16">
        <v>2</v>
      </c>
      <c r="O22" s="23" t="str">
        <f t="shared" si="11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3"/>
        <v/>
      </c>
    </row>
    <row r="23" spans="1:23" ht="25" customHeight="1">
      <c r="A23" s="38">
        <v>45763</v>
      </c>
      <c r="B23" s="15" t="s">
        <v>332</v>
      </c>
      <c r="C23" s="16" t="s">
        <v>103</v>
      </c>
      <c r="D23" s="87">
        <f t="shared" si="13"/>
        <v>0.55208333333333337</v>
      </c>
      <c r="E23" s="5">
        <v>0.63541666666666663</v>
      </c>
      <c r="F23" s="6" t="str">
        <f t="shared" si="0"/>
        <v>No</v>
      </c>
      <c r="G23" s="6">
        <f t="shared" si="6"/>
        <v>8.3333333333333259E-2</v>
      </c>
      <c r="H23" s="50">
        <v>200</v>
      </c>
      <c r="I23" s="8">
        <f t="shared" si="7"/>
        <v>1.9999999999999982</v>
      </c>
      <c r="J23" s="50">
        <f t="shared" si="1"/>
        <v>134.20139999999986</v>
      </c>
      <c r="K23" s="50">
        <f t="shared" si="2"/>
        <v>65.798600000000135</v>
      </c>
      <c r="L23" s="9">
        <f t="shared" si="8"/>
        <v>0.67100699999999935</v>
      </c>
      <c r="M23" s="16">
        <v>2</v>
      </c>
      <c r="O23" s="23" t="str">
        <f t="shared" si="11"/>
        <v/>
      </c>
      <c r="P23" s="23" t="str">
        <f t="shared" ref="P23:S42" si="14">IF(O23="","",ROUND(SUMIFS($I:$I,$A:$A,P$1,$B:$B,"*"&amp;$N23&amp;"*"),2))</f>
        <v/>
      </c>
      <c r="Q23" s="23" t="str">
        <f t="shared" si="14"/>
        <v/>
      </c>
      <c r="R23" s="23" t="str">
        <f t="shared" si="14"/>
        <v/>
      </c>
      <c r="S23" s="23" t="str">
        <f t="shared" si="14"/>
        <v/>
      </c>
      <c r="T23" s="74" t="str">
        <f t="shared" si="3"/>
        <v/>
      </c>
    </row>
    <row r="24" spans="1:23" ht="25" customHeight="1">
      <c r="A24" s="38">
        <v>45763</v>
      </c>
      <c r="B24" s="15" t="s">
        <v>332</v>
      </c>
      <c r="C24" s="16" t="s">
        <v>104</v>
      </c>
      <c r="D24" s="87">
        <f t="shared" si="13"/>
        <v>0.63541666666666663</v>
      </c>
      <c r="E24" s="5">
        <v>0.7055555555555556</v>
      </c>
      <c r="F24" s="6" t="str">
        <f t="shared" si="0"/>
        <v>No</v>
      </c>
      <c r="G24" s="6">
        <f t="shared" si="6"/>
        <v>7.0138888888888973E-2</v>
      </c>
      <c r="H24" s="50">
        <f>_xlfn.IFNA(VLOOKUP(C:C,'Active Jobs'!B:K,8,0),"")</f>
        <v>250</v>
      </c>
      <c r="I24" s="8">
        <f t="shared" si="7"/>
        <v>1.6833333333333353</v>
      </c>
      <c r="J24" s="50">
        <f t="shared" si="1"/>
        <v>112.95284500000014</v>
      </c>
      <c r="K24" s="50">
        <f t="shared" si="2"/>
        <v>137.04715499999986</v>
      </c>
      <c r="L24" s="9">
        <f t="shared" si="8"/>
        <v>0.45181138000000054</v>
      </c>
      <c r="M24" s="16">
        <v>2</v>
      </c>
      <c r="O24" s="23" t="str">
        <f t="shared" si="11"/>
        <v/>
      </c>
      <c r="P24" s="23" t="str">
        <f t="shared" si="14"/>
        <v/>
      </c>
      <c r="Q24" s="23" t="str">
        <f t="shared" si="14"/>
        <v/>
      </c>
      <c r="R24" s="23" t="str">
        <f t="shared" si="14"/>
        <v/>
      </c>
      <c r="S24" s="23" t="str">
        <f t="shared" si="14"/>
        <v/>
      </c>
      <c r="T24" s="74" t="str">
        <f t="shared" si="3"/>
        <v/>
      </c>
    </row>
    <row r="25" spans="1:23" ht="25" customHeight="1">
      <c r="A25" s="38">
        <f t="shared" ref="A25:A32" si="15">A24</f>
        <v>45763</v>
      </c>
      <c r="B25" s="15" t="s">
        <v>338</v>
      </c>
      <c r="C25" s="16" t="s">
        <v>105</v>
      </c>
      <c r="D25" s="87">
        <v>0.35416666666666669</v>
      </c>
      <c r="E25" s="5">
        <v>0.44791666666666669</v>
      </c>
      <c r="F25" s="6" t="str">
        <f t="shared" si="0"/>
        <v>No</v>
      </c>
      <c r="G25" s="6">
        <f t="shared" si="6"/>
        <v>9.375E-2</v>
      </c>
      <c r="H25" s="50">
        <v>195</v>
      </c>
      <c r="I25" s="8">
        <f t="shared" si="7"/>
        <v>2.25</v>
      </c>
      <c r="J25" s="50">
        <f t="shared" si="1"/>
        <v>150.976575</v>
      </c>
      <c r="K25" s="50">
        <f t="shared" si="2"/>
        <v>44.023425000000003</v>
      </c>
      <c r="L25" s="9">
        <f t="shared" si="8"/>
        <v>0.77423884615384608</v>
      </c>
      <c r="M25" s="16">
        <v>1</v>
      </c>
      <c r="O25" s="23" t="str">
        <f t="shared" si="11"/>
        <v/>
      </c>
      <c r="P25" s="23" t="str">
        <f t="shared" si="14"/>
        <v/>
      </c>
      <c r="Q25" s="23" t="str">
        <f t="shared" si="14"/>
        <v/>
      </c>
      <c r="R25" s="23" t="str">
        <f t="shared" si="14"/>
        <v/>
      </c>
      <c r="S25" s="23" t="str">
        <f t="shared" si="14"/>
        <v/>
      </c>
      <c r="T25" s="74" t="str">
        <f t="shared" si="3"/>
        <v/>
      </c>
    </row>
    <row r="26" spans="1:23" ht="25" customHeight="1">
      <c r="A26" s="38">
        <f t="shared" si="15"/>
        <v>45763</v>
      </c>
      <c r="B26" s="15" t="s">
        <v>338</v>
      </c>
      <c r="C26" s="16" t="s">
        <v>106</v>
      </c>
      <c r="D26" s="87">
        <f t="shared" si="13"/>
        <v>0.44791666666666669</v>
      </c>
      <c r="E26" s="5">
        <v>0.55208333333333337</v>
      </c>
      <c r="F26" s="6" t="s">
        <v>17</v>
      </c>
      <c r="G26" s="6">
        <f t="shared" si="6"/>
        <v>8.3333333333333356E-2</v>
      </c>
      <c r="H26" s="50">
        <v>215</v>
      </c>
      <c r="I26" s="8">
        <f t="shared" si="7"/>
        <v>2.0000000000000004</v>
      </c>
      <c r="J26" s="50">
        <f t="shared" si="1"/>
        <v>134.20140000000004</v>
      </c>
      <c r="K26" s="50">
        <f t="shared" si="2"/>
        <v>80.798599999999965</v>
      </c>
      <c r="L26" s="9">
        <f t="shared" si="8"/>
        <v>0.624192558139535</v>
      </c>
      <c r="M26" s="16">
        <v>1</v>
      </c>
      <c r="O26" s="23" t="str">
        <f t="shared" si="11"/>
        <v/>
      </c>
      <c r="P26" s="23" t="str">
        <f t="shared" si="14"/>
        <v/>
      </c>
      <c r="Q26" s="23" t="str">
        <f t="shared" si="14"/>
        <v/>
      </c>
      <c r="R26" s="23" t="str">
        <f t="shared" si="14"/>
        <v/>
      </c>
      <c r="S26" s="23" t="str">
        <f t="shared" si="14"/>
        <v/>
      </c>
      <c r="T26" s="74" t="str">
        <f t="shared" si="3"/>
        <v/>
      </c>
    </row>
    <row r="27" spans="1:23" ht="25" customHeight="1">
      <c r="A27" s="38">
        <f t="shared" si="15"/>
        <v>45763</v>
      </c>
      <c r="B27" s="15" t="s">
        <v>338</v>
      </c>
      <c r="C27" s="16" t="s">
        <v>107</v>
      </c>
      <c r="D27" s="87">
        <f t="shared" si="13"/>
        <v>0.55208333333333337</v>
      </c>
      <c r="E27" s="5">
        <v>0.64583333333333337</v>
      </c>
      <c r="F27" s="6" t="str">
        <f t="shared" si="0"/>
        <v>No</v>
      </c>
      <c r="G27" s="6">
        <f t="shared" si="6"/>
        <v>9.375E-2</v>
      </c>
      <c r="H27" s="50">
        <v>230</v>
      </c>
      <c r="I27" s="8">
        <f t="shared" si="7"/>
        <v>2.25</v>
      </c>
      <c r="J27" s="50">
        <f t="shared" si="1"/>
        <v>150.976575</v>
      </c>
      <c r="K27" s="50">
        <f t="shared" si="2"/>
        <v>79.023425000000003</v>
      </c>
      <c r="L27" s="9">
        <f t="shared" si="8"/>
        <v>0.65641989130434786</v>
      </c>
      <c r="M27" s="16">
        <v>1</v>
      </c>
      <c r="O27" s="23" t="str">
        <f t="shared" si="11"/>
        <v/>
      </c>
      <c r="P27" s="23" t="str">
        <f t="shared" si="14"/>
        <v/>
      </c>
      <c r="Q27" s="23" t="str">
        <f t="shared" si="14"/>
        <v/>
      </c>
      <c r="R27" s="23" t="str">
        <f t="shared" si="14"/>
        <v/>
      </c>
      <c r="S27" s="23" t="str">
        <f t="shared" si="14"/>
        <v/>
      </c>
      <c r="T27" s="74" t="str">
        <f t="shared" si="3"/>
        <v/>
      </c>
    </row>
    <row r="28" spans="1:23" ht="25" customHeight="1">
      <c r="A28" s="38">
        <f t="shared" si="15"/>
        <v>45763</v>
      </c>
      <c r="B28" s="15" t="s">
        <v>338</v>
      </c>
      <c r="C28" s="16" t="s">
        <v>108</v>
      </c>
      <c r="D28" s="87">
        <f t="shared" si="13"/>
        <v>0.64583333333333337</v>
      </c>
      <c r="E28" s="5">
        <v>0.71527777777777779</v>
      </c>
      <c r="F28" s="6" t="str">
        <f t="shared" si="0"/>
        <v>No</v>
      </c>
      <c r="G28" s="6">
        <f t="shared" si="6"/>
        <v>6.944444444444442E-2</v>
      </c>
      <c r="H28" s="50">
        <f>_xlfn.IFNA(VLOOKUP(C:C,'Active Jobs'!B:K,8,0),"")</f>
        <v>200</v>
      </c>
      <c r="I28" s="8">
        <f t="shared" si="7"/>
        <v>1.6666666666666661</v>
      </c>
      <c r="J28" s="50">
        <f t="shared" si="1"/>
        <v>111.83449999999996</v>
      </c>
      <c r="K28" s="50">
        <f t="shared" si="2"/>
        <v>88.165500000000037</v>
      </c>
      <c r="L28" s="9">
        <f t="shared" si="8"/>
        <v>0.55917249999999985</v>
      </c>
      <c r="M28" s="16">
        <v>1</v>
      </c>
      <c r="O28" s="23" t="str">
        <f t="shared" si="11"/>
        <v/>
      </c>
      <c r="P28" s="23" t="str">
        <f t="shared" si="14"/>
        <v/>
      </c>
      <c r="Q28" s="23" t="str">
        <f t="shared" si="14"/>
        <v/>
      </c>
      <c r="R28" s="23" t="str">
        <f t="shared" si="14"/>
        <v/>
      </c>
      <c r="S28" s="23" t="str">
        <f t="shared" si="14"/>
        <v/>
      </c>
      <c r="T28" s="74" t="str">
        <f t="shared" si="3"/>
        <v/>
      </c>
    </row>
    <row r="29" spans="1:23" ht="25" customHeight="1">
      <c r="A29" s="38">
        <f t="shared" si="15"/>
        <v>45763</v>
      </c>
      <c r="B29" s="15" t="s">
        <v>334</v>
      </c>
      <c r="C29" s="16" t="s">
        <v>23</v>
      </c>
      <c r="D29" s="87">
        <v>0.35416666666666669</v>
      </c>
      <c r="E29" s="5">
        <v>0.52083333333333337</v>
      </c>
      <c r="F29" s="6" t="str">
        <f t="shared" si="0"/>
        <v>No</v>
      </c>
      <c r="G29" s="6">
        <f t="shared" si="6"/>
        <v>0.16666666666666669</v>
      </c>
      <c r="H29" s="50">
        <f>_xlfn.IFNA(VLOOKUP(C:C,'Active Jobs'!B:K,8,0),"")</f>
        <v>380</v>
      </c>
      <c r="I29" s="8">
        <f t="shared" si="7"/>
        <v>4</v>
      </c>
      <c r="J29" s="50">
        <f t="shared" si="1"/>
        <v>268.40280000000001</v>
      </c>
      <c r="K29" s="50">
        <f t="shared" si="2"/>
        <v>111.59719999999999</v>
      </c>
      <c r="L29" s="9">
        <f t="shared" si="8"/>
        <v>0.70632315789473687</v>
      </c>
      <c r="M29" s="16">
        <v>3</v>
      </c>
      <c r="O29" s="23" t="str">
        <f t="shared" si="11"/>
        <v/>
      </c>
      <c r="P29" s="23" t="str">
        <f t="shared" si="14"/>
        <v/>
      </c>
      <c r="Q29" s="23" t="str">
        <f t="shared" si="14"/>
        <v/>
      </c>
      <c r="R29" s="23" t="str">
        <f t="shared" si="14"/>
        <v/>
      </c>
      <c r="S29" s="23" t="str">
        <f t="shared" si="14"/>
        <v/>
      </c>
      <c r="T29" s="74" t="str">
        <f t="shared" si="3"/>
        <v/>
      </c>
    </row>
    <row r="30" spans="1:23" ht="25" customHeight="1">
      <c r="A30" s="38">
        <f t="shared" si="15"/>
        <v>45763</v>
      </c>
      <c r="B30" s="15" t="s">
        <v>334</v>
      </c>
      <c r="C30" s="16" t="s">
        <v>41</v>
      </c>
      <c r="D30" s="87">
        <f t="shared" si="13"/>
        <v>0.52083333333333337</v>
      </c>
      <c r="E30" s="5">
        <v>0.60416666666666663</v>
      </c>
      <c r="F30" s="6" t="s">
        <v>17</v>
      </c>
      <c r="G30" s="6">
        <f t="shared" si="6"/>
        <v>6.2499999999999931E-2</v>
      </c>
      <c r="H30" s="50">
        <v>200</v>
      </c>
      <c r="I30" s="8">
        <f t="shared" si="7"/>
        <v>1.4999999999999982</v>
      </c>
      <c r="J30" s="50">
        <f t="shared" si="1"/>
        <v>100.65104999999988</v>
      </c>
      <c r="K30" s="50">
        <f t="shared" si="2"/>
        <v>99.348950000000116</v>
      </c>
      <c r="L30" s="9">
        <f t="shared" si="8"/>
        <v>0.50325524999999938</v>
      </c>
      <c r="M30" s="16">
        <v>3</v>
      </c>
      <c r="O30" s="23" t="str">
        <f t="shared" si="11"/>
        <v/>
      </c>
      <c r="P30" s="23" t="str">
        <f t="shared" si="14"/>
        <v/>
      </c>
      <c r="Q30" s="23" t="str">
        <f t="shared" si="14"/>
        <v/>
      </c>
      <c r="R30" s="23" t="str">
        <f t="shared" si="14"/>
        <v/>
      </c>
      <c r="S30" s="23" t="str">
        <f t="shared" si="14"/>
        <v/>
      </c>
      <c r="T30" s="74" t="str">
        <f t="shared" si="3"/>
        <v/>
      </c>
    </row>
    <row r="31" spans="1:23" ht="25" customHeight="1">
      <c r="A31" s="38">
        <f t="shared" si="15"/>
        <v>45763</v>
      </c>
      <c r="B31" s="15" t="s">
        <v>334</v>
      </c>
      <c r="C31" s="16" t="s">
        <v>35</v>
      </c>
      <c r="D31" s="87">
        <f t="shared" si="13"/>
        <v>0.60416666666666663</v>
      </c>
      <c r="E31" s="5">
        <v>0.6875</v>
      </c>
      <c r="F31" s="6" t="str">
        <f t="shared" si="0"/>
        <v>No</v>
      </c>
      <c r="G31" s="6">
        <f t="shared" si="6"/>
        <v>8.333333333333337E-2</v>
      </c>
      <c r="H31" s="50">
        <v>215</v>
      </c>
      <c r="I31" s="8">
        <f t="shared" si="7"/>
        <v>2.0000000000000009</v>
      </c>
      <c r="J31" s="50">
        <f t="shared" si="1"/>
        <v>134.20140000000006</v>
      </c>
      <c r="K31" s="50">
        <f t="shared" si="2"/>
        <v>80.798599999999936</v>
      </c>
      <c r="L31" s="9">
        <f t="shared" si="8"/>
        <v>0.62419255813953523</v>
      </c>
      <c r="M31" s="16">
        <v>3</v>
      </c>
      <c r="O31" s="23" t="str">
        <f t="shared" si="11"/>
        <v/>
      </c>
      <c r="P31" s="23" t="str">
        <f t="shared" si="14"/>
        <v/>
      </c>
      <c r="Q31" s="23" t="str">
        <f t="shared" si="14"/>
        <v/>
      </c>
      <c r="R31" s="23" t="str">
        <f t="shared" si="14"/>
        <v/>
      </c>
      <c r="S31" s="23" t="str">
        <f t="shared" si="14"/>
        <v/>
      </c>
      <c r="T31" s="74" t="str">
        <f t="shared" si="3"/>
        <v/>
      </c>
    </row>
    <row r="32" spans="1:23" ht="25" customHeight="1">
      <c r="A32" s="38">
        <f t="shared" si="15"/>
        <v>45763</v>
      </c>
      <c r="B32" s="15" t="s">
        <v>334</v>
      </c>
      <c r="C32" s="16" t="s">
        <v>109</v>
      </c>
      <c r="D32" s="87">
        <f t="shared" si="13"/>
        <v>0.6875</v>
      </c>
      <c r="E32" s="5">
        <v>0.73263888888888884</v>
      </c>
      <c r="F32" s="6" t="str">
        <f t="shared" si="0"/>
        <v>No</v>
      </c>
      <c r="G32" s="6">
        <f t="shared" si="6"/>
        <v>4.513888888888884E-2</v>
      </c>
      <c r="H32" s="50">
        <f>_xlfn.IFNA(VLOOKUP(C:C,'Active Jobs'!B:K,8,0),"")</f>
        <v>200</v>
      </c>
      <c r="I32" s="8">
        <f t="shared" si="7"/>
        <v>1.0833333333333321</v>
      </c>
      <c r="J32" s="50">
        <f t="shared" si="1"/>
        <v>72.692424999999915</v>
      </c>
      <c r="K32" s="50">
        <f t="shared" si="2"/>
        <v>127.30757500000009</v>
      </c>
      <c r="L32" s="9">
        <f t="shared" si="8"/>
        <v>0.36346212499999958</v>
      </c>
      <c r="M32" s="16">
        <v>3</v>
      </c>
      <c r="O32" s="23" t="str">
        <f t="shared" si="11"/>
        <v/>
      </c>
      <c r="P32" s="23" t="str">
        <f t="shared" si="14"/>
        <v/>
      </c>
      <c r="Q32" s="23" t="str">
        <f t="shared" si="14"/>
        <v/>
      </c>
      <c r="R32" s="23" t="str">
        <f t="shared" si="14"/>
        <v/>
      </c>
      <c r="S32" s="23" t="str">
        <f t="shared" si="14"/>
        <v/>
      </c>
      <c r="T32" s="74" t="str">
        <f t="shared" si="3"/>
        <v/>
      </c>
    </row>
    <row r="33" spans="1:20" ht="25" customHeight="1">
      <c r="A33" s="38">
        <f>A32+1</f>
        <v>45764</v>
      </c>
      <c r="B33" s="15" t="s">
        <v>332</v>
      </c>
      <c r="C33" s="16" t="s">
        <v>28</v>
      </c>
      <c r="D33" s="87" t="str">
        <f t="shared" si="13"/>
        <v>08:30</v>
      </c>
      <c r="E33" s="5">
        <v>0.44791666666666669</v>
      </c>
      <c r="F33" s="6" t="str">
        <f t="shared" si="0"/>
        <v>No</v>
      </c>
      <c r="G33" s="6">
        <f t="shared" si="6"/>
        <v>9.375E-2</v>
      </c>
      <c r="H33" s="50">
        <f>_xlfn.IFNA(VLOOKUP(C:C,'Active Jobs'!B:K,8,0),"")</f>
        <v>200</v>
      </c>
      <c r="I33" s="8">
        <f t="shared" si="7"/>
        <v>2.25</v>
      </c>
      <c r="J33" s="50">
        <f t="shared" si="1"/>
        <v>150.976575</v>
      </c>
      <c r="K33" s="50">
        <f t="shared" si="2"/>
        <v>49.023425000000003</v>
      </c>
      <c r="L33" s="9">
        <f t="shared" si="8"/>
        <v>0.75488287499999995</v>
      </c>
      <c r="M33" s="16">
        <v>2</v>
      </c>
      <c r="O33" s="23" t="str">
        <f t="shared" si="11"/>
        <v/>
      </c>
      <c r="P33" s="23" t="str">
        <f t="shared" si="14"/>
        <v/>
      </c>
      <c r="Q33" s="23" t="str">
        <f t="shared" si="14"/>
        <v/>
      </c>
      <c r="R33" s="23" t="str">
        <f t="shared" si="14"/>
        <v/>
      </c>
      <c r="S33" s="23" t="str">
        <f t="shared" si="14"/>
        <v/>
      </c>
      <c r="T33" s="74" t="str">
        <f t="shared" si="3"/>
        <v/>
      </c>
    </row>
    <row r="34" spans="1:20" ht="25" customHeight="1">
      <c r="A34" s="38">
        <f>A33</f>
        <v>45764</v>
      </c>
      <c r="B34" s="15" t="s">
        <v>332</v>
      </c>
      <c r="C34" s="16" t="s">
        <v>110</v>
      </c>
      <c r="D34" s="87">
        <f t="shared" si="13"/>
        <v>0.44791666666666669</v>
      </c>
      <c r="E34" s="5">
        <v>0.55208333333333337</v>
      </c>
      <c r="F34" s="6" t="s">
        <v>17</v>
      </c>
      <c r="G34" s="6">
        <f t="shared" si="6"/>
        <v>8.3333333333333356E-2</v>
      </c>
      <c r="H34" s="50">
        <f>_xlfn.IFNA(VLOOKUP(C:C,'Active Jobs'!B:K,8,0),"")</f>
        <v>250</v>
      </c>
      <c r="I34" s="8">
        <f t="shared" si="7"/>
        <v>2.0000000000000004</v>
      </c>
      <c r="J34" s="50">
        <f t="shared" si="1"/>
        <v>134.20140000000004</v>
      </c>
      <c r="K34" s="50">
        <f t="shared" si="2"/>
        <v>115.79859999999996</v>
      </c>
      <c r="L34" s="9">
        <f t="shared" si="8"/>
        <v>0.5368056000000001</v>
      </c>
      <c r="M34" s="16">
        <v>2</v>
      </c>
      <c r="O34" s="23" t="str">
        <f t="shared" si="11"/>
        <v/>
      </c>
      <c r="P34" s="23" t="str">
        <f t="shared" si="14"/>
        <v/>
      </c>
      <c r="Q34" s="23" t="str">
        <f t="shared" si="14"/>
        <v/>
      </c>
      <c r="R34" s="23" t="str">
        <f t="shared" si="14"/>
        <v/>
      </c>
      <c r="S34" s="23" t="str">
        <f t="shared" si="14"/>
        <v/>
      </c>
      <c r="T34" s="74" t="str">
        <f t="shared" si="3"/>
        <v/>
      </c>
    </row>
    <row r="35" spans="1:20" ht="25" customHeight="1">
      <c r="A35" s="38">
        <f>A34</f>
        <v>45764</v>
      </c>
      <c r="B35" s="15" t="s">
        <v>332</v>
      </c>
      <c r="C35" s="16" t="s">
        <v>111</v>
      </c>
      <c r="D35" s="87">
        <f t="shared" si="13"/>
        <v>0.55208333333333337</v>
      </c>
      <c r="E35" s="5">
        <v>0.65416666666666667</v>
      </c>
      <c r="F35" s="6" t="str">
        <f t="shared" si="0"/>
        <v>No</v>
      </c>
      <c r="G35" s="6">
        <f t="shared" si="6"/>
        <v>0.1020833333333333</v>
      </c>
      <c r="H35" s="50">
        <f>_xlfn.IFNA(VLOOKUP(C:C,'Active Jobs'!B:K,8,0),"")</f>
        <v>220</v>
      </c>
      <c r="I35" s="8">
        <f t="shared" si="7"/>
        <v>2.4499999999999993</v>
      </c>
      <c r="J35" s="50">
        <f t="shared" si="1"/>
        <v>164.39671499999994</v>
      </c>
      <c r="K35" s="50">
        <f t="shared" si="2"/>
        <v>55.603285000000056</v>
      </c>
      <c r="L35" s="9">
        <f t="shared" si="8"/>
        <v>0.74725779545454518</v>
      </c>
      <c r="M35" s="16">
        <v>2</v>
      </c>
      <c r="O35" s="23" t="str">
        <f t="shared" si="11"/>
        <v/>
      </c>
      <c r="P35" s="23" t="str">
        <f t="shared" si="14"/>
        <v/>
      </c>
      <c r="Q35" s="23" t="str">
        <f t="shared" si="14"/>
        <v/>
      </c>
      <c r="R35" s="23" t="str">
        <f t="shared" si="14"/>
        <v/>
      </c>
      <c r="S35" s="23" t="str">
        <f t="shared" si="14"/>
        <v/>
      </c>
      <c r="T35" s="74" t="str">
        <f t="shared" si="3"/>
        <v/>
      </c>
    </row>
    <row r="36" spans="1:20" ht="25" customHeight="1">
      <c r="A36" s="38">
        <f>A35</f>
        <v>45764</v>
      </c>
      <c r="B36" s="15" t="s">
        <v>338</v>
      </c>
      <c r="C36" s="16" t="s">
        <v>112</v>
      </c>
      <c r="D36" s="87">
        <v>0.35416666666666669</v>
      </c>
      <c r="E36" s="5">
        <v>0.44791666666666669</v>
      </c>
      <c r="F36" s="6" t="str">
        <f t="shared" si="0"/>
        <v>No</v>
      </c>
      <c r="G36" s="6">
        <f t="shared" si="6"/>
        <v>9.375E-2</v>
      </c>
      <c r="H36" s="50">
        <f>_xlfn.IFNA(VLOOKUP(C:C,'Active Jobs'!B:K,8,0),"")</f>
        <v>200</v>
      </c>
      <c r="I36" s="8">
        <f t="shared" si="7"/>
        <v>2.25</v>
      </c>
      <c r="J36" s="50">
        <f t="shared" si="1"/>
        <v>150.976575</v>
      </c>
      <c r="K36" s="50">
        <f t="shared" si="2"/>
        <v>49.023425000000003</v>
      </c>
      <c r="L36" s="9">
        <f t="shared" si="8"/>
        <v>0.75488287499999995</v>
      </c>
      <c r="M36" s="16">
        <v>1</v>
      </c>
      <c r="O36" s="23" t="str">
        <f t="shared" si="11"/>
        <v/>
      </c>
      <c r="P36" s="23" t="str">
        <f t="shared" si="14"/>
        <v/>
      </c>
      <c r="Q36" s="23" t="str">
        <f t="shared" si="14"/>
        <v/>
      </c>
      <c r="R36" s="23" t="str">
        <f t="shared" si="14"/>
        <v/>
      </c>
      <c r="S36" s="23" t="str">
        <f t="shared" si="14"/>
        <v/>
      </c>
      <c r="T36" s="74" t="str">
        <f t="shared" si="3"/>
        <v/>
      </c>
    </row>
    <row r="37" spans="1:20" ht="25" customHeight="1">
      <c r="A37" s="38">
        <f t="shared" ref="A37:A38" si="16">A36</f>
        <v>45764</v>
      </c>
      <c r="B37" s="15" t="s">
        <v>338</v>
      </c>
      <c r="C37" s="16" t="s">
        <v>113</v>
      </c>
      <c r="D37" s="87">
        <f t="shared" si="13"/>
        <v>0.44791666666666669</v>
      </c>
      <c r="E37" s="5">
        <v>0.5625</v>
      </c>
      <c r="F37" s="6" t="s">
        <v>17</v>
      </c>
      <c r="G37" s="6">
        <f t="shared" si="6"/>
        <v>9.3749999999999986E-2</v>
      </c>
      <c r="H37" s="50">
        <f>_xlfn.IFNA(VLOOKUP(C:C,'Active Jobs'!B:K,8,0),"")</f>
        <v>230</v>
      </c>
      <c r="I37" s="8">
        <f t="shared" si="7"/>
        <v>2.2499999999999996</v>
      </c>
      <c r="J37" s="50">
        <f t="shared" si="1"/>
        <v>150.97657499999997</v>
      </c>
      <c r="K37" s="50">
        <f t="shared" si="2"/>
        <v>79.023425000000032</v>
      </c>
      <c r="L37" s="9">
        <f t="shared" si="8"/>
        <v>0.65641989130434764</v>
      </c>
      <c r="M37" s="16">
        <v>1</v>
      </c>
      <c r="O37" s="23" t="str">
        <f t="shared" si="11"/>
        <v/>
      </c>
      <c r="P37" s="23" t="str">
        <f t="shared" si="14"/>
        <v/>
      </c>
      <c r="Q37" s="23" t="str">
        <f t="shared" si="14"/>
        <v/>
      </c>
      <c r="R37" s="23" t="str">
        <f t="shared" si="14"/>
        <v/>
      </c>
      <c r="S37" s="23" t="str">
        <f t="shared" si="14"/>
        <v/>
      </c>
      <c r="T37" s="74" t="str">
        <f t="shared" si="3"/>
        <v/>
      </c>
    </row>
    <row r="38" spans="1:20" ht="25" customHeight="1">
      <c r="A38" s="38">
        <f t="shared" si="16"/>
        <v>45764</v>
      </c>
      <c r="B38" s="15" t="s">
        <v>338</v>
      </c>
      <c r="C38" s="16" t="s">
        <v>55</v>
      </c>
      <c r="D38" s="87">
        <f t="shared" si="13"/>
        <v>0.5625</v>
      </c>
      <c r="E38" s="5">
        <v>0.65416666666666667</v>
      </c>
      <c r="F38" s="6" t="str">
        <f t="shared" si="0"/>
        <v>No</v>
      </c>
      <c r="G38" s="6">
        <f t="shared" si="6"/>
        <v>9.1666666666666674E-2</v>
      </c>
      <c r="H38" s="50">
        <f>_xlfn.IFNA(VLOOKUP(C:C,'Active Jobs'!B:K,8,0),"")</f>
        <v>220</v>
      </c>
      <c r="I38" s="8">
        <f t="shared" si="7"/>
        <v>2.2000000000000002</v>
      </c>
      <c r="J38" s="50">
        <f t="shared" si="1"/>
        <v>147.62154000000001</v>
      </c>
      <c r="K38" s="50">
        <f t="shared" si="2"/>
        <v>72.37845999999999</v>
      </c>
      <c r="L38" s="9">
        <f t="shared" si="8"/>
        <v>0.67100700000000002</v>
      </c>
      <c r="M38" s="16">
        <v>1</v>
      </c>
      <c r="O38" s="23" t="str">
        <f t="shared" si="11"/>
        <v/>
      </c>
      <c r="P38" s="23" t="str">
        <f t="shared" si="14"/>
        <v/>
      </c>
      <c r="Q38" s="23" t="str">
        <f t="shared" si="14"/>
        <v/>
      </c>
      <c r="R38" s="23" t="str">
        <f t="shared" si="14"/>
        <v/>
      </c>
      <c r="S38" s="23" t="str">
        <f t="shared" si="14"/>
        <v/>
      </c>
      <c r="T38" s="74" t="str">
        <f t="shared" si="3"/>
        <v/>
      </c>
    </row>
    <row r="39" spans="1:20" ht="25" customHeight="1">
      <c r="A39" s="38">
        <f>A38</f>
        <v>45764</v>
      </c>
      <c r="B39" s="15" t="s">
        <v>91</v>
      </c>
      <c r="C39" s="16" t="s">
        <v>114</v>
      </c>
      <c r="D39" s="87">
        <v>0.36458333333333331</v>
      </c>
      <c r="E39" s="5">
        <v>0.47916666666666669</v>
      </c>
      <c r="F39" s="6" t="s">
        <v>17</v>
      </c>
      <c r="G39" s="6">
        <f t="shared" si="6"/>
        <v>9.3750000000000042E-2</v>
      </c>
      <c r="H39" s="50">
        <f>_xlfn.IFNA(VLOOKUP(C:C,'Active Jobs'!B:K,8,0),"")</f>
        <v>220</v>
      </c>
      <c r="I39" s="8">
        <f t="shared" si="7"/>
        <v>2.2500000000000009</v>
      </c>
      <c r="J39" s="50">
        <f t="shared" si="1"/>
        <v>150.97657500000005</v>
      </c>
      <c r="K39" s="50">
        <f t="shared" si="2"/>
        <v>69.023424999999946</v>
      </c>
      <c r="L39" s="9">
        <f t="shared" si="8"/>
        <v>0.68625715909090934</v>
      </c>
      <c r="M39" s="16">
        <v>3</v>
      </c>
      <c r="O39" s="23" t="str">
        <f t="shared" si="11"/>
        <v/>
      </c>
      <c r="P39" s="23" t="str">
        <f t="shared" si="14"/>
        <v/>
      </c>
      <c r="Q39" s="23" t="str">
        <f t="shared" si="14"/>
        <v/>
      </c>
      <c r="R39" s="23" t="str">
        <f t="shared" si="14"/>
        <v/>
      </c>
      <c r="S39" s="23" t="str">
        <f t="shared" si="14"/>
        <v/>
      </c>
      <c r="T39" s="74" t="str">
        <f t="shared" si="3"/>
        <v/>
      </c>
    </row>
    <row r="40" spans="1:20" ht="25" customHeight="1">
      <c r="A40" s="38">
        <f>A39</f>
        <v>45764</v>
      </c>
      <c r="B40" s="15" t="s">
        <v>91</v>
      </c>
      <c r="C40" s="16" t="s">
        <v>115</v>
      </c>
      <c r="D40" s="87">
        <f t="shared" si="13"/>
        <v>0.47916666666666669</v>
      </c>
      <c r="E40" s="5">
        <v>0.58333333333333337</v>
      </c>
      <c r="F40" s="6" t="str">
        <f t="shared" si="0"/>
        <v>No</v>
      </c>
      <c r="G40" s="6">
        <f t="shared" si="6"/>
        <v>0.10416666666666669</v>
      </c>
      <c r="H40" s="50">
        <f>_xlfn.IFNA(VLOOKUP(C:C,'Active Jobs'!B:K,8,0),"")</f>
        <v>230</v>
      </c>
      <c r="I40" s="8">
        <f t="shared" si="7"/>
        <v>2.5000000000000004</v>
      </c>
      <c r="J40" s="50">
        <f t="shared" si="1"/>
        <v>167.75175000000002</v>
      </c>
      <c r="K40" s="50">
        <f t="shared" si="2"/>
        <v>62.248249999999985</v>
      </c>
      <c r="L40" s="9">
        <f t="shared" si="8"/>
        <v>0.72935543478260878</v>
      </c>
      <c r="M40" s="16">
        <v>3</v>
      </c>
      <c r="O40" s="23" t="str">
        <f t="shared" si="11"/>
        <v/>
      </c>
      <c r="P40" s="23" t="str">
        <f t="shared" si="14"/>
        <v/>
      </c>
      <c r="Q40" s="23" t="str">
        <f t="shared" si="14"/>
        <v/>
      </c>
      <c r="R40" s="23" t="str">
        <f t="shared" si="14"/>
        <v/>
      </c>
      <c r="S40" s="23" t="str">
        <f t="shared" si="14"/>
        <v/>
      </c>
      <c r="T40" s="74" t="str">
        <f t="shared" si="3"/>
        <v/>
      </c>
    </row>
    <row r="41" spans="1:20" ht="25" customHeight="1">
      <c r="A41" s="38">
        <f>A40</f>
        <v>45764</v>
      </c>
      <c r="B41" s="15" t="s">
        <v>91</v>
      </c>
      <c r="C41" s="16" t="s">
        <v>54</v>
      </c>
      <c r="D41" s="87">
        <f t="shared" si="13"/>
        <v>0.58333333333333337</v>
      </c>
      <c r="E41" s="5">
        <v>0.65972222222222221</v>
      </c>
      <c r="F41" s="6" t="str">
        <f t="shared" si="0"/>
        <v>No</v>
      </c>
      <c r="G41" s="6">
        <f t="shared" si="6"/>
        <v>7.638888888888884E-2</v>
      </c>
      <c r="H41" s="50">
        <f>_xlfn.IFNA(VLOOKUP(C:C,'Active Jobs'!B:K,8,0),"")</f>
        <v>200</v>
      </c>
      <c r="I41" s="8">
        <f t="shared" si="7"/>
        <v>1.8333333333333321</v>
      </c>
      <c r="J41" s="50">
        <f t="shared" si="1"/>
        <v>123.01794999999991</v>
      </c>
      <c r="K41" s="50">
        <f t="shared" si="2"/>
        <v>76.982050000000086</v>
      </c>
      <c r="L41" s="9">
        <f t="shared" si="8"/>
        <v>0.61508974999999955</v>
      </c>
      <c r="M41" s="16">
        <v>3</v>
      </c>
      <c r="O41" s="23" t="str">
        <f t="shared" si="11"/>
        <v/>
      </c>
      <c r="P41" s="23" t="str">
        <f t="shared" si="14"/>
        <v/>
      </c>
      <c r="Q41" s="23" t="str">
        <f t="shared" si="14"/>
        <v/>
      </c>
      <c r="R41" s="23" t="str">
        <f t="shared" si="14"/>
        <v/>
      </c>
      <c r="S41" s="23" t="str">
        <f t="shared" si="14"/>
        <v/>
      </c>
      <c r="T41" s="74" t="str">
        <f t="shared" si="3"/>
        <v/>
      </c>
    </row>
    <row r="42" spans="1:20" ht="25" customHeight="1">
      <c r="B42" s="15"/>
      <c r="D42" s="87" t="str">
        <f t="shared" si="13"/>
        <v/>
      </c>
      <c r="E42" s="5"/>
      <c r="F42" s="6" t="str">
        <f t="shared" si="0"/>
        <v/>
      </c>
      <c r="G42" s="6" t="str">
        <f t="shared" si="6"/>
        <v/>
      </c>
      <c r="H42" s="50" t="str">
        <f>_xlfn.IFNA(VLOOKUP(C:C,'Active Jobs'!B:K,8,0),"")</f>
        <v/>
      </c>
      <c r="I42" s="8" t="str">
        <f t="shared" si="7"/>
        <v/>
      </c>
      <c r="J42" s="50" t="str">
        <f t="shared" si="1"/>
        <v/>
      </c>
      <c r="K42" s="50" t="str">
        <f t="shared" si="2"/>
        <v/>
      </c>
      <c r="L42" s="9" t="str">
        <f t="shared" si="8"/>
        <v/>
      </c>
      <c r="O42" s="23" t="str">
        <f t="shared" si="11"/>
        <v/>
      </c>
      <c r="P42" s="23" t="str">
        <f t="shared" si="14"/>
        <v/>
      </c>
      <c r="Q42" s="23" t="str">
        <f t="shared" si="14"/>
        <v/>
      </c>
      <c r="R42" s="23" t="str">
        <f t="shared" si="14"/>
        <v/>
      </c>
      <c r="S42" s="23" t="str">
        <f t="shared" si="14"/>
        <v/>
      </c>
      <c r="T42" s="74" t="str">
        <f t="shared" si="3"/>
        <v/>
      </c>
    </row>
    <row r="43" spans="1:20" ht="25" customHeight="1">
      <c r="B43" s="15"/>
      <c r="D43" s="87" t="str">
        <f t="shared" si="13"/>
        <v/>
      </c>
      <c r="E43" s="5"/>
      <c r="F43" s="6" t="str">
        <f t="shared" si="0"/>
        <v/>
      </c>
      <c r="G43" s="6" t="str">
        <f t="shared" si="6"/>
        <v/>
      </c>
      <c r="H43" s="50" t="str">
        <f>_xlfn.IFNA(VLOOKUP(C:C,'Active Jobs'!B:K,8,0),"")</f>
        <v/>
      </c>
      <c r="I43" s="8" t="str">
        <f t="shared" si="7"/>
        <v/>
      </c>
      <c r="J43" s="50" t="str">
        <f t="shared" si="1"/>
        <v/>
      </c>
      <c r="K43" s="50" t="str">
        <f t="shared" si="2"/>
        <v/>
      </c>
      <c r="L43" s="9" t="str">
        <f t="shared" si="8"/>
        <v/>
      </c>
    </row>
    <row r="44" spans="1:20" ht="25" customHeight="1">
      <c r="B44" s="15"/>
      <c r="D44" s="87" t="str">
        <f t="shared" si="13"/>
        <v/>
      </c>
      <c r="E44" s="5"/>
      <c r="F44" s="6" t="str">
        <f t="shared" si="0"/>
        <v/>
      </c>
      <c r="G44" s="6" t="str">
        <f t="shared" si="6"/>
        <v/>
      </c>
      <c r="H44" s="50" t="str">
        <f>_xlfn.IFNA(VLOOKUP(C:C,'Active Jobs'!B:K,8,0),"")</f>
        <v/>
      </c>
      <c r="I44" s="8" t="str">
        <f t="shared" si="7"/>
        <v/>
      </c>
      <c r="J44" s="50" t="str">
        <f t="shared" si="1"/>
        <v/>
      </c>
      <c r="K44" s="50" t="str">
        <f t="shared" si="2"/>
        <v/>
      </c>
      <c r="L44" s="9" t="str">
        <f t="shared" si="8"/>
        <v/>
      </c>
    </row>
    <row r="45" spans="1:20" ht="25" customHeight="1">
      <c r="B45" s="15"/>
      <c r="D45" s="87" t="str">
        <f t="shared" si="13"/>
        <v/>
      </c>
      <c r="E45" s="5"/>
      <c r="F45" s="6" t="str">
        <f t="shared" si="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7"/>
        <v/>
      </c>
      <c r="J45" s="50" t="str">
        <f t="shared" si="1"/>
        <v/>
      </c>
      <c r="K45" s="50" t="str">
        <f t="shared" si="2"/>
        <v/>
      </c>
      <c r="L45" s="9" t="str">
        <f t="shared" si="8"/>
        <v/>
      </c>
    </row>
    <row r="46" spans="1:20" ht="25" customHeight="1">
      <c r="B46" s="86"/>
      <c r="D46" s="87" t="str">
        <f t="shared" si="13"/>
        <v/>
      </c>
      <c r="E46" s="5"/>
      <c r="F46" s="6" t="str">
        <f t="shared" si="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7"/>
        <v/>
      </c>
      <c r="J46" s="50" t="str">
        <f t="shared" si="1"/>
        <v/>
      </c>
      <c r="K46" s="50" t="str">
        <f t="shared" si="2"/>
        <v/>
      </c>
      <c r="L46" s="9" t="str">
        <f t="shared" si="8"/>
        <v/>
      </c>
    </row>
    <row r="47" spans="1:20" ht="25" customHeight="1">
      <c r="B47" s="86"/>
      <c r="D47" s="87" t="str">
        <f t="shared" si="13"/>
        <v/>
      </c>
      <c r="E47" s="5"/>
      <c r="F47" s="6" t="str">
        <f t="shared" si="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1"/>
        <v/>
      </c>
      <c r="K47" s="50" t="str">
        <f t="shared" si="2"/>
        <v/>
      </c>
      <c r="L47" s="9" t="str">
        <f t="shared" si="8"/>
        <v/>
      </c>
    </row>
    <row r="48" spans="1:20" ht="25" customHeight="1">
      <c r="D48" s="88"/>
      <c r="E48" s="83"/>
      <c r="F48" s="84"/>
      <c r="G48" s="6"/>
      <c r="H48" s="85">
        <f>SUBTOTAL(109,Table2261210141642[Quoted])</f>
        <v>9085</v>
      </c>
      <c r="I48" s="81">
        <f>SUBTOTAL(109,Table2261210141642[Hours Payable])</f>
        <v>86.13333333333334</v>
      </c>
      <c r="J48" s="85">
        <f>SUBTOTAL(109,Table2261210141642[Wages (Incl. Super)])</f>
        <v>5779.6069599999983</v>
      </c>
      <c r="K48" s="85">
        <f>SUBTOTAL(109,Table2261210141642[Profit])</f>
        <v>3305.3930399999999</v>
      </c>
      <c r="L48" s="82">
        <f>IF(L2="","",SUBTOTAL(101,Table2261210141642[Quote/Wages]))</f>
        <v>0.6375151556504095</v>
      </c>
    </row>
  </sheetData>
  <conditionalFormatting sqref="B1 B49:B269">
    <cfRule type="expression" dxfId="63" priority="3">
      <formula>AND(ROW()&gt;1, E1&lt;&gt;"", COUNTIFS(A:A, $A1, B:B, $B1, F:F, "Yes")=0)</formula>
    </cfRule>
  </conditionalFormatting>
  <conditionalFormatting sqref="F1 F49:F269">
    <cfRule type="expression" dxfId="62" priority="4" stopIfTrue="1">
      <formula>AND(ROW()&gt;1, E1&lt;&gt;"", COUNTIFS(A:A, $A1, B:B, $B1, F:F, "Yes")=0)</formula>
    </cfRule>
  </conditionalFormatting>
  <conditionalFormatting sqref="B2:B45">
    <cfRule type="expression" dxfId="61" priority="1">
      <formula>AND(ROW()&gt;1, E2&lt;&gt;"", COUNTIFS(A:A, $A2, B:B, $B2, F:F, "Yes")=0)</formula>
    </cfRule>
  </conditionalFormatting>
  <conditionalFormatting sqref="F2:F47">
    <cfRule type="expression" dxfId="60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3455076B-E8A2-4291-A873-A9196EA1388F}">
      <formula1>"No, Yes"</formula1>
    </dataValidation>
    <dataValidation type="list" allowBlank="1" showErrorMessage="1" promptTitle="Select" sqref="B2:B45" xr:uid="{82D31049-6CDE-4E47-BF22-272774BCC3AC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92CB0E68-0E9D-4DD6-9EEE-F94F88B7BEA3}">
          <x14:formula1>
            <xm:f>'Active Jobs'!$B$2:$B$154</xm:f>
          </x14:formula1>
          <xm:sqref>C2:C47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0632-4B7E-4371-BCCA-6E00AF33264C}">
  <sheetPr codeName="Sheet23"/>
  <dimension ref="A1:W48"/>
  <sheetViews>
    <sheetView tabSelected="1" zoomScale="125" zoomScaleNormal="125" workbookViewId="0">
      <selection activeCell="M6" sqref="M6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45754</v>
      </c>
      <c r="P1" s="63">
        <v>45755</v>
      </c>
      <c r="Q1" s="63">
        <v>45756</v>
      </c>
      <c r="R1" s="63">
        <v>45757</v>
      </c>
      <c r="S1" s="63">
        <v>45758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45754</v>
      </c>
      <c r="B2" s="15" t="s">
        <v>334</v>
      </c>
      <c r="C2" s="16" t="s">
        <v>131</v>
      </c>
      <c r="D2" s="5">
        <v>0.35416666666666669</v>
      </c>
      <c r="E2" s="5">
        <v>0.71875</v>
      </c>
      <c r="F2" s="6" t="s">
        <v>17</v>
      </c>
      <c r="G2" s="6">
        <f>IF(E2="","",IF(F2="Yes",(E2-D2)-TIME(0,30,0),E2-D2))</f>
        <v>0.34375</v>
      </c>
      <c r="H2" s="50">
        <v>895</v>
      </c>
      <c r="I2" s="8">
        <f>IF(F2="Yes",(E2-D2)*24-0.5,IF(F2="No",(E2-D2)*24,""))</f>
        <v>8.25</v>
      </c>
      <c r="J2" s="50">
        <f t="shared" ref="J2:J47" si="0">IF(G2="","",G2*24*HourlyRate*2*(1+Super))</f>
        <v>553.58077500000002</v>
      </c>
      <c r="K2" s="50">
        <f t="shared" ref="K2:K47" si="1">IF(H2="","",IF(E2="","",IF(J2=0,0,H2-J2)))</f>
        <v>341.41922499999998</v>
      </c>
      <c r="L2" s="9">
        <f>IF(K2="","",IF(H2=0,1,J2/H2))</f>
        <v>0.61852600558659221</v>
      </c>
      <c r="M2" s="16">
        <v>3</v>
      </c>
      <c r="N2" s="41" t="str" cm="1">
        <f t="array" ref="N2:N7">IF(B2="","",_xlfn.UNIQUE(TRANSPOSE(_xlfn.TEXTSPLIT(_xlfn.TEXTJOIN(" &amp; ", TRUE, TRIM(B2:B219)), " &amp; "))))</f>
        <v>Orlaith Murphy</v>
      </c>
      <c r="O2" s="23">
        <f>IF(N2="","",ROUND(SUMIFS($I:$I,$A:$A,O$1,$B:$B,"*"&amp;$N2&amp;"*"),2))</f>
        <v>8.25</v>
      </c>
      <c r="P2" s="23">
        <f>IF(O2="","",ROUND(SUMIFS($I:$I,$A:$A,P$1,$B:$B,"*"&amp;$N2&amp;"*"),2))</f>
        <v>8.33</v>
      </c>
      <c r="Q2" s="23">
        <f>IF(P2="","",ROUND(SUMIFS($I:$I,$A:$A,Q$1,$B:$B,"*"&amp;$N2&amp;"*"),2))</f>
        <v>7</v>
      </c>
      <c r="R2" s="23">
        <f>IF(Q2="","",ROUND(SUMIFS($I:$I,$A:$A,R$1,$B:$B,"*"&amp;$N2&amp;"*"),2))</f>
        <v>9.17</v>
      </c>
      <c r="S2" s="23">
        <f>IF(R2="","",ROUND(SUMIFS($I:$I,$A:$A,S$1,$B:$B,"*"&amp;$N2&amp;"*"),2))</f>
        <v>6.67</v>
      </c>
      <c r="T2" s="10">
        <f t="shared" ref="T2:T39" si="2">IF(N2="","",SUM(O2:S2))</f>
        <v>39.42</v>
      </c>
      <c r="U2" s="24"/>
      <c r="V2" s="24">
        <f t="shared" ref="V2:V18" si="3">IF(N2="","",T2*HourlyRate)</f>
        <v>1186.1478</v>
      </c>
      <c r="W2" s="25">
        <f t="shared" ref="W2:W18" si="4">IF(N2="","",V2*Super)</f>
        <v>136.40699699999999</v>
      </c>
    </row>
    <row r="3" spans="1:23" ht="25" customHeight="1">
      <c r="A3" s="37">
        <v>45754</v>
      </c>
      <c r="B3" s="15" t="s">
        <v>338</v>
      </c>
      <c r="C3" s="16" t="s">
        <v>170</v>
      </c>
      <c r="D3" s="5">
        <v>0.35416666666666669</v>
      </c>
      <c r="E3" s="5">
        <v>0.45833333333333331</v>
      </c>
      <c r="F3" s="6" t="str">
        <f t="shared" ref="F3:F47" si="5">IF(E3="","","No")</f>
        <v>No</v>
      </c>
      <c r="G3" s="6">
        <f t="shared" ref="G3:G47" si="6">IF(E3="","",IF(F3="Yes",(E3-D3)-TIME(0,30,0),E3-D3))</f>
        <v>0.10416666666666663</v>
      </c>
      <c r="H3" s="50">
        <v>250</v>
      </c>
      <c r="I3" s="8">
        <f t="shared" ref="I3:I47" si="7">IF(F3="Yes",(E3-D3)*24-0.5,IF(F3="No",(E3-D3)*24,""))</f>
        <v>2.4999999999999991</v>
      </c>
      <c r="J3" s="50">
        <f t="shared" si="0"/>
        <v>167.75174999999993</v>
      </c>
      <c r="K3" s="50">
        <f t="shared" si="1"/>
        <v>82.24825000000007</v>
      </c>
      <c r="L3" s="9">
        <f t="shared" ref="L3:L47" si="8">IF(K3="","",IF(H3=0,1,J3/H3))</f>
        <v>0.67100699999999969</v>
      </c>
      <c r="M3" s="16">
        <v>1</v>
      </c>
      <c r="N3" s="42" t="str">
        <v>Nancy Scott</v>
      </c>
      <c r="O3" s="23">
        <f>IF(N3="","",ROUND(SUMIFS($I:$I,$A:$A,O$1,$B:$B,"*"&amp;$N3&amp;"*"),2))</f>
        <v>8.25</v>
      </c>
      <c r="P3" s="23">
        <f>IF(O3="","",ROUND(SUMIFS($I:$I,$A:$A,P$1,$B:$B,"*"&amp;$N3&amp;"*"),2))</f>
        <v>8.33</v>
      </c>
      <c r="Q3" s="23">
        <f>IF(P3="","",ROUND(SUMIFS($I:$I,$A:$A,Q$1,$B:$B,"*"&amp;$N3&amp;"*"),2))</f>
        <v>7</v>
      </c>
      <c r="R3" s="23">
        <f>IF(Q3="","",ROUND(SUMIFS($I:$I,$A:$A,R$1,$B:$B,"*"&amp;$N3&amp;"*"),2))</f>
        <v>9.17</v>
      </c>
      <c r="S3" s="23">
        <f>IF(R3="","",ROUND(SUMIFS($I:$I,$A:$A,S$1,$B:$B,"*"&amp;$N3&amp;"*"),2))</f>
        <v>6.67</v>
      </c>
      <c r="T3" s="10">
        <f t="shared" si="2"/>
        <v>39.42</v>
      </c>
      <c r="U3" s="21"/>
      <c r="V3" s="24">
        <f t="shared" si="3"/>
        <v>1186.1478</v>
      </c>
      <c r="W3" s="25">
        <f t="shared" si="4"/>
        <v>136.40699699999999</v>
      </c>
    </row>
    <row r="4" spans="1:23" ht="25" customHeight="1">
      <c r="A4" s="37">
        <v>45754</v>
      </c>
      <c r="B4" s="15" t="s">
        <v>338</v>
      </c>
      <c r="C4" s="16" t="s">
        <v>132</v>
      </c>
      <c r="D4" s="5">
        <v>0.45833333333333331</v>
      </c>
      <c r="E4" s="5">
        <v>0.55208333333333337</v>
      </c>
      <c r="F4" s="6" t="str">
        <f t="shared" si="5"/>
        <v>No</v>
      </c>
      <c r="G4" s="6">
        <f t="shared" si="6"/>
        <v>9.3750000000000056E-2</v>
      </c>
      <c r="H4" s="50">
        <f>_xlfn.IFNA(VLOOKUP(C:C,'Active Jobs'!B:K,8,0),"")</f>
        <v>220</v>
      </c>
      <c r="I4" s="8">
        <f t="shared" si="7"/>
        <v>2.2500000000000013</v>
      </c>
      <c r="J4" s="50">
        <f t="shared" si="0"/>
        <v>150.97657500000008</v>
      </c>
      <c r="K4" s="50">
        <f t="shared" si="1"/>
        <v>69.023424999999918</v>
      </c>
      <c r="L4" s="9">
        <f t="shared" si="8"/>
        <v>0.68625715909090945</v>
      </c>
      <c r="M4" s="16">
        <v>1</v>
      </c>
      <c r="N4" s="42" t="str">
        <v>Aoife O'Gorman</v>
      </c>
      <c r="O4" s="23">
        <f>IF(N4="","",ROUND(SUMIFS($I:$I,$A:$A,O$1,$B:$B,"*"&amp;$N4&amp;"*"),2))</f>
        <v>6.67</v>
      </c>
      <c r="P4" s="23">
        <f>IF(O4="","",ROUND(SUMIFS($I:$I,$A:$A,P$1,$B:$B,"*"&amp;$N4&amp;"*"),2))</f>
        <v>9.08</v>
      </c>
      <c r="Q4" s="23">
        <f>IF(P4="","",ROUND(SUMIFS($I:$I,$A:$A,Q$1,$B:$B,"*"&amp;$N4&amp;"*"),2))</f>
        <v>6.5</v>
      </c>
      <c r="R4" s="23">
        <f>IF(Q4="","",ROUND(SUMIFS($I:$I,$A:$A,R$1,$B:$B,"*"&amp;$N4&amp;"*"),2))</f>
        <v>6.58</v>
      </c>
      <c r="S4" s="23">
        <f>IF(R4="","",ROUND(SUMIFS($I:$I,$A:$A,S$1,$B:$B,"*"&amp;$N4&amp;"*"),2))</f>
        <v>6.5</v>
      </c>
      <c r="T4" s="10">
        <f t="shared" si="2"/>
        <v>35.33</v>
      </c>
      <c r="U4" s="21"/>
      <c r="V4" s="24">
        <f t="shared" si="3"/>
        <v>1063.0797</v>
      </c>
      <c r="W4" s="25">
        <f t="shared" si="4"/>
        <v>122.2541655</v>
      </c>
    </row>
    <row r="5" spans="1:23" ht="25" customHeight="1">
      <c r="A5" s="37">
        <v>45754</v>
      </c>
      <c r="B5" s="15" t="s">
        <v>338</v>
      </c>
      <c r="C5" s="16" t="s">
        <v>115</v>
      </c>
      <c r="D5" s="5">
        <v>0.55208333333333337</v>
      </c>
      <c r="E5" s="5">
        <v>0.65277777777777779</v>
      </c>
      <c r="F5" s="6" t="s">
        <v>17</v>
      </c>
      <c r="G5" s="6">
        <f t="shared" si="6"/>
        <v>7.9861111111111091E-2</v>
      </c>
      <c r="H5" s="50">
        <f>_xlfn.IFNA(VLOOKUP(C:C,'Active Jobs'!B:K,8,0),"")</f>
        <v>230</v>
      </c>
      <c r="I5" s="8">
        <f t="shared" si="7"/>
        <v>1.9166666666666661</v>
      </c>
      <c r="J5" s="50">
        <f t="shared" si="0"/>
        <v>128.60967499999995</v>
      </c>
      <c r="K5" s="50">
        <f t="shared" si="1"/>
        <v>101.39032500000005</v>
      </c>
      <c r="L5" s="9">
        <f t="shared" si="8"/>
        <v>0.55917249999999985</v>
      </c>
      <c r="M5" s="16">
        <v>1</v>
      </c>
      <c r="N5" s="42" t="str">
        <v>Orla Shelly</v>
      </c>
      <c r="O5" s="23">
        <f>IF(N5="","",ROUND(SUMIFS($I:$I,$A:$A,O$1,$B:$B,"*"&amp;$N5&amp;"*"),2))</f>
        <v>6.67</v>
      </c>
      <c r="P5" s="23">
        <f>IF(O5="","",ROUND(SUMIFS($I:$I,$A:$A,P$1,$B:$B,"*"&amp;$N5&amp;"*"),2))</f>
        <v>9.08</v>
      </c>
      <c r="Q5" s="23">
        <f>IF(P5="","",ROUND(SUMIFS($I:$I,$A:$A,Q$1,$B:$B,"*"&amp;$N5&amp;"*"),2))</f>
        <v>6.5</v>
      </c>
      <c r="R5" s="23">
        <f>IF(Q5="","",ROUND(SUMIFS($I:$I,$A:$A,R$1,$B:$B,"*"&amp;$N5&amp;"*"),2))</f>
        <v>6.58</v>
      </c>
      <c r="S5" s="23">
        <f>IF(R5="","",ROUND(SUMIFS($I:$I,$A:$A,S$1,$B:$B,"*"&amp;$N5&amp;"*"),2))</f>
        <v>6.5</v>
      </c>
      <c r="T5" s="10">
        <f t="shared" si="2"/>
        <v>35.33</v>
      </c>
      <c r="U5" s="21"/>
      <c r="V5" s="24">
        <f t="shared" si="3"/>
        <v>1063.0797</v>
      </c>
      <c r="W5" s="25">
        <f t="shared" si="4"/>
        <v>122.2541655</v>
      </c>
    </row>
    <row r="6" spans="1:23" ht="25" customHeight="1">
      <c r="A6" s="37"/>
      <c r="B6" s="15"/>
      <c r="D6" s="5"/>
      <c r="E6" s="5"/>
      <c r="F6" s="6"/>
      <c r="G6" s="6"/>
      <c r="H6" s="50"/>
      <c r="I6" s="8"/>
      <c r="J6" s="50"/>
      <c r="K6" s="50"/>
      <c r="L6" s="9"/>
      <c r="N6" s="43" t="str">
        <v>Julie Roccati</v>
      </c>
      <c r="O6" s="23">
        <f>IF(N6="","",ROUND(SUMIFS($I:$I,$A:$A,O$1,$B:$B,"*"&amp;$N6&amp;"*"),2))</f>
        <v>6</v>
      </c>
      <c r="P6" s="23">
        <f>IF(O6="","",ROUND(SUMIFS($I:$I,$A:$A,P$1,$B:$B,"*"&amp;$N6&amp;"*"),2))</f>
        <v>6.08</v>
      </c>
      <c r="Q6" s="23">
        <f>IF(P6="","",ROUND(SUMIFS($I:$I,$A:$A,Q$1,$B:$B,"*"&amp;$N6&amp;"*"),2))</f>
        <v>7.93</v>
      </c>
      <c r="R6" s="23">
        <f>IF(Q6="","",ROUND(SUMIFS($I:$I,$A:$A,R$1,$B:$B,"*"&amp;$N6&amp;"*"),2))</f>
        <v>8.5</v>
      </c>
      <c r="S6" s="23">
        <f>IF(R6="","",ROUND(SUMIFS($I:$I,$A:$A,S$1,$B:$B,"*"&amp;$N6&amp;"*"),2))</f>
        <v>4.72</v>
      </c>
      <c r="T6" s="10">
        <f t="shared" si="2"/>
        <v>33.229999999999997</v>
      </c>
      <c r="U6" s="21"/>
      <c r="V6" s="24">
        <f t="shared" si="3"/>
        <v>999.89069999999992</v>
      </c>
      <c r="W6" s="25">
        <f t="shared" si="4"/>
        <v>114.9874305</v>
      </c>
    </row>
    <row r="7" spans="1:23" ht="25" customHeight="1">
      <c r="A7" s="37">
        <v>45754</v>
      </c>
      <c r="B7" s="15" t="s">
        <v>332</v>
      </c>
      <c r="C7" s="16" t="s">
        <v>133</v>
      </c>
      <c r="D7" s="5">
        <v>0.35416666666666669</v>
      </c>
      <c r="E7" s="5">
        <v>0.45833333333333331</v>
      </c>
      <c r="F7" s="6" t="str">
        <f t="shared" si="5"/>
        <v>No</v>
      </c>
      <c r="G7" s="6">
        <f t="shared" si="6"/>
        <v>0.10416666666666663</v>
      </c>
      <c r="H7" s="50">
        <f>_xlfn.IFNA(VLOOKUP(C:C,'Active Jobs'!B:K,8,0),"")</f>
        <v>250</v>
      </c>
      <c r="I7" s="8">
        <f t="shared" si="7"/>
        <v>2.4999999999999991</v>
      </c>
      <c r="J7" s="50">
        <f t="shared" si="0"/>
        <v>167.75174999999993</v>
      </c>
      <c r="K7" s="50">
        <f t="shared" si="1"/>
        <v>82.24825000000007</v>
      </c>
      <c r="L7" s="9">
        <f t="shared" si="8"/>
        <v>0.67100699999999969</v>
      </c>
      <c r="M7" s="16">
        <v>2</v>
      </c>
      <c r="N7" s="47" t="str">
        <v>Cliodhna Corr</v>
      </c>
      <c r="O7" s="23">
        <f>IF(N7="","",ROUND(SUMIFS($I:$I,$A:$A,O$1,$B:$B,"*"&amp;$N7&amp;"*"),2))</f>
        <v>6</v>
      </c>
      <c r="P7" s="23">
        <f>IF(O7="","",ROUND(SUMIFS($I:$I,$A:$A,P$1,$B:$B,"*"&amp;$N7&amp;"*"),2))</f>
        <v>6.08</v>
      </c>
      <c r="Q7" s="23">
        <f>IF(P7="","",ROUND(SUMIFS($I:$I,$A:$A,Q$1,$B:$B,"*"&amp;$N7&amp;"*"),2))</f>
        <v>7.93</v>
      </c>
      <c r="R7" s="23">
        <f>IF(Q7="","",ROUND(SUMIFS($I:$I,$A:$A,R$1,$B:$B,"*"&amp;$N7&amp;"*"),2))</f>
        <v>8.5</v>
      </c>
      <c r="S7" s="23">
        <f>IF(R7="","",ROUND(SUMIFS($I:$I,$A:$A,S$1,$B:$B,"*"&amp;$N7&amp;"*"),2))</f>
        <v>4.72</v>
      </c>
      <c r="T7" s="10">
        <f t="shared" si="2"/>
        <v>33.229999999999997</v>
      </c>
      <c r="U7" s="21"/>
      <c r="V7" s="24">
        <f t="shared" si="3"/>
        <v>999.89069999999992</v>
      </c>
      <c r="W7" s="25">
        <f t="shared" si="4"/>
        <v>114.9874305</v>
      </c>
    </row>
    <row r="8" spans="1:23" ht="25" customHeight="1">
      <c r="A8" s="37">
        <v>45754</v>
      </c>
      <c r="B8" s="15" t="s">
        <v>332</v>
      </c>
      <c r="C8" s="49" t="s">
        <v>134</v>
      </c>
      <c r="D8" s="5">
        <v>0.45833333333333331</v>
      </c>
      <c r="E8" s="5">
        <v>0.5625</v>
      </c>
      <c r="F8" s="6" t="s">
        <v>17</v>
      </c>
      <c r="G8" s="6">
        <f t="shared" si="6"/>
        <v>8.3333333333333356E-2</v>
      </c>
      <c r="H8" s="50">
        <f>_xlfn.IFNA(VLOOKUP(C:C,'Active Jobs'!B:K,8,0),"")</f>
        <v>220</v>
      </c>
      <c r="I8" s="8">
        <f t="shared" si="7"/>
        <v>2.0000000000000004</v>
      </c>
      <c r="J8" s="50">
        <f t="shared" si="0"/>
        <v>134.20140000000004</v>
      </c>
      <c r="K8" s="50">
        <f t="shared" si="1"/>
        <v>85.798599999999965</v>
      </c>
      <c r="L8" s="9">
        <f t="shared" si="8"/>
        <v>0.61000636363636385</v>
      </c>
      <c r="M8" s="16">
        <v>2</v>
      </c>
      <c r="N8" s="41"/>
      <c r="O8" s="23" t="str">
        <f>IF(N8="","",ROUND(SUMIFS($I:$I,$A:$A,O$1,$B:$B,"*"&amp;$N8&amp;"*"),2))</f>
        <v/>
      </c>
      <c r="P8" s="23" t="str">
        <f>IF(O8="","",ROUND(SUMIFS($I:$I,$A:$A,P$1,$B:$B,"*"&amp;$N8&amp;"*"),2))</f>
        <v/>
      </c>
      <c r="Q8" s="23" t="str">
        <f>IF(P8="","",ROUND(SUMIFS($I:$I,$A:$A,Q$1,$B:$B,"*"&amp;$N8&amp;"*"),2))</f>
        <v/>
      </c>
      <c r="R8" s="23" t="str">
        <f>IF(Q8="","",ROUND(SUMIFS($I:$I,$A:$A,R$1,$B:$B,"*"&amp;$N8&amp;"*"),2))</f>
        <v/>
      </c>
      <c r="S8" s="23" t="str">
        <f>IF(R8="","",ROUND(SUMIFS($I:$I,$A:$A,S$1,$B:$B,"*"&amp;$N8&amp;"*"),2))</f>
        <v/>
      </c>
      <c r="T8" s="10" t="str">
        <f t="shared" si="2"/>
        <v/>
      </c>
      <c r="U8" s="21"/>
      <c r="V8" s="24" t="str">
        <f t="shared" si="3"/>
        <v/>
      </c>
      <c r="W8" s="25" t="str">
        <f t="shared" si="4"/>
        <v/>
      </c>
    </row>
    <row r="9" spans="1:23" ht="25" customHeight="1">
      <c r="A9" s="37">
        <v>45754</v>
      </c>
      <c r="B9" s="15" t="s">
        <v>332</v>
      </c>
      <c r="C9" s="16" t="s">
        <v>135</v>
      </c>
      <c r="D9" s="5">
        <v>0.5625</v>
      </c>
      <c r="E9" s="5">
        <v>0.625</v>
      </c>
      <c r="F9" s="6" t="str">
        <f t="shared" si="5"/>
        <v>No</v>
      </c>
      <c r="G9" s="6">
        <f t="shared" si="6"/>
        <v>6.25E-2</v>
      </c>
      <c r="H9" s="50">
        <f>_xlfn.IFNA(VLOOKUP(C:C,'Active Jobs'!B:K,8,0),"")</f>
        <v>220</v>
      </c>
      <c r="I9" s="8">
        <f t="shared" si="7"/>
        <v>1.5</v>
      </c>
      <c r="J9" s="50">
        <f t="shared" si="0"/>
        <v>100.65105</v>
      </c>
      <c r="K9" s="50">
        <f t="shared" si="1"/>
        <v>119.34895</v>
      </c>
      <c r="L9" s="9">
        <f t="shared" si="8"/>
        <v>0.45750477272727269</v>
      </c>
      <c r="M9" s="16">
        <v>2</v>
      </c>
      <c r="N9" s="47"/>
      <c r="O9" s="23" t="str">
        <f>IF(N9="","",ROUND(SUMIFS($I:$I,$A:$A,O$1,$B:$B,"*"&amp;$N9&amp;"*"),2))</f>
        <v/>
      </c>
      <c r="P9" s="23" t="str">
        <f>IF(O9="","",ROUND(SUMIFS($I:$I,$A:$A,P$1,$B:$B,"*"&amp;$N9&amp;"*"),2))</f>
        <v/>
      </c>
      <c r="Q9" s="23" t="str">
        <f>IF(P9="","",ROUND(SUMIFS($I:$I,$A:$A,Q$1,$B:$B,"*"&amp;$N9&amp;"*"),2))</f>
        <v/>
      </c>
      <c r="R9" s="23" t="str">
        <f>IF(Q9="","",ROUND(SUMIFS($I:$I,$A:$A,R$1,$B:$B,"*"&amp;$N9&amp;"*"),2))</f>
        <v/>
      </c>
      <c r="S9" s="23" t="str">
        <f>IF(R9="","",ROUND(SUMIFS($I:$I,$A:$A,S$1,$B:$B,"*"&amp;$N9&amp;"*"),2))</f>
        <v/>
      </c>
      <c r="T9" s="10" t="str">
        <f t="shared" si="2"/>
        <v/>
      </c>
      <c r="U9" s="21"/>
      <c r="V9" s="24" t="str">
        <f t="shared" si="3"/>
        <v/>
      </c>
      <c r="W9" s="25" t="str">
        <f t="shared" si="4"/>
        <v/>
      </c>
    </row>
    <row r="10" spans="1:23" ht="25" customHeight="1">
      <c r="A10" s="37">
        <v>45755</v>
      </c>
      <c r="B10" s="15" t="s">
        <v>334</v>
      </c>
      <c r="C10" s="16" t="s">
        <v>215</v>
      </c>
      <c r="D10" s="5">
        <v>0.35416666666666669</v>
      </c>
      <c r="E10" s="5">
        <v>0.44791666666666669</v>
      </c>
      <c r="F10" s="6" t="str">
        <f t="shared" si="5"/>
        <v>No</v>
      </c>
      <c r="G10" s="6">
        <f t="shared" si="6"/>
        <v>9.375E-2</v>
      </c>
      <c r="H10" s="50">
        <v>215</v>
      </c>
      <c r="I10" s="8">
        <f t="shared" si="7"/>
        <v>2.25</v>
      </c>
      <c r="J10" s="50">
        <f t="shared" si="0"/>
        <v>150.976575</v>
      </c>
      <c r="K10" s="50">
        <f t="shared" si="1"/>
        <v>64.023425000000003</v>
      </c>
      <c r="L10" s="9">
        <f t="shared" si="8"/>
        <v>0.7022166279069767</v>
      </c>
      <c r="M10" s="16">
        <v>3</v>
      </c>
      <c r="O10" s="23" t="str">
        <f>IF(N10="","",ROUND(SUMIFS($I:$I,$A:$A,O$1,$B:$B,"*"&amp;$N10&amp;"*"),2))</f>
        <v/>
      </c>
      <c r="P10" s="23" t="str">
        <f>IF(O10="","",ROUND(SUMIFS($I:$I,$A:$A,P$1,$B:$B,"*"&amp;$N10&amp;"*"),2))</f>
        <v/>
      </c>
      <c r="Q10" s="23" t="str">
        <f>IF(P10="","",ROUND(SUMIFS($I:$I,$A:$A,Q$1,$B:$B,"*"&amp;$N10&amp;"*"),2))</f>
        <v/>
      </c>
      <c r="R10" s="23" t="str">
        <f>IF(Q10="","",ROUND(SUMIFS($I:$I,$A:$A,R$1,$B:$B,"*"&amp;$N10&amp;"*"),2))</f>
        <v/>
      </c>
      <c r="S10" s="23" t="str">
        <f>IF(R10="","",ROUND(SUMIFS($I:$I,$A:$A,S$1,$B:$B,"*"&amp;$N10&amp;"*"),2))</f>
        <v/>
      </c>
      <c r="T10" s="10" t="str">
        <f t="shared" si="2"/>
        <v/>
      </c>
      <c r="U10" s="21"/>
      <c r="V10" s="24" t="str">
        <f t="shared" si="3"/>
        <v/>
      </c>
      <c r="W10" s="25" t="str">
        <f t="shared" si="4"/>
        <v/>
      </c>
    </row>
    <row r="11" spans="1:23" ht="25" customHeight="1">
      <c r="A11" s="37">
        <v>45755</v>
      </c>
      <c r="B11" s="15" t="s">
        <v>334</v>
      </c>
      <c r="C11" s="16" t="s">
        <v>136</v>
      </c>
      <c r="D11" s="5">
        <v>0.44791666666666669</v>
      </c>
      <c r="E11" s="5">
        <v>0.5625</v>
      </c>
      <c r="F11" s="6" t="s">
        <v>17</v>
      </c>
      <c r="G11" s="6">
        <f t="shared" si="6"/>
        <v>9.3749999999999986E-2</v>
      </c>
      <c r="H11" s="50">
        <f>_xlfn.IFNA(VLOOKUP(C:C,'Active Jobs'!B:K,8,0),"")</f>
        <v>220</v>
      </c>
      <c r="I11" s="8">
        <f t="shared" si="7"/>
        <v>2.2499999999999996</v>
      </c>
      <c r="J11" s="50">
        <f t="shared" si="0"/>
        <v>150.97657499999997</v>
      </c>
      <c r="K11" s="50">
        <f t="shared" si="1"/>
        <v>69.023425000000032</v>
      </c>
      <c r="L11" s="9">
        <f t="shared" si="8"/>
        <v>0.6862571590909089</v>
      </c>
      <c r="M11" s="16">
        <v>3</v>
      </c>
      <c r="O11" s="23" t="str">
        <f>IF(N11="","",ROUND(SUMIFS($I:$I,$A:$A,O$1,$B:$B,"*"&amp;$N11&amp;"*"),2))</f>
        <v/>
      </c>
      <c r="P11" s="23" t="str">
        <f>IF(O11="","",ROUND(SUMIFS($I:$I,$A:$A,P$1,$B:$B,"*"&amp;$N11&amp;"*"),2))</f>
        <v/>
      </c>
      <c r="Q11" s="23" t="str">
        <f>IF(P11="","",ROUND(SUMIFS($I:$I,$A:$A,Q$1,$B:$B,"*"&amp;$N11&amp;"*"),2))</f>
        <v/>
      </c>
      <c r="R11" s="23" t="str">
        <f>IF(Q11="","",ROUND(SUMIFS($I:$I,$A:$A,R$1,$B:$B,"*"&amp;$N11&amp;"*"),2))</f>
        <v/>
      </c>
      <c r="S11" s="23" t="str">
        <f>IF(R11="","",ROUND(SUMIFS($I:$I,$A:$A,S$1,$B:$B,"*"&amp;$N11&amp;"*"),2))</f>
        <v/>
      </c>
      <c r="T11" s="10" t="str">
        <f t="shared" si="2"/>
        <v/>
      </c>
      <c r="U11" s="21"/>
      <c r="V11" s="24" t="str">
        <f t="shared" si="3"/>
        <v/>
      </c>
      <c r="W11" s="25" t="str">
        <f t="shared" si="4"/>
        <v/>
      </c>
    </row>
    <row r="12" spans="1:23" ht="25" customHeight="1">
      <c r="A12" s="37">
        <v>45755</v>
      </c>
      <c r="B12" s="15" t="s">
        <v>334</v>
      </c>
      <c r="C12" s="16" t="s">
        <v>44</v>
      </c>
      <c r="D12" s="5">
        <v>0.5625</v>
      </c>
      <c r="E12" s="5">
        <v>0.64583333333333337</v>
      </c>
      <c r="F12" s="6" t="str">
        <f t="shared" si="5"/>
        <v>No</v>
      </c>
      <c r="G12" s="6">
        <f t="shared" si="6"/>
        <v>8.333333333333337E-2</v>
      </c>
      <c r="H12" s="50">
        <f>_xlfn.IFNA(VLOOKUP(C:C,'Active Jobs'!B:K,8,0),"")</f>
        <v>200</v>
      </c>
      <c r="I12" s="8">
        <f t="shared" si="7"/>
        <v>2.0000000000000009</v>
      </c>
      <c r="J12" s="50">
        <f t="shared" si="0"/>
        <v>134.20140000000006</v>
      </c>
      <c r="K12" s="50">
        <f t="shared" si="1"/>
        <v>65.798599999999936</v>
      </c>
      <c r="L12" s="9">
        <f t="shared" si="8"/>
        <v>0.67100700000000035</v>
      </c>
      <c r="M12" s="16">
        <v>3</v>
      </c>
      <c r="O12" s="23" t="str">
        <f>IF(N12="","",ROUND(SUMIFS($I:$I,$A:$A,O$1,$B:$B,"*"&amp;$N12&amp;"*"),2))</f>
        <v/>
      </c>
      <c r="P12" s="23" t="str">
        <f>IF(O12="","",ROUND(SUMIFS($I:$I,$A:$A,P$1,$B:$B,"*"&amp;$N12&amp;"*"),2))</f>
        <v/>
      </c>
      <c r="Q12" s="23" t="str">
        <f>IF(P12="","",ROUND(SUMIFS($I:$I,$A:$A,Q$1,$B:$B,"*"&amp;$N12&amp;"*"),2))</f>
        <v/>
      </c>
      <c r="R12" s="23" t="str">
        <f>IF(Q12="","",ROUND(SUMIFS($I:$I,$A:$A,R$1,$B:$B,"*"&amp;$N12&amp;"*"),2))</f>
        <v/>
      </c>
      <c r="S12" s="23" t="str">
        <f>IF(R12="","",ROUND(SUMIFS($I:$I,$A:$A,S$1,$B:$B,"*"&amp;$N12&amp;"*"),2))</f>
        <v/>
      </c>
      <c r="T12" s="10" t="str">
        <f t="shared" si="2"/>
        <v/>
      </c>
      <c r="V12" s="24" t="str">
        <f t="shared" si="3"/>
        <v/>
      </c>
      <c r="W12" s="25" t="str">
        <f t="shared" si="4"/>
        <v/>
      </c>
    </row>
    <row r="13" spans="1:23" ht="25" customHeight="1">
      <c r="A13" s="37">
        <v>45755</v>
      </c>
      <c r="B13" s="15" t="s">
        <v>334</v>
      </c>
      <c r="C13" s="16" t="s">
        <v>137</v>
      </c>
      <c r="D13" s="5">
        <v>0.64583333333333337</v>
      </c>
      <c r="E13" s="5">
        <v>0.72222222222222221</v>
      </c>
      <c r="F13" s="6" t="str">
        <f t="shared" si="5"/>
        <v>No</v>
      </c>
      <c r="G13" s="6">
        <f t="shared" si="6"/>
        <v>7.638888888888884E-2</v>
      </c>
      <c r="H13" s="50">
        <v>200</v>
      </c>
      <c r="I13" s="8">
        <f t="shared" si="7"/>
        <v>1.8333333333333321</v>
      </c>
      <c r="J13" s="50">
        <f t="shared" si="0"/>
        <v>123.01794999999991</v>
      </c>
      <c r="K13" s="50">
        <f t="shared" si="1"/>
        <v>76.982050000000086</v>
      </c>
      <c r="L13" s="9">
        <f t="shared" si="8"/>
        <v>0.61508974999999955</v>
      </c>
      <c r="M13" s="16">
        <v>3</v>
      </c>
      <c r="O13" s="23" t="str">
        <f>IF(N13="","",ROUND(SUMIFS($I:$I,$A:$A,O$1,$B:$B,"*"&amp;$N13&amp;"*"),2))</f>
        <v/>
      </c>
      <c r="P13" s="23" t="str">
        <f>IF(O13="","",ROUND(SUMIFS($I:$I,$A:$A,P$1,$B:$B,"*"&amp;$N13&amp;"*"),2))</f>
        <v/>
      </c>
      <c r="Q13" s="23" t="str">
        <f>IF(P13="","",ROUND(SUMIFS($I:$I,$A:$A,Q$1,$B:$B,"*"&amp;$N13&amp;"*"),2))</f>
        <v/>
      </c>
      <c r="R13" s="23" t="str">
        <f>IF(Q13="","",ROUND(SUMIFS($I:$I,$A:$A,R$1,$B:$B,"*"&amp;$N13&amp;"*"),2))</f>
        <v/>
      </c>
      <c r="S13" s="23" t="str">
        <f>IF(R13="","",ROUND(SUMIFS($I:$I,$A:$A,S$1,$B:$B,"*"&amp;$N13&amp;"*"),2))</f>
        <v/>
      </c>
      <c r="T13" s="10" t="str">
        <f t="shared" si="2"/>
        <v/>
      </c>
      <c r="V13" s="24" t="str">
        <f t="shared" si="3"/>
        <v/>
      </c>
      <c r="W13" s="25" t="str">
        <f t="shared" si="4"/>
        <v/>
      </c>
    </row>
    <row r="14" spans="1:23" ht="25" customHeight="1">
      <c r="A14" s="37">
        <v>45755</v>
      </c>
      <c r="B14" s="15" t="s">
        <v>338</v>
      </c>
      <c r="C14" s="16" t="s">
        <v>138</v>
      </c>
      <c r="D14" s="5">
        <v>0.35416666666666669</v>
      </c>
      <c r="E14" s="5">
        <v>0.5</v>
      </c>
      <c r="F14" s="6" t="str">
        <f t="shared" si="5"/>
        <v>No</v>
      </c>
      <c r="G14" s="6">
        <f t="shared" si="6"/>
        <v>0.14583333333333331</v>
      </c>
      <c r="H14" s="50">
        <v>380</v>
      </c>
      <c r="I14" s="8">
        <f t="shared" si="7"/>
        <v>3.4999999999999996</v>
      </c>
      <c r="J14" s="50">
        <f t="shared" si="0"/>
        <v>234.85244999999995</v>
      </c>
      <c r="K14" s="50">
        <f t="shared" si="1"/>
        <v>145.14755000000005</v>
      </c>
      <c r="L14" s="9">
        <f t="shared" si="8"/>
        <v>0.61803276315789457</v>
      </c>
      <c r="M14" s="16">
        <v>1</v>
      </c>
      <c r="O14" s="23" t="str">
        <f>IF(N14="","",ROUND(SUMIFS($I:$I,$A:$A,O$1,$B:$B,"*"&amp;$N14&amp;"*"),2))</f>
        <v/>
      </c>
      <c r="P14" s="23" t="str">
        <f>IF(O14="","",ROUND(SUMIFS($I:$I,$A:$A,P$1,$B:$B,"*"&amp;$N14&amp;"*"),2))</f>
        <v/>
      </c>
      <c r="Q14" s="23" t="str">
        <f>IF(P14="","",ROUND(SUMIFS($I:$I,$A:$A,Q$1,$B:$B,"*"&amp;$N14&amp;"*"),2))</f>
        <v/>
      </c>
      <c r="R14" s="23" t="str">
        <f>IF(Q14="","",ROUND(SUMIFS($I:$I,$A:$A,R$1,$B:$B,"*"&amp;$N14&amp;"*"),2))</f>
        <v/>
      </c>
      <c r="S14" s="23" t="str">
        <f>IF(R14="","",ROUND(SUMIFS($I:$I,$A:$A,S$1,$B:$B,"*"&amp;$N14&amp;"*"),2))</f>
        <v/>
      </c>
      <c r="T14" s="10" t="str">
        <f t="shared" si="2"/>
        <v/>
      </c>
      <c r="V14" s="24" t="str">
        <f t="shared" si="3"/>
        <v/>
      </c>
      <c r="W14" s="25" t="str">
        <f t="shared" si="4"/>
        <v/>
      </c>
    </row>
    <row r="15" spans="1:23" ht="25" customHeight="1">
      <c r="A15" s="37">
        <v>45755</v>
      </c>
      <c r="B15" s="15" t="s">
        <v>338</v>
      </c>
      <c r="C15" s="16" t="s">
        <v>45</v>
      </c>
      <c r="D15" s="5">
        <v>0.5</v>
      </c>
      <c r="E15" s="5">
        <v>0.60416666666666663</v>
      </c>
      <c r="F15" s="6" t="s">
        <v>17</v>
      </c>
      <c r="G15" s="6">
        <f t="shared" si="6"/>
        <v>8.3333333333333301E-2</v>
      </c>
      <c r="H15" s="50">
        <f>_xlfn.IFNA(VLOOKUP(C:C,'Active Jobs'!B:K,8,0),"")</f>
        <v>275</v>
      </c>
      <c r="I15" s="8">
        <f t="shared" si="7"/>
        <v>1.9999999999999991</v>
      </c>
      <c r="J15" s="50">
        <f t="shared" si="0"/>
        <v>134.20139999999992</v>
      </c>
      <c r="K15" s="50">
        <f t="shared" si="1"/>
        <v>140.79860000000008</v>
      </c>
      <c r="L15" s="9">
        <f t="shared" si="8"/>
        <v>0.48800509090909061</v>
      </c>
      <c r="M15" s="16">
        <v>1</v>
      </c>
      <c r="O15" s="23" t="str">
        <f>IF(N15="","",ROUND(SUMIFS($I:$I,$A:$A,O$1,$B:$B,"*"&amp;$N15&amp;"*"),2))</f>
        <v/>
      </c>
      <c r="P15" s="23" t="str">
        <f>IF(O15="","",ROUND(SUMIFS($I:$I,$A:$A,P$1,$B:$B,"*"&amp;$N15&amp;"*"),2))</f>
        <v/>
      </c>
      <c r="Q15" s="23" t="str">
        <f>IF(P15="","",ROUND(SUMIFS($I:$I,$A:$A,Q$1,$B:$B,"*"&amp;$N15&amp;"*"),2))</f>
        <v/>
      </c>
      <c r="R15" s="23" t="str">
        <f>IF(Q15="","",ROUND(SUMIFS($I:$I,$A:$A,R$1,$B:$B,"*"&amp;$N15&amp;"*"),2))</f>
        <v/>
      </c>
      <c r="S15" s="23" t="str">
        <f>IF(R15="","",ROUND(SUMIFS($I:$I,$A:$A,S$1,$B:$B,"*"&amp;$N15&amp;"*"),2))</f>
        <v/>
      </c>
      <c r="T15" s="10" t="str">
        <f t="shared" si="2"/>
        <v/>
      </c>
      <c r="V15" s="24" t="str">
        <f t="shared" si="3"/>
        <v/>
      </c>
      <c r="W15" s="25" t="str">
        <f t="shared" si="4"/>
        <v/>
      </c>
    </row>
    <row r="16" spans="1:23" ht="25" customHeight="1">
      <c r="A16" s="37">
        <v>45755</v>
      </c>
      <c r="B16" s="15" t="s">
        <v>338</v>
      </c>
      <c r="C16" s="16" t="s">
        <v>139</v>
      </c>
      <c r="D16" s="5">
        <v>0.60416666666666663</v>
      </c>
      <c r="E16" s="5">
        <v>0.67638888888888893</v>
      </c>
      <c r="F16" s="6" t="str">
        <f t="shared" si="5"/>
        <v>No</v>
      </c>
      <c r="G16" s="6">
        <f t="shared" si="6"/>
        <v>7.2222222222222299E-2</v>
      </c>
      <c r="H16" s="50">
        <f>_xlfn.IFNA(VLOOKUP(C:C,'Active Jobs'!B:K,8,0),"")</f>
        <v>200</v>
      </c>
      <c r="I16" s="8">
        <f t="shared" si="7"/>
        <v>1.7333333333333352</v>
      </c>
      <c r="J16" s="50">
        <f t="shared" si="0"/>
        <v>116.30788000000013</v>
      </c>
      <c r="K16" s="50">
        <f t="shared" si="1"/>
        <v>83.692119999999875</v>
      </c>
      <c r="L16" s="9">
        <f t="shared" si="8"/>
        <v>0.58153940000000059</v>
      </c>
      <c r="M16" s="16">
        <v>1</v>
      </c>
      <c r="O16" s="23" t="str">
        <f>IF(N16="","",ROUND(SUMIFS($I:$I,$A:$A,O$1,$B:$B,"*"&amp;$N16&amp;"*"),2))</f>
        <v/>
      </c>
      <c r="P16" s="23" t="str">
        <f>IF(O16="","",ROUND(SUMIFS($I:$I,$A:$A,P$1,$B:$B,"*"&amp;$N16&amp;"*"),2))</f>
        <v/>
      </c>
      <c r="Q16" s="23" t="str">
        <f>IF(P16="","",ROUND(SUMIFS($I:$I,$A:$A,Q$1,$B:$B,"*"&amp;$N16&amp;"*"),2))</f>
        <v/>
      </c>
      <c r="R16" s="23" t="str">
        <f>IF(Q16="","",ROUND(SUMIFS($I:$I,$A:$A,R$1,$B:$B,"*"&amp;$N16&amp;"*"),2))</f>
        <v/>
      </c>
      <c r="S16" s="23" t="str">
        <f>IF(R16="","",ROUND(SUMIFS($I:$I,$A:$A,S$1,$B:$B,"*"&amp;$N16&amp;"*"),2))</f>
        <v/>
      </c>
      <c r="T16" s="10" t="str">
        <f t="shared" si="2"/>
        <v/>
      </c>
      <c r="V16" s="24" t="str">
        <f t="shared" si="3"/>
        <v/>
      </c>
      <c r="W16" s="25" t="str">
        <f t="shared" si="4"/>
        <v/>
      </c>
    </row>
    <row r="17" spans="1:23" ht="25" customHeight="1">
      <c r="A17" s="37">
        <v>45755</v>
      </c>
      <c r="B17" s="15" t="s">
        <v>338</v>
      </c>
      <c r="C17" s="16" t="s">
        <v>140</v>
      </c>
      <c r="D17" s="5">
        <v>0.67638888888888893</v>
      </c>
      <c r="E17" s="5">
        <v>0.75347222222222221</v>
      </c>
      <c r="F17" s="6" t="str">
        <f t="shared" si="5"/>
        <v>No</v>
      </c>
      <c r="G17" s="6">
        <f t="shared" si="6"/>
        <v>7.7083333333333282E-2</v>
      </c>
      <c r="H17" s="50">
        <f>_xlfn.IFNA(VLOOKUP(C:C,'Active Jobs'!B:K,8,0),"")</f>
        <v>215</v>
      </c>
      <c r="I17" s="8">
        <f t="shared" si="7"/>
        <v>1.8499999999999988</v>
      </c>
      <c r="J17" s="50">
        <f t="shared" si="0"/>
        <v>124.13629499999992</v>
      </c>
      <c r="K17" s="50">
        <f t="shared" si="1"/>
        <v>90.863705000000081</v>
      </c>
      <c r="L17" s="9">
        <f t="shared" si="8"/>
        <v>0.57737811627906943</v>
      </c>
      <c r="M17" s="16">
        <v>1</v>
      </c>
      <c r="O17" s="23" t="str">
        <f>IF(N17="","",ROUND(SUMIFS($I:$I,$A:$A,O$1,$B:$B,"*"&amp;$N17&amp;"*"),2))</f>
        <v/>
      </c>
      <c r="P17" s="23" t="str">
        <f>IF(O17="","",ROUND(SUMIFS($I:$I,$A:$A,P$1,$B:$B,"*"&amp;$N17&amp;"*"),2))</f>
        <v/>
      </c>
      <c r="Q17" s="23" t="str">
        <f>IF(P17="","",ROUND(SUMIFS($I:$I,$A:$A,Q$1,$B:$B,"*"&amp;$N17&amp;"*"),2))</f>
        <v/>
      </c>
      <c r="R17" s="23" t="str">
        <f>IF(Q17="","",ROUND(SUMIFS($I:$I,$A:$A,R$1,$B:$B,"*"&amp;$N17&amp;"*"),2))</f>
        <v/>
      </c>
      <c r="S17" s="23" t="str">
        <f>IF(R17="","",ROUND(SUMIFS($I:$I,$A:$A,S$1,$B:$B,"*"&amp;$N17&amp;"*"),2))</f>
        <v/>
      </c>
      <c r="T17" s="10" t="str">
        <f t="shared" si="2"/>
        <v/>
      </c>
      <c r="V17" s="24" t="str">
        <f t="shared" si="3"/>
        <v/>
      </c>
      <c r="W17" s="25" t="str">
        <f t="shared" si="4"/>
        <v/>
      </c>
    </row>
    <row r="18" spans="1:23" ht="25" customHeight="1">
      <c r="A18" s="37">
        <v>45755</v>
      </c>
      <c r="B18" s="15" t="s">
        <v>332</v>
      </c>
      <c r="C18" s="16" t="s">
        <v>56</v>
      </c>
      <c r="D18" s="5">
        <v>0.35416666666666669</v>
      </c>
      <c r="E18" s="5">
        <v>0.44791666666666669</v>
      </c>
      <c r="F18" s="6" t="str">
        <f t="shared" si="5"/>
        <v>No</v>
      </c>
      <c r="G18" s="6">
        <f t="shared" si="6"/>
        <v>9.375E-2</v>
      </c>
      <c r="H18" s="50">
        <f>_xlfn.IFNA(VLOOKUP(C:C,'Active Jobs'!B:K,8,0),"")</f>
        <v>220</v>
      </c>
      <c r="I18" s="8">
        <f t="shared" si="7"/>
        <v>2.25</v>
      </c>
      <c r="J18" s="50">
        <f t="shared" si="0"/>
        <v>150.976575</v>
      </c>
      <c r="K18" s="50">
        <f t="shared" si="1"/>
        <v>69.023425000000003</v>
      </c>
      <c r="L18" s="9">
        <f t="shared" si="8"/>
        <v>0.68625715909090912</v>
      </c>
      <c r="M18" s="16">
        <v>2</v>
      </c>
      <c r="O18" s="23" t="str">
        <f>IF(N18="","",ROUND(SUMIFS($I:$I,$A:$A,O$1,$B:$B,"*"&amp;$N18&amp;"*"),2))</f>
        <v/>
      </c>
      <c r="P18" s="23" t="str">
        <f>IF(O18="","",ROUND(SUMIFS($I:$I,$A:$A,P$1,$B:$B,"*"&amp;$N18&amp;"*"),2))</f>
        <v/>
      </c>
      <c r="Q18" s="23" t="str">
        <f>IF(P18="","",ROUND(SUMIFS($I:$I,$A:$A,Q$1,$B:$B,"*"&amp;$N18&amp;"*"),2))</f>
        <v/>
      </c>
      <c r="R18" s="23" t="str">
        <f>IF(Q18="","",ROUND(SUMIFS($I:$I,$A:$A,R$1,$B:$B,"*"&amp;$N18&amp;"*"),2))</f>
        <v/>
      </c>
      <c r="S18" s="23" t="str">
        <f>IF(R18="","",ROUND(SUMIFS($I:$I,$A:$A,S$1,$B:$B,"*"&amp;$N18&amp;"*"),2))</f>
        <v/>
      </c>
      <c r="T18" s="10" t="str">
        <f t="shared" si="2"/>
        <v/>
      </c>
      <c r="V18" s="24" t="str">
        <f t="shared" si="3"/>
        <v/>
      </c>
      <c r="W18" s="25" t="str">
        <f t="shared" si="4"/>
        <v/>
      </c>
    </row>
    <row r="19" spans="1:23" ht="25" customHeight="1">
      <c r="A19" s="37">
        <v>45755</v>
      </c>
      <c r="B19" s="15" t="s">
        <v>332</v>
      </c>
      <c r="C19" s="16" t="s">
        <v>141</v>
      </c>
      <c r="D19" s="5">
        <v>0.44791666666666669</v>
      </c>
      <c r="E19" s="5">
        <v>0.5625</v>
      </c>
      <c r="F19" s="6" t="s">
        <v>17</v>
      </c>
      <c r="G19" s="6">
        <f t="shared" si="6"/>
        <v>9.3749999999999986E-2</v>
      </c>
      <c r="H19" s="50">
        <f>_xlfn.IFNA(VLOOKUP(C:C,'Active Jobs'!B:K,8,0),"")</f>
        <v>250</v>
      </c>
      <c r="I19" s="8">
        <f t="shared" si="7"/>
        <v>2.2499999999999996</v>
      </c>
      <c r="J19" s="50">
        <f t="shared" si="0"/>
        <v>150.97657499999997</v>
      </c>
      <c r="K19" s="50">
        <f t="shared" si="1"/>
        <v>99.023425000000032</v>
      </c>
      <c r="L19" s="9">
        <f t="shared" si="8"/>
        <v>0.6039062999999999</v>
      </c>
      <c r="M19" s="16">
        <v>2</v>
      </c>
      <c r="O19" s="23" t="str">
        <f>IF(N19="","",ROUND(SUMIFS($I:$I,$A:$A,O$1,$B:$B,"*"&amp;$N19&amp;"*"),2))</f>
        <v/>
      </c>
      <c r="P19" s="23" t="str">
        <f>IF(O19="","",ROUND(SUMIFS($I:$I,$A:$A,P$1,$B:$B,"*"&amp;$N19&amp;"*"),2))</f>
        <v/>
      </c>
      <c r="Q19" s="23" t="str">
        <f>IF(P19="","",ROUND(SUMIFS($I:$I,$A:$A,Q$1,$B:$B,"*"&amp;$N19&amp;"*"),2))</f>
        <v/>
      </c>
      <c r="R19" s="23" t="str">
        <f>IF(Q19="","",ROUND(SUMIFS($I:$I,$A:$A,R$1,$B:$B,"*"&amp;$N19&amp;"*"),2))</f>
        <v/>
      </c>
      <c r="S19" s="23" t="str">
        <f>IF(R19="","",ROUND(SUMIFS($I:$I,$A:$A,S$1,$B:$B,"*"&amp;$N19&amp;"*"),2))</f>
        <v/>
      </c>
      <c r="T19" s="74" t="str">
        <f t="shared" si="2"/>
        <v/>
      </c>
    </row>
    <row r="20" spans="1:23" ht="25" customHeight="1">
      <c r="A20" s="37">
        <v>45755</v>
      </c>
      <c r="B20" s="15" t="s">
        <v>332</v>
      </c>
      <c r="C20" s="16" t="s">
        <v>142</v>
      </c>
      <c r="D20" s="5">
        <v>0.5625</v>
      </c>
      <c r="E20" s="5">
        <v>0.62847222222222221</v>
      </c>
      <c r="F20" s="6" t="str">
        <f t="shared" si="5"/>
        <v>No</v>
      </c>
      <c r="G20" s="6">
        <f t="shared" si="6"/>
        <v>6.597222222222221E-2</v>
      </c>
      <c r="H20" s="50">
        <f>_xlfn.IFNA(VLOOKUP(C:C,'Active Jobs'!B:K,8,0),"")</f>
        <v>220</v>
      </c>
      <c r="I20" s="8">
        <f t="shared" si="7"/>
        <v>1.583333333333333</v>
      </c>
      <c r="J20" s="50">
        <f t="shared" si="0"/>
        <v>106.24277499999998</v>
      </c>
      <c r="K20" s="50">
        <f t="shared" si="1"/>
        <v>113.75722500000002</v>
      </c>
      <c r="L20" s="9">
        <f t="shared" si="8"/>
        <v>0.48292170454545447</v>
      </c>
      <c r="M20" s="16">
        <v>2</v>
      </c>
      <c r="O20" s="23" t="str">
        <f>IF(N20="","",ROUND(SUMIFS($I:$I,$A:$A,O$1,$B:$B,"*"&amp;$N20&amp;"*"),2))</f>
        <v/>
      </c>
      <c r="P20" s="23" t="str">
        <f>IF(O20="","",ROUND(SUMIFS($I:$I,$A:$A,P$1,$B:$B,"*"&amp;$N20&amp;"*"),2))</f>
        <v/>
      </c>
      <c r="Q20" s="23" t="str">
        <f>IF(P20="","",ROUND(SUMIFS($I:$I,$A:$A,Q$1,$B:$B,"*"&amp;$N20&amp;"*"),2))</f>
        <v/>
      </c>
      <c r="R20" s="23" t="str">
        <f>IF(Q20="","",ROUND(SUMIFS($I:$I,$A:$A,R$1,$B:$B,"*"&amp;$N20&amp;"*"),2))</f>
        <v/>
      </c>
      <c r="S20" s="23" t="str">
        <f>IF(R20="","",ROUND(SUMIFS($I:$I,$A:$A,S$1,$B:$B,"*"&amp;$N20&amp;"*"),2))</f>
        <v/>
      </c>
      <c r="T20" s="74" t="str">
        <f t="shared" si="2"/>
        <v/>
      </c>
    </row>
    <row r="21" spans="1:23" ht="25" customHeight="1">
      <c r="A21" s="38">
        <v>45756</v>
      </c>
      <c r="B21" s="15" t="s">
        <v>334</v>
      </c>
      <c r="C21" s="16" t="s">
        <v>358</v>
      </c>
      <c r="D21" s="5">
        <v>0.35416666666666669</v>
      </c>
      <c r="E21" s="5">
        <v>0.66666666666666663</v>
      </c>
      <c r="F21" s="6" t="s">
        <v>17</v>
      </c>
      <c r="G21" s="6">
        <f t="shared" si="6"/>
        <v>0.29166666666666663</v>
      </c>
      <c r="H21" s="50">
        <v>895</v>
      </c>
      <c r="I21" s="8">
        <f t="shared" si="7"/>
        <v>6.9999999999999982</v>
      </c>
      <c r="J21" s="50">
        <f t="shared" si="0"/>
        <v>469.7048999999999</v>
      </c>
      <c r="K21" s="50">
        <f t="shared" si="1"/>
        <v>425.2951000000001</v>
      </c>
      <c r="L21" s="9">
        <f t="shared" si="8"/>
        <v>0.52480994413407811</v>
      </c>
      <c r="M21" s="16">
        <v>3</v>
      </c>
      <c r="O21" s="23" t="str">
        <f>IF(N21="","",ROUND(SUMIFS($I:$I,$A:$A,O$1,$B:$B,"*"&amp;$N21&amp;"*"),2))</f>
        <v/>
      </c>
      <c r="P21" s="23" t="str">
        <f>IF(O21="","",ROUND(SUMIFS($I:$I,$A:$A,P$1,$B:$B,"*"&amp;$N21&amp;"*"),2))</f>
        <v/>
      </c>
      <c r="Q21" s="23" t="str">
        <f>IF(P21="","",ROUND(SUMIFS($I:$I,$A:$A,Q$1,$B:$B,"*"&amp;$N21&amp;"*"),2))</f>
        <v/>
      </c>
      <c r="R21" s="23" t="str">
        <f>IF(Q21="","",ROUND(SUMIFS($I:$I,$A:$A,R$1,$B:$B,"*"&amp;$N21&amp;"*"),2))</f>
        <v/>
      </c>
      <c r="S21" s="23" t="str">
        <f>IF(R21="","",ROUND(SUMIFS($I:$I,$A:$A,S$1,$B:$B,"*"&amp;$N21&amp;"*"),2))</f>
        <v/>
      </c>
      <c r="T21" s="74" t="str">
        <f t="shared" si="2"/>
        <v/>
      </c>
    </row>
    <row r="22" spans="1:23" ht="25" customHeight="1">
      <c r="A22" s="38">
        <v>45756</v>
      </c>
      <c r="B22" s="15" t="s">
        <v>338</v>
      </c>
      <c r="C22" s="16" t="s">
        <v>143</v>
      </c>
      <c r="D22" s="5">
        <v>0.35416666666666669</v>
      </c>
      <c r="E22" s="5">
        <v>0.44791666666666669</v>
      </c>
      <c r="F22" s="6" t="str">
        <f t="shared" si="5"/>
        <v>No</v>
      </c>
      <c r="G22" s="6">
        <f t="shared" si="6"/>
        <v>9.375E-2</v>
      </c>
      <c r="H22" s="50">
        <v>220</v>
      </c>
      <c r="I22" s="8">
        <f t="shared" si="7"/>
        <v>2.25</v>
      </c>
      <c r="J22" s="50">
        <f t="shared" si="0"/>
        <v>150.976575</v>
      </c>
      <c r="K22" s="50">
        <f t="shared" si="1"/>
        <v>69.023425000000003</v>
      </c>
      <c r="L22" s="9">
        <f t="shared" si="8"/>
        <v>0.68625715909090912</v>
      </c>
      <c r="M22" s="16">
        <v>1</v>
      </c>
      <c r="O22" s="23" t="str">
        <f>IF(N22="","",ROUND(SUMIFS($I:$I,$A:$A,O$1,$B:$B,"*"&amp;$N22&amp;"*"),2))</f>
        <v/>
      </c>
      <c r="P22" s="23" t="str">
        <f>IF(O22="","",ROUND(SUMIFS($I:$I,$A:$A,P$1,$B:$B,"*"&amp;$N22&amp;"*"),2))</f>
        <v/>
      </c>
      <c r="Q22" s="23" t="str">
        <f>IF(P22="","",ROUND(SUMIFS($I:$I,$A:$A,Q$1,$B:$B,"*"&amp;$N22&amp;"*"),2))</f>
        <v/>
      </c>
      <c r="R22" s="23" t="str">
        <f>IF(Q22="","",ROUND(SUMIFS($I:$I,$A:$A,R$1,$B:$B,"*"&amp;$N22&amp;"*"),2))</f>
        <v/>
      </c>
      <c r="S22" s="23" t="str">
        <f>IF(R22="","",ROUND(SUMIFS($I:$I,$A:$A,S$1,$B:$B,"*"&amp;$N22&amp;"*"),2))</f>
        <v/>
      </c>
      <c r="T22" s="74" t="str">
        <f t="shared" si="2"/>
        <v/>
      </c>
    </row>
    <row r="23" spans="1:23" ht="25" customHeight="1">
      <c r="A23" s="38">
        <v>45756</v>
      </c>
      <c r="B23" s="15" t="s">
        <v>338</v>
      </c>
      <c r="C23" s="16" t="s">
        <v>144</v>
      </c>
      <c r="D23" s="5">
        <v>0.44791666666666669</v>
      </c>
      <c r="E23" s="5">
        <v>0.5625</v>
      </c>
      <c r="F23" s="6" t="s">
        <v>17</v>
      </c>
      <c r="G23" s="6">
        <f t="shared" si="6"/>
        <v>9.3749999999999986E-2</v>
      </c>
      <c r="H23" s="50">
        <f>_xlfn.IFNA(VLOOKUP(C:C,'Active Jobs'!B:K,8,0),"")</f>
        <v>250</v>
      </c>
      <c r="I23" s="8">
        <f t="shared" si="7"/>
        <v>2.2499999999999996</v>
      </c>
      <c r="J23" s="50">
        <f t="shared" si="0"/>
        <v>150.97657499999997</v>
      </c>
      <c r="K23" s="50">
        <f t="shared" si="1"/>
        <v>99.023425000000032</v>
      </c>
      <c r="L23" s="9">
        <f t="shared" si="8"/>
        <v>0.6039062999999999</v>
      </c>
      <c r="M23" s="16">
        <v>1</v>
      </c>
      <c r="O23" s="23" t="str">
        <f>IF(N23="","",ROUND(SUMIFS($I:$I,$A:$A,O$1,$B:$B,"*"&amp;$N23&amp;"*"),2))</f>
        <v/>
      </c>
      <c r="P23" s="23" t="str">
        <f>IF(O23="","",ROUND(SUMIFS($I:$I,$A:$A,P$1,$B:$B,"*"&amp;$N23&amp;"*"),2))</f>
        <v/>
      </c>
      <c r="Q23" s="23" t="str">
        <f>IF(P23="","",ROUND(SUMIFS($I:$I,$A:$A,Q$1,$B:$B,"*"&amp;$N23&amp;"*"),2))</f>
        <v/>
      </c>
      <c r="R23" s="23" t="str">
        <f>IF(Q23="","",ROUND(SUMIFS($I:$I,$A:$A,R$1,$B:$B,"*"&amp;$N23&amp;"*"),2))</f>
        <v/>
      </c>
      <c r="S23" s="23" t="str">
        <f>IF(R23="","",ROUND(SUMIFS($I:$I,$A:$A,S$1,$B:$B,"*"&amp;$N23&amp;"*"),2))</f>
        <v/>
      </c>
      <c r="T23" s="74" t="str">
        <f t="shared" si="2"/>
        <v/>
      </c>
    </row>
    <row r="24" spans="1:23" ht="25" customHeight="1">
      <c r="A24" s="38">
        <v>45756</v>
      </c>
      <c r="B24" s="15" t="s">
        <v>338</v>
      </c>
      <c r="C24" s="16" t="s">
        <v>145</v>
      </c>
      <c r="D24" s="5">
        <v>0.5625</v>
      </c>
      <c r="E24" s="5">
        <v>0.64583333333333337</v>
      </c>
      <c r="F24" s="6" t="str">
        <f t="shared" si="5"/>
        <v>No</v>
      </c>
      <c r="G24" s="6">
        <f t="shared" si="6"/>
        <v>8.333333333333337E-2</v>
      </c>
      <c r="H24" s="50">
        <v>250</v>
      </c>
      <c r="I24" s="8">
        <f t="shared" si="7"/>
        <v>2.0000000000000009</v>
      </c>
      <c r="J24" s="50">
        <f t="shared" si="0"/>
        <v>134.20140000000006</v>
      </c>
      <c r="K24" s="50">
        <f t="shared" si="1"/>
        <v>115.79859999999994</v>
      </c>
      <c r="L24" s="9">
        <f t="shared" si="8"/>
        <v>0.53680560000000022</v>
      </c>
      <c r="M24" s="16">
        <v>1</v>
      </c>
      <c r="O24" s="23" t="str">
        <f>IF(N24="","",ROUND(SUMIFS($I:$I,$A:$A,O$1,$B:$B,"*"&amp;$N24&amp;"*"),2))</f>
        <v/>
      </c>
      <c r="P24" s="23" t="str">
        <f>IF(O24="","",ROUND(SUMIFS($I:$I,$A:$A,P$1,$B:$B,"*"&amp;$N24&amp;"*"),2))</f>
        <v/>
      </c>
      <c r="Q24" s="23" t="str">
        <f>IF(P24="","",ROUND(SUMIFS($I:$I,$A:$A,Q$1,$B:$B,"*"&amp;$N24&amp;"*"),2))</f>
        <v/>
      </c>
      <c r="R24" s="23" t="str">
        <f>IF(Q24="","",ROUND(SUMIFS($I:$I,$A:$A,R$1,$B:$B,"*"&amp;$N24&amp;"*"),2))</f>
        <v/>
      </c>
      <c r="S24" s="23" t="str">
        <f>IF(R24="","",ROUND(SUMIFS($I:$I,$A:$A,S$1,$B:$B,"*"&amp;$N24&amp;"*"),2))</f>
        <v/>
      </c>
      <c r="T24" s="74" t="str">
        <f t="shared" si="2"/>
        <v/>
      </c>
    </row>
    <row r="25" spans="1:23" ht="25" customHeight="1">
      <c r="A25" s="38">
        <v>45756</v>
      </c>
      <c r="B25" s="15" t="s">
        <v>332</v>
      </c>
      <c r="C25" s="16" t="s">
        <v>102</v>
      </c>
      <c r="D25" s="5">
        <v>0.35416666666666669</v>
      </c>
      <c r="E25" s="5">
        <v>0.45833333333333331</v>
      </c>
      <c r="F25" s="6" t="str">
        <f t="shared" si="5"/>
        <v>No</v>
      </c>
      <c r="G25" s="6">
        <f t="shared" si="6"/>
        <v>0.10416666666666663</v>
      </c>
      <c r="H25" s="50">
        <f>_xlfn.IFNA(VLOOKUP(C:C,'Active Jobs'!B:K,8,0),"")</f>
        <v>240</v>
      </c>
      <c r="I25" s="8">
        <f t="shared" si="7"/>
        <v>2.4999999999999991</v>
      </c>
      <c r="J25" s="50">
        <f t="shared" si="0"/>
        <v>167.75174999999993</v>
      </c>
      <c r="K25" s="50">
        <f t="shared" si="1"/>
        <v>72.24825000000007</v>
      </c>
      <c r="L25" s="9">
        <f t="shared" si="8"/>
        <v>0.6989656249999997</v>
      </c>
      <c r="M25" s="16">
        <v>2</v>
      </c>
      <c r="O25" s="23" t="str">
        <f>IF(N25="","",ROUND(SUMIFS($I:$I,$A:$A,O$1,$B:$B,"*"&amp;$N25&amp;"*"),2))</f>
        <v/>
      </c>
      <c r="P25" s="23" t="str">
        <f>IF(O25="","",ROUND(SUMIFS($I:$I,$A:$A,P$1,$B:$B,"*"&amp;$N25&amp;"*"),2))</f>
        <v/>
      </c>
      <c r="Q25" s="23" t="str">
        <f>IF(P25="","",ROUND(SUMIFS($I:$I,$A:$A,Q$1,$B:$B,"*"&amp;$N25&amp;"*"),2))</f>
        <v/>
      </c>
      <c r="R25" s="23" t="str">
        <f>IF(Q25="","",ROUND(SUMIFS($I:$I,$A:$A,R$1,$B:$B,"*"&amp;$N25&amp;"*"),2))</f>
        <v/>
      </c>
      <c r="S25" s="23" t="str">
        <f>IF(R25="","",ROUND(SUMIFS($I:$I,$A:$A,S$1,$B:$B,"*"&amp;$N25&amp;"*"),2))</f>
        <v/>
      </c>
      <c r="T25" s="74" t="str">
        <f t="shared" si="2"/>
        <v/>
      </c>
    </row>
    <row r="26" spans="1:23" ht="25" customHeight="1">
      <c r="A26" s="38">
        <v>45756</v>
      </c>
      <c r="B26" s="15" t="s">
        <v>332</v>
      </c>
      <c r="C26" s="16" t="s">
        <v>146</v>
      </c>
      <c r="D26" s="5">
        <v>0.45833333333333331</v>
      </c>
      <c r="E26" s="5">
        <v>0.5625</v>
      </c>
      <c r="F26" s="6" t="s">
        <v>17</v>
      </c>
      <c r="G26" s="6">
        <f t="shared" si="6"/>
        <v>8.3333333333333356E-2</v>
      </c>
      <c r="H26" s="50">
        <f>_xlfn.IFNA(VLOOKUP(C:C,'Active Jobs'!B:K,8,0),"")</f>
        <v>250</v>
      </c>
      <c r="I26" s="8">
        <f t="shared" si="7"/>
        <v>2.0000000000000004</v>
      </c>
      <c r="J26" s="50">
        <f t="shared" si="0"/>
        <v>134.20140000000004</v>
      </c>
      <c r="K26" s="50">
        <f t="shared" si="1"/>
        <v>115.79859999999996</v>
      </c>
      <c r="L26" s="9">
        <f t="shared" si="8"/>
        <v>0.5368056000000001</v>
      </c>
      <c r="M26" s="16">
        <v>2</v>
      </c>
      <c r="O26" s="23" t="str">
        <f>IF(N26="","",ROUND(SUMIFS($I:$I,$A:$A,O$1,$B:$B,"*"&amp;$N26&amp;"*"),2))</f>
        <v/>
      </c>
      <c r="P26" s="23" t="str">
        <f>IF(O26="","",ROUND(SUMIFS($I:$I,$A:$A,P$1,$B:$B,"*"&amp;$N26&amp;"*"),2))</f>
        <v/>
      </c>
      <c r="Q26" s="23" t="str">
        <f>IF(P26="","",ROUND(SUMIFS($I:$I,$A:$A,Q$1,$B:$B,"*"&amp;$N26&amp;"*"),2))</f>
        <v/>
      </c>
      <c r="R26" s="23" t="str">
        <f>IF(Q26="","",ROUND(SUMIFS($I:$I,$A:$A,R$1,$B:$B,"*"&amp;$N26&amp;"*"),2))</f>
        <v/>
      </c>
      <c r="S26" s="23" t="str">
        <f>IF(R26="","",ROUND(SUMIFS($I:$I,$A:$A,S$1,$B:$B,"*"&amp;$N26&amp;"*"),2))</f>
        <v/>
      </c>
      <c r="T26" s="74" t="str">
        <f t="shared" si="2"/>
        <v/>
      </c>
    </row>
    <row r="27" spans="1:23" ht="25" customHeight="1">
      <c r="A27" s="38">
        <v>45756</v>
      </c>
      <c r="B27" s="15" t="s">
        <v>332</v>
      </c>
      <c r="C27" s="16" t="s">
        <v>25</v>
      </c>
      <c r="D27" s="5">
        <v>0.5625</v>
      </c>
      <c r="E27" s="5">
        <v>0.64583333333333337</v>
      </c>
      <c r="F27" s="6" t="str">
        <f t="shared" si="5"/>
        <v>No</v>
      </c>
      <c r="G27" s="6">
        <f t="shared" si="6"/>
        <v>8.333333333333337E-2</v>
      </c>
      <c r="H27" s="50">
        <f>_xlfn.IFNA(VLOOKUP(C:C,'Active Jobs'!B:K,8,0),"")</f>
        <v>220</v>
      </c>
      <c r="I27" s="8">
        <f t="shared" si="7"/>
        <v>2.0000000000000009</v>
      </c>
      <c r="J27" s="50">
        <f t="shared" si="0"/>
        <v>134.20140000000006</v>
      </c>
      <c r="K27" s="50">
        <f t="shared" si="1"/>
        <v>85.798599999999936</v>
      </c>
      <c r="L27" s="9">
        <f t="shared" si="8"/>
        <v>0.61000636363636396</v>
      </c>
      <c r="M27" s="16">
        <v>2</v>
      </c>
      <c r="O27" s="23" t="str">
        <f>IF(N27="","",ROUND(SUMIFS($I:$I,$A:$A,O$1,$B:$B,"*"&amp;$N27&amp;"*"),2))</f>
        <v/>
      </c>
      <c r="P27" s="23" t="str">
        <f>IF(O27="","",ROUND(SUMIFS($I:$I,$A:$A,P$1,$B:$B,"*"&amp;$N27&amp;"*"),2))</f>
        <v/>
      </c>
      <c r="Q27" s="23" t="str">
        <f>IF(P27="","",ROUND(SUMIFS($I:$I,$A:$A,Q$1,$B:$B,"*"&amp;$N27&amp;"*"),2))</f>
        <v/>
      </c>
      <c r="R27" s="23" t="str">
        <f>IF(Q27="","",ROUND(SUMIFS($I:$I,$A:$A,R$1,$B:$B,"*"&amp;$N27&amp;"*"),2))</f>
        <v/>
      </c>
      <c r="S27" s="23" t="str">
        <f>IF(R27="","",ROUND(SUMIFS($I:$I,$A:$A,S$1,$B:$B,"*"&amp;$N27&amp;"*"),2))</f>
        <v/>
      </c>
      <c r="T27" s="74" t="str">
        <f t="shared" si="2"/>
        <v/>
      </c>
    </row>
    <row r="28" spans="1:23" ht="25" customHeight="1">
      <c r="A28" s="38">
        <v>45756</v>
      </c>
      <c r="B28" s="15" t="s">
        <v>332</v>
      </c>
      <c r="C28" s="16" t="s">
        <v>147</v>
      </c>
      <c r="D28" s="5">
        <v>0.64583333333333337</v>
      </c>
      <c r="E28" s="5">
        <v>0.7055555555555556</v>
      </c>
      <c r="F28" s="6" t="str">
        <f t="shared" si="5"/>
        <v>No</v>
      </c>
      <c r="G28" s="6">
        <f t="shared" si="6"/>
        <v>5.9722222222222232E-2</v>
      </c>
      <c r="H28" s="50">
        <f>_xlfn.IFNA(VLOOKUP(C:C,'Active Jobs'!B:K,8,0),"")</f>
        <v>200</v>
      </c>
      <c r="I28" s="8">
        <f t="shared" si="7"/>
        <v>1.4333333333333336</v>
      </c>
      <c r="J28" s="50">
        <f t="shared" si="0"/>
        <v>96.177670000000006</v>
      </c>
      <c r="K28" s="50">
        <f t="shared" si="1"/>
        <v>103.82232999999999</v>
      </c>
      <c r="L28" s="9">
        <f t="shared" si="8"/>
        <v>0.48088835000000002</v>
      </c>
      <c r="M28" s="16">
        <v>2</v>
      </c>
      <c r="O28" s="23" t="str">
        <f>IF(N28="","",ROUND(SUMIFS($I:$I,$A:$A,O$1,$B:$B,"*"&amp;$N28&amp;"*"),2))</f>
        <v/>
      </c>
      <c r="P28" s="23" t="str">
        <f>IF(O28="","",ROUND(SUMIFS($I:$I,$A:$A,P$1,$B:$B,"*"&amp;$N28&amp;"*"),2))</f>
        <v/>
      </c>
      <c r="Q28" s="23" t="str">
        <f>IF(P28="","",ROUND(SUMIFS($I:$I,$A:$A,Q$1,$B:$B,"*"&amp;$N28&amp;"*"),2))</f>
        <v/>
      </c>
      <c r="R28" s="23" t="str">
        <f>IF(Q28="","",ROUND(SUMIFS($I:$I,$A:$A,R$1,$B:$B,"*"&amp;$N28&amp;"*"),2))</f>
        <v/>
      </c>
      <c r="S28" s="23" t="str">
        <f>IF(R28="","",ROUND(SUMIFS($I:$I,$A:$A,S$1,$B:$B,"*"&amp;$N28&amp;"*"),2))</f>
        <v/>
      </c>
      <c r="T28" s="74" t="str">
        <f t="shared" si="2"/>
        <v/>
      </c>
    </row>
    <row r="29" spans="1:23" ht="25" customHeight="1">
      <c r="A29" s="38">
        <v>45757</v>
      </c>
      <c r="B29" s="15" t="s">
        <v>334</v>
      </c>
      <c r="C29" s="16" t="s">
        <v>148</v>
      </c>
      <c r="D29" s="5">
        <v>0.35416666666666669</v>
      </c>
      <c r="E29" s="5">
        <v>0.44791666666666669</v>
      </c>
      <c r="F29" s="6" t="str">
        <f t="shared" si="5"/>
        <v>No</v>
      </c>
      <c r="G29" s="6">
        <f t="shared" si="6"/>
        <v>9.375E-2</v>
      </c>
      <c r="H29" s="50">
        <f>_xlfn.IFNA(VLOOKUP(C:C,'Active Jobs'!B:K,8,0),"")</f>
        <v>200</v>
      </c>
      <c r="I29" s="8">
        <f t="shared" si="7"/>
        <v>2.25</v>
      </c>
      <c r="J29" s="50">
        <f t="shared" si="0"/>
        <v>150.976575</v>
      </c>
      <c r="K29" s="50">
        <f t="shared" si="1"/>
        <v>49.023425000000003</v>
      </c>
      <c r="L29" s="9">
        <f t="shared" si="8"/>
        <v>0.75488287499999995</v>
      </c>
      <c r="M29" s="16">
        <v>3</v>
      </c>
      <c r="O29" s="23" t="str">
        <f>IF(N29="","",ROUND(SUMIFS($I:$I,$A:$A,O$1,$B:$B,"*"&amp;$N29&amp;"*"),2))</f>
        <v/>
      </c>
      <c r="P29" s="23" t="str">
        <f>IF(O29="","",ROUND(SUMIFS($I:$I,$A:$A,P$1,$B:$B,"*"&amp;$N29&amp;"*"),2))</f>
        <v/>
      </c>
      <c r="Q29" s="23" t="str">
        <f>IF(P29="","",ROUND(SUMIFS($I:$I,$A:$A,Q$1,$B:$B,"*"&amp;$N29&amp;"*"),2))</f>
        <v/>
      </c>
      <c r="R29" s="23" t="str">
        <f>IF(Q29="","",ROUND(SUMIFS($I:$I,$A:$A,R$1,$B:$B,"*"&amp;$N29&amp;"*"),2))</f>
        <v/>
      </c>
      <c r="S29" s="23" t="str">
        <f>IF(R29="","",ROUND(SUMIFS($I:$I,$A:$A,S$1,$B:$B,"*"&amp;$N29&amp;"*"),2))</f>
        <v/>
      </c>
      <c r="T29" s="74" t="str">
        <f t="shared" si="2"/>
        <v/>
      </c>
    </row>
    <row r="30" spans="1:23" ht="25" customHeight="1">
      <c r="A30" s="38">
        <v>45757</v>
      </c>
      <c r="B30" s="15" t="s">
        <v>334</v>
      </c>
      <c r="C30" s="16" t="s">
        <v>149</v>
      </c>
      <c r="D30" s="5">
        <v>0.44791666666666669</v>
      </c>
      <c r="E30" s="5">
        <v>0.59375</v>
      </c>
      <c r="F30" s="6" t="s">
        <v>17</v>
      </c>
      <c r="G30" s="6">
        <f t="shared" si="6"/>
        <v>0.12499999999999999</v>
      </c>
      <c r="H30" s="50">
        <v>380</v>
      </c>
      <c r="I30" s="8">
        <f t="shared" si="7"/>
        <v>2.9999999999999996</v>
      </c>
      <c r="J30" s="50">
        <f t="shared" si="0"/>
        <v>201.30209999999997</v>
      </c>
      <c r="K30" s="50">
        <f t="shared" si="1"/>
        <v>178.69790000000003</v>
      </c>
      <c r="L30" s="9">
        <f t="shared" si="8"/>
        <v>0.5297423684210526</v>
      </c>
      <c r="M30" s="16">
        <v>3</v>
      </c>
      <c r="O30" s="23" t="str">
        <f>IF(N30="","",ROUND(SUMIFS($I:$I,$A:$A,O$1,$B:$B,"*"&amp;$N30&amp;"*"),2))</f>
        <v/>
      </c>
      <c r="P30" s="23" t="str">
        <f>IF(O30="","",ROUND(SUMIFS($I:$I,$A:$A,P$1,$B:$B,"*"&amp;$N30&amp;"*"),2))</f>
        <v/>
      </c>
      <c r="Q30" s="23" t="str">
        <f>IF(P30="","",ROUND(SUMIFS($I:$I,$A:$A,Q$1,$B:$B,"*"&amp;$N30&amp;"*"),2))</f>
        <v/>
      </c>
      <c r="R30" s="23" t="str">
        <f>IF(Q30="","",ROUND(SUMIFS($I:$I,$A:$A,R$1,$B:$B,"*"&amp;$N30&amp;"*"),2))</f>
        <v/>
      </c>
      <c r="S30" s="23" t="str">
        <f>IF(R30="","",ROUND(SUMIFS($I:$I,$A:$A,S$1,$B:$B,"*"&amp;$N30&amp;"*"),2))</f>
        <v/>
      </c>
      <c r="T30" s="74" t="str">
        <f t="shared" si="2"/>
        <v/>
      </c>
    </row>
    <row r="31" spans="1:23" ht="25" customHeight="1">
      <c r="A31" s="38">
        <v>45757</v>
      </c>
      <c r="B31" s="15" t="s">
        <v>334</v>
      </c>
      <c r="C31" s="16" t="s">
        <v>48</v>
      </c>
      <c r="D31" s="5">
        <v>0.59375</v>
      </c>
      <c r="E31" s="5">
        <v>0.67708333333333337</v>
      </c>
      <c r="F31" s="6" t="str">
        <f t="shared" si="5"/>
        <v>No</v>
      </c>
      <c r="G31" s="6">
        <f t="shared" si="6"/>
        <v>8.333333333333337E-2</v>
      </c>
      <c r="H31" s="50">
        <f>_xlfn.IFNA(VLOOKUP(C:C,'Active Jobs'!B:K,8,0),"")</f>
        <v>215</v>
      </c>
      <c r="I31" s="8">
        <f t="shared" si="7"/>
        <v>2.0000000000000009</v>
      </c>
      <c r="J31" s="50">
        <f t="shared" si="0"/>
        <v>134.20140000000006</v>
      </c>
      <c r="K31" s="50">
        <f t="shared" si="1"/>
        <v>80.798599999999936</v>
      </c>
      <c r="L31" s="9">
        <f t="shared" si="8"/>
        <v>0.62419255813953523</v>
      </c>
      <c r="M31" s="16">
        <v>3</v>
      </c>
      <c r="O31" s="23" t="str">
        <f>IF(N31="","",ROUND(SUMIFS($I:$I,$A:$A,O$1,$B:$B,"*"&amp;$N31&amp;"*"),2))</f>
        <v/>
      </c>
      <c r="P31" s="23" t="str">
        <f>IF(O31="","",ROUND(SUMIFS($I:$I,$A:$A,P$1,$B:$B,"*"&amp;$N31&amp;"*"),2))</f>
        <v/>
      </c>
      <c r="Q31" s="23" t="str">
        <f>IF(P31="","",ROUND(SUMIFS($I:$I,$A:$A,Q$1,$B:$B,"*"&amp;$N31&amp;"*"),2))</f>
        <v/>
      </c>
      <c r="R31" s="23" t="str">
        <f>IF(Q31="","",ROUND(SUMIFS($I:$I,$A:$A,R$1,$B:$B,"*"&amp;$N31&amp;"*"),2))</f>
        <v/>
      </c>
      <c r="S31" s="23" t="str">
        <f>IF(R31="","",ROUND(SUMIFS($I:$I,$A:$A,S$1,$B:$B,"*"&amp;$N31&amp;"*"),2))</f>
        <v/>
      </c>
      <c r="T31" s="74" t="str">
        <f t="shared" si="2"/>
        <v/>
      </c>
    </row>
    <row r="32" spans="1:23" ht="25" customHeight="1">
      <c r="A32" s="38">
        <v>45757</v>
      </c>
      <c r="B32" s="15" t="s">
        <v>334</v>
      </c>
      <c r="C32" s="16" t="s">
        <v>150</v>
      </c>
      <c r="D32" s="5">
        <v>0.67708333333333337</v>
      </c>
      <c r="E32" s="5">
        <v>0.75694444444444442</v>
      </c>
      <c r="F32" s="6" t="str">
        <f t="shared" si="5"/>
        <v>No</v>
      </c>
      <c r="G32" s="6">
        <f t="shared" si="6"/>
        <v>7.9861111111111049E-2</v>
      </c>
      <c r="H32" s="50">
        <v>200</v>
      </c>
      <c r="I32" s="8">
        <f t="shared" si="7"/>
        <v>1.9166666666666652</v>
      </c>
      <c r="J32" s="50">
        <f t="shared" si="0"/>
        <v>128.6096749999999</v>
      </c>
      <c r="K32" s="50">
        <f t="shared" si="1"/>
        <v>71.390325000000104</v>
      </c>
      <c r="L32" s="9">
        <f t="shared" si="8"/>
        <v>0.64304837499999945</v>
      </c>
      <c r="M32" s="16">
        <v>3</v>
      </c>
      <c r="O32" s="23" t="str">
        <f>IF(N32="","",ROUND(SUMIFS($I:$I,$A:$A,O$1,$B:$B,"*"&amp;$N32&amp;"*"),2))</f>
        <v/>
      </c>
      <c r="P32" s="23" t="str">
        <f>IF(O32="","",ROUND(SUMIFS($I:$I,$A:$A,P$1,$B:$B,"*"&amp;$N32&amp;"*"),2))</f>
        <v/>
      </c>
      <c r="Q32" s="23" t="str">
        <f>IF(P32="","",ROUND(SUMIFS($I:$I,$A:$A,Q$1,$B:$B,"*"&amp;$N32&amp;"*"),2))</f>
        <v/>
      </c>
      <c r="R32" s="23" t="str">
        <f>IF(Q32="","",ROUND(SUMIFS($I:$I,$A:$A,R$1,$B:$B,"*"&amp;$N32&amp;"*"),2))</f>
        <v/>
      </c>
      <c r="S32" s="23" t="str">
        <f>IF(R32="","",ROUND(SUMIFS($I:$I,$A:$A,S$1,$B:$B,"*"&amp;$N32&amp;"*"),2))</f>
        <v/>
      </c>
      <c r="T32" s="74" t="str">
        <f t="shared" si="2"/>
        <v/>
      </c>
    </row>
    <row r="33" spans="1:20" ht="25" customHeight="1">
      <c r="A33" s="38">
        <v>45757</v>
      </c>
      <c r="B33" s="15" t="s">
        <v>332</v>
      </c>
      <c r="C33" s="16" t="s">
        <v>151</v>
      </c>
      <c r="D33" s="5">
        <v>0.35416666666666669</v>
      </c>
      <c r="E33" s="5">
        <v>0.45833333333333331</v>
      </c>
      <c r="F33" s="6" t="str">
        <f t="shared" si="5"/>
        <v>No</v>
      </c>
      <c r="G33" s="6">
        <f t="shared" si="6"/>
        <v>0.10416666666666663</v>
      </c>
      <c r="H33" s="50">
        <f>_xlfn.IFNA(VLOOKUP(C:C,'Active Jobs'!B:K,8,0),"")</f>
        <v>250</v>
      </c>
      <c r="I33" s="8">
        <f t="shared" si="7"/>
        <v>2.4999999999999991</v>
      </c>
      <c r="J33" s="50">
        <f t="shared" si="0"/>
        <v>167.75174999999993</v>
      </c>
      <c r="K33" s="50">
        <f t="shared" si="1"/>
        <v>82.24825000000007</v>
      </c>
      <c r="L33" s="9">
        <f t="shared" si="8"/>
        <v>0.67100699999999969</v>
      </c>
      <c r="M33" s="16">
        <v>2</v>
      </c>
      <c r="O33" s="23" t="str">
        <f>IF(N33="","",ROUND(SUMIFS($I:$I,$A:$A,O$1,$B:$B,"*"&amp;$N33&amp;"*"),2))</f>
        <v/>
      </c>
      <c r="P33" s="23" t="str">
        <f>IF(O33="","",ROUND(SUMIFS($I:$I,$A:$A,P$1,$B:$B,"*"&amp;$N33&amp;"*"),2))</f>
        <v/>
      </c>
      <c r="Q33" s="23" t="str">
        <f>IF(P33="","",ROUND(SUMIFS($I:$I,$A:$A,Q$1,$B:$B,"*"&amp;$N33&amp;"*"),2))</f>
        <v/>
      </c>
      <c r="R33" s="23" t="str">
        <f>IF(Q33="","",ROUND(SUMIFS($I:$I,$A:$A,R$1,$B:$B,"*"&amp;$N33&amp;"*"),2))</f>
        <v/>
      </c>
      <c r="S33" s="23" t="str">
        <f>IF(R33="","",ROUND(SUMIFS($I:$I,$A:$A,S$1,$B:$B,"*"&amp;$N33&amp;"*"),2))</f>
        <v/>
      </c>
      <c r="T33" s="74" t="str">
        <f t="shared" si="2"/>
        <v/>
      </c>
    </row>
    <row r="34" spans="1:20" ht="25" customHeight="1">
      <c r="A34" s="38">
        <v>45757</v>
      </c>
      <c r="B34" s="15" t="s">
        <v>332</v>
      </c>
      <c r="C34" s="16" t="s">
        <v>152</v>
      </c>
      <c r="D34" s="5">
        <v>0.45833333333333331</v>
      </c>
      <c r="E34" s="5">
        <v>0.55555555555555558</v>
      </c>
      <c r="F34" s="6" t="s">
        <v>17</v>
      </c>
      <c r="G34" s="6">
        <f t="shared" si="6"/>
        <v>7.6388888888888937E-2</v>
      </c>
      <c r="H34" s="50">
        <f>_xlfn.IFNA(VLOOKUP(C:C,'Active Jobs'!B:K,8,0),"")</f>
        <v>220</v>
      </c>
      <c r="I34" s="8">
        <f t="shared" si="7"/>
        <v>1.8333333333333344</v>
      </c>
      <c r="J34" s="50">
        <f t="shared" si="0"/>
        <v>123.01795000000006</v>
      </c>
      <c r="K34" s="50">
        <f t="shared" si="1"/>
        <v>96.982049999999944</v>
      </c>
      <c r="L34" s="9">
        <f t="shared" si="8"/>
        <v>0.55917250000000029</v>
      </c>
      <c r="M34" s="16">
        <v>2</v>
      </c>
      <c r="O34" s="23" t="str">
        <f>IF(N34="","",ROUND(SUMIFS($I:$I,$A:$A,O$1,$B:$B,"*"&amp;$N34&amp;"*"),2))</f>
        <v/>
      </c>
      <c r="P34" s="23" t="str">
        <f>IF(O34="","",ROUND(SUMIFS($I:$I,$A:$A,P$1,$B:$B,"*"&amp;$N34&amp;"*"),2))</f>
        <v/>
      </c>
      <c r="Q34" s="23" t="str">
        <f>IF(P34="","",ROUND(SUMIFS($I:$I,$A:$A,Q$1,$B:$B,"*"&amp;$N34&amp;"*"),2))</f>
        <v/>
      </c>
      <c r="R34" s="23" t="str">
        <f>IF(Q34="","",ROUND(SUMIFS($I:$I,$A:$A,R$1,$B:$B,"*"&amp;$N34&amp;"*"),2))</f>
        <v/>
      </c>
      <c r="S34" s="23" t="str">
        <f>IF(R34="","",ROUND(SUMIFS($I:$I,$A:$A,S$1,$B:$B,"*"&amp;$N34&amp;"*"),2))</f>
        <v/>
      </c>
      <c r="T34" s="74" t="str">
        <f t="shared" si="2"/>
        <v/>
      </c>
    </row>
    <row r="35" spans="1:20" ht="25" customHeight="1">
      <c r="A35" s="38">
        <v>45757</v>
      </c>
      <c r="B35" s="15" t="s">
        <v>332</v>
      </c>
      <c r="C35" s="16" t="s">
        <v>39</v>
      </c>
      <c r="D35" s="5">
        <v>0.55555555555555558</v>
      </c>
      <c r="E35" s="5">
        <v>0.63888888888888884</v>
      </c>
      <c r="F35" s="6" t="str">
        <f t="shared" si="5"/>
        <v>No</v>
      </c>
      <c r="G35" s="6">
        <f t="shared" si="6"/>
        <v>8.3333333333333259E-2</v>
      </c>
      <c r="H35" s="50">
        <f>_xlfn.IFNA(VLOOKUP(C:C,'Active Jobs'!B:K,8,0),"")</f>
        <v>200</v>
      </c>
      <c r="I35" s="8">
        <f t="shared" si="7"/>
        <v>1.9999999999999982</v>
      </c>
      <c r="J35" s="50">
        <f t="shared" si="0"/>
        <v>134.20139999999986</v>
      </c>
      <c r="K35" s="50">
        <f t="shared" si="1"/>
        <v>65.798600000000135</v>
      </c>
      <c r="L35" s="9">
        <f t="shared" si="8"/>
        <v>0.67100699999999935</v>
      </c>
      <c r="M35" s="16">
        <v>2</v>
      </c>
      <c r="O35" s="23" t="str">
        <f>IF(N35="","",ROUND(SUMIFS($I:$I,$A:$A,O$1,$B:$B,"*"&amp;$N35&amp;"*"),2))</f>
        <v/>
      </c>
      <c r="P35" s="23" t="str">
        <f>IF(O35="","",ROUND(SUMIFS($I:$I,$A:$A,P$1,$B:$B,"*"&amp;$N35&amp;"*"),2))</f>
        <v/>
      </c>
      <c r="Q35" s="23" t="str">
        <f>IF(P35="","",ROUND(SUMIFS($I:$I,$A:$A,Q$1,$B:$B,"*"&amp;$N35&amp;"*"),2))</f>
        <v/>
      </c>
      <c r="R35" s="23" t="str">
        <f>IF(Q35="","",ROUND(SUMIFS($I:$I,$A:$A,R$1,$B:$B,"*"&amp;$N35&amp;"*"),2))</f>
        <v/>
      </c>
      <c r="S35" s="23" t="str">
        <f>IF(R35="","",ROUND(SUMIFS($I:$I,$A:$A,S$1,$B:$B,"*"&amp;$N35&amp;"*"),2))</f>
        <v/>
      </c>
      <c r="T35" s="74" t="str">
        <f t="shared" si="2"/>
        <v/>
      </c>
    </row>
    <row r="36" spans="1:20" ht="25" customHeight="1">
      <c r="A36" s="38">
        <v>45757</v>
      </c>
      <c r="B36" s="15" t="s">
        <v>332</v>
      </c>
      <c r="C36" s="16" t="s">
        <v>22</v>
      </c>
      <c r="D36" s="5">
        <v>0.63888888888888884</v>
      </c>
      <c r="E36" s="5">
        <v>0.72916666666666663</v>
      </c>
      <c r="F36" s="6" t="str">
        <f t="shared" si="5"/>
        <v>No</v>
      </c>
      <c r="G36" s="6">
        <f t="shared" si="6"/>
        <v>9.027777777777779E-2</v>
      </c>
      <c r="H36" s="50">
        <f>_xlfn.IFNA(VLOOKUP(C:C,'Active Jobs'!B:K,8,0),"")</f>
        <v>380</v>
      </c>
      <c r="I36" s="8">
        <f t="shared" si="7"/>
        <v>2.166666666666667</v>
      </c>
      <c r="J36" s="50">
        <f t="shared" si="0"/>
        <v>145.38485000000003</v>
      </c>
      <c r="K36" s="50">
        <f t="shared" si="1"/>
        <v>234.61514999999997</v>
      </c>
      <c r="L36" s="9">
        <f t="shared" si="8"/>
        <v>0.38259171052631585</v>
      </c>
      <c r="M36" s="16">
        <v>2</v>
      </c>
      <c r="O36" s="23" t="str">
        <f>IF(N36="","",ROUND(SUMIFS($I:$I,$A:$A,O$1,$B:$B,"*"&amp;$N36&amp;"*"),2))</f>
        <v/>
      </c>
      <c r="P36" s="23" t="str">
        <f>IF(O36="","",ROUND(SUMIFS($I:$I,$A:$A,P$1,$B:$B,"*"&amp;$N36&amp;"*"),2))</f>
        <v/>
      </c>
      <c r="Q36" s="23" t="str">
        <f>IF(P36="","",ROUND(SUMIFS($I:$I,$A:$A,Q$1,$B:$B,"*"&amp;$N36&amp;"*"),2))</f>
        <v/>
      </c>
      <c r="R36" s="23" t="str">
        <f>IF(Q36="","",ROUND(SUMIFS($I:$I,$A:$A,R$1,$B:$B,"*"&amp;$N36&amp;"*"),2))</f>
        <v/>
      </c>
      <c r="S36" s="23" t="str">
        <f>IF(R36="","",ROUND(SUMIFS($I:$I,$A:$A,S$1,$B:$B,"*"&amp;$N36&amp;"*"),2))</f>
        <v/>
      </c>
      <c r="T36" s="74" t="str">
        <f t="shared" si="2"/>
        <v/>
      </c>
    </row>
    <row r="37" spans="1:20" ht="25" customHeight="1">
      <c r="A37" s="38">
        <v>45757</v>
      </c>
      <c r="B37" s="15" t="s">
        <v>338</v>
      </c>
      <c r="C37" s="16" t="s">
        <v>107</v>
      </c>
      <c r="D37" s="5">
        <v>0.35416666666666669</v>
      </c>
      <c r="E37" s="5">
        <v>0.47916666666666669</v>
      </c>
      <c r="F37" s="6" t="str">
        <f t="shared" si="5"/>
        <v>No</v>
      </c>
      <c r="G37" s="6">
        <f t="shared" si="6"/>
        <v>0.125</v>
      </c>
      <c r="H37" s="50">
        <v>290</v>
      </c>
      <c r="I37" s="8">
        <f t="shared" si="7"/>
        <v>3</v>
      </c>
      <c r="J37" s="50">
        <f t="shared" si="0"/>
        <v>201.3021</v>
      </c>
      <c r="K37" s="50">
        <f t="shared" si="1"/>
        <v>88.697900000000004</v>
      </c>
      <c r="L37" s="9">
        <f t="shared" si="8"/>
        <v>0.69414517241379314</v>
      </c>
      <c r="M37" s="16">
        <v>1</v>
      </c>
      <c r="O37" s="23" t="str">
        <f>IF(N37="","",ROUND(SUMIFS($I:$I,$A:$A,O$1,$B:$B,"*"&amp;$N37&amp;"*"),2))</f>
        <v/>
      </c>
      <c r="P37" s="23" t="str">
        <f>IF(O37="","",ROUND(SUMIFS($I:$I,$A:$A,P$1,$B:$B,"*"&amp;$N37&amp;"*"),2))</f>
        <v/>
      </c>
      <c r="Q37" s="23" t="str">
        <f>IF(P37="","",ROUND(SUMIFS($I:$I,$A:$A,Q$1,$B:$B,"*"&amp;$N37&amp;"*"),2))</f>
        <v/>
      </c>
      <c r="R37" s="23" t="str">
        <f>IF(Q37="","",ROUND(SUMIFS($I:$I,$A:$A,R$1,$B:$B,"*"&amp;$N37&amp;"*"),2))</f>
        <v/>
      </c>
      <c r="S37" s="23" t="str">
        <f>IF(R37="","",ROUND(SUMIFS($I:$I,$A:$A,S$1,$B:$B,"*"&amp;$N37&amp;"*"),2))</f>
        <v/>
      </c>
      <c r="T37" s="74" t="str">
        <f t="shared" si="2"/>
        <v/>
      </c>
    </row>
    <row r="38" spans="1:20" ht="25" customHeight="1">
      <c r="A38" s="38">
        <v>45757</v>
      </c>
      <c r="B38" s="15" t="s">
        <v>338</v>
      </c>
      <c r="C38" s="16" t="s">
        <v>113</v>
      </c>
      <c r="D38" s="5">
        <v>0.47916666666666669</v>
      </c>
      <c r="E38" s="5">
        <v>0.57638888888888884</v>
      </c>
      <c r="F38" s="6" t="s">
        <v>17</v>
      </c>
      <c r="G38" s="6">
        <f t="shared" si="6"/>
        <v>7.6388888888888826E-2</v>
      </c>
      <c r="H38" s="50">
        <f>_xlfn.IFNA(VLOOKUP(C:C,'Active Jobs'!B:K,8,0),"")</f>
        <v>230</v>
      </c>
      <c r="I38" s="8">
        <f t="shared" si="7"/>
        <v>1.8333333333333317</v>
      </c>
      <c r="J38" s="50">
        <f t="shared" si="0"/>
        <v>123.01794999999989</v>
      </c>
      <c r="K38" s="50">
        <f t="shared" si="1"/>
        <v>106.98205000000011</v>
      </c>
      <c r="L38" s="9">
        <f t="shared" si="8"/>
        <v>0.53486065217391254</v>
      </c>
      <c r="M38" s="16">
        <v>1</v>
      </c>
      <c r="O38" s="23" t="str">
        <f>IF(N38="","",ROUND(SUMIFS($I:$I,$A:$A,O$1,$B:$B,"*"&amp;$N38&amp;"*"),2))</f>
        <v/>
      </c>
      <c r="P38" s="23" t="str">
        <f>IF(O38="","",ROUND(SUMIFS($I:$I,$A:$A,P$1,$B:$B,"*"&amp;$N38&amp;"*"),2))</f>
        <v/>
      </c>
      <c r="Q38" s="23" t="str">
        <f>IF(P38="","",ROUND(SUMIFS($I:$I,$A:$A,Q$1,$B:$B,"*"&amp;$N38&amp;"*"),2))</f>
        <v/>
      </c>
      <c r="R38" s="23" t="str">
        <f>IF(Q38="","",ROUND(SUMIFS($I:$I,$A:$A,R$1,$B:$B,"*"&amp;$N38&amp;"*"),2))</f>
        <v/>
      </c>
      <c r="S38" s="23" t="str">
        <f>IF(R38="","",ROUND(SUMIFS($I:$I,$A:$A,S$1,$B:$B,"*"&amp;$N38&amp;"*"),2))</f>
        <v/>
      </c>
      <c r="T38" s="74" t="str">
        <f t="shared" si="2"/>
        <v/>
      </c>
    </row>
    <row r="39" spans="1:20" ht="25" customHeight="1">
      <c r="A39" s="38">
        <v>45757</v>
      </c>
      <c r="B39" s="15" t="s">
        <v>338</v>
      </c>
      <c r="C39" s="16" t="s">
        <v>51</v>
      </c>
      <c r="D39" s="5">
        <v>0.57638888888888884</v>
      </c>
      <c r="E39" s="5">
        <v>0.64930555555555558</v>
      </c>
      <c r="F39" s="6" t="str">
        <f t="shared" si="5"/>
        <v>No</v>
      </c>
      <c r="G39" s="6">
        <f t="shared" si="6"/>
        <v>7.2916666666666741E-2</v>
      </c>
      <c r="H39" s="50">
        <f>_xlfn.IFNA(VLOOKUP(C:C,'Active Jobs'!B:K,8,0),"")</f>
        <v>250</v>
      </c>
      <c r="I39" s="8">
        <f t="shared" si="7"/>
        <v>1.7500000000000018</v>
      </c>
      <c r="J39" s="50">
        <f t="shared" si="0"/>
        <v>117.42622500000013</v>
      </c>
      <c r="K39" s="50">
        <f t="shared" si="1"/>
        <v>132.57377499999987</v>
      </c>
      <c r="L39" s="9">
        <f t="shared" si="8"/>
        <v>0.46970490000000054</v>
      </c>
      <c r="M39" s="16">
        <v>1</v>
      </c>
      <c r="O39" s="23" t="str">
        <f>IF(N39="","",ROUND(SUMIFS($I:$I,$A:$A,O$1,$B:$B,"*"&amp;$N39&amp;"*"),2))</f>
        <v/>
      </c>
      <c r="P39" s="23" t="str">
        <f>IF(O39="","",ROUND(SUMIFS($I:$I,$A:$A,P$1,$B:$B,"*"&amp;$N39&amp;"*"),2))</f>
        <v/>
      </c>
      <c r="Q39" s="23" t="str">
        <f>IF(P39="","",ROUND(SUMIFS($I:$I,$A:$A,Q$1,$B:$B,"*"&amp;$N39&amp;"*"),2))</f>
        <v/>
      </c>
      <c r="R39" s="23" t="str">
        <f>IF(Q39="","",ROUND(SUMIFS($I:$I,$A:$A,R$1,$B:$B,"*"&amp;$N39&amp;"*"),2))</f>
        <v/>
      </c>
      <c r="S39" s="23" t="str">
        <f>IF(R39="","",ROUND(SUMIFS($I:$I,$A:$A,S$1,$B:$B,"*"&amp;$N39&amp;"*"),2))</f>
        <v/>
      </c>
      <c r="T39" s="74" t="str">
        <f t="shared" si="2"/>
        <v/>
      </c>
    </row>
    <row r="40" spans="1:20" ht="25" customHeight="1">
      <c r="A40" s="38">
        <v>45758</v>
      </c>
      <c r="B40" s="15" t="s">
        <v>334</v>
      </c>
      <c r="C40" s="16" t="s">
        <v>47</v>
      </c>
      <c r="D40" s="5">
        <v>0.35416666666666669</v>
      </c>
      <c r="E40" s="5">
        <v>0.44791666666666669</v>
      </c>
      <c r="F40" s="6" t="str">
        <f t="shared" si="5"/>
        <v>No</v>
      </c>
      <c r="G40" s="6">
        <f t="shared" si="6"/>
        <v>9.375E-2</v>
      </c>
      <c r="H40" s="50">
        <f>_xlfn.IFNA(VLOOKUP(C:C,'Active Jobs'!B:K,8,0),"")</f>
        <v>200</v>
      </c>
      <c r="I40" s="8">
        <f t="shared" si="7"/>
        <v>2.25</v>
      </c>
      <c r="J40" s="50">
        <f t="shared" si="0"/>
        <v>150.976575</v>
      </c>
      <c r="K40" s="50">
        <f t="shared" si="1"/>
        <v>49.023425000000003</v>
      </c>
      <c r="L40" s="9">
        <f t="shared" si="8"/>
        <v>0.75488287499999995</v>
      </c>
      <c r="M40" s="16">
        <v>3</v>
      </c>
    </row>
    <row r="41" spans="1:20" ht="25" customHeight="1">
      <c r="A41" s="38">
        <v>45758</v>
      </c>
      <c r="B41" s="15" t="s">
        <v>334</v>
      </c>
      <c r="C41" s="16" t="s">
        <v>153</v>
      </c>
      <c r="D41" s="5">
        <v>0.44791666666666669</v>
      </c>
      <c r="E41" s="5">
        <v>0.55208333333333337</v>
      </c>
      <c r="F41" s="6" t="s">
        <v>17</v>
      </c>
      <c r="G41" s="6">
        <f t="shared" si="6"/>
        <v>8.3333333333333356E-2</v>
      </c>
      <c r="H41" s="50">
        <v>200</v>
      </c>
      <c r="I41" s="8">
        <f t="shared" si="7"/>
        <v>2.0000000000000004</v>
      </c>
      <c r="J41" s="50">
        <f t="shared" si="0"/>
        <v>134.20140000000004</v>
      </c>
      <c r="K41" s="50">
        <f t="shared" si="1"/>
        <v>65.798599999999965</v>
      </c>
      <c r="L41" s="9">
        <f t="shared" si="8"/>
        <v>0.67100700000000013</v>
      </c>
      <c r="M41" s="16">
        <v>3</v>
      </c>
    </row>
    <row r="42" spans="1:20" ht="25" customHeight="1">
      <c r="A42" s="38">
        <v>45758</v>
      </c>
      <c r="B42" s="15" t="s">
        <v>334</v>
      </c>
      <c r="C42" s="16" t="s">
        <v>154</v>
      </c>
      <c r="D42" s="5">
        <v>0.55208333333333337</v>
      </c>
      <c r="E42" s="5">
        <v>0.65277777777777779</v>
      </c>
      <c r="F42" s="6" t="str">
        <f t="shared" si="5"/>
        <v>No</v>
      </c>
      <c r="G42" s="6">
        <f t="shared" si="6"/>
        <v>0.10069444444444442</v>
      </c>
      <c r="H42" s="50">
        <v>215</v>
      </c>
      <c r="I42" s="8">
        <f t="shared" si="7"/>
        <v>2.4166666666666661</v>
      </c>
      <c r="J42" s="50">
        <f t="shared" si="0"/>
        <v>162.16002499999996</v>
      </c>
      <c r="K42" s="50">
        <f t="shared" si="1"/>
        <v>52.839975000000038</v>
      </c>
      <c r="L42" s="9">
        <f t="shared" si="8"/>
        <v>0.75423267441860442</v>
      </c>
      <c r="M42" s="16">
        <v>3</v>
      </c>
    </row>
    <row r="43" spans="1:20" ht="25" customHeight="1">
      <c r="A43" s="38">
        <v>45758</v>
      </c>
      <c r="B43" s="15" t="s">
        <v>332</v>
      </c>
      <c r="C43" s="16" t="s">
        <v>126</v>
      </c>
      <c r="D43" s="5">
        <v>0.35416666666666669</v>
      </c>
      <c r="E43" s="5">
        <v>0.45833333333333331</v>
      </c>
      <c r="F43" s="6" t="str">
        <f t="shared" si="5"/>
        <v>No</v>
      </c>
      <c r="G43" s="6">
        <f t="shared" si="6"/>
        <v>0.10416666666666663</v>
      </c>
      <c r="H43" s="50">
        <f>_xlfn.IFNA(VLOOKUP(C:C,'Active Jobs'!B:K,8,0),"")</f>
        <v>250</v>
      </c>
      <c r="I43" s="8">
        <f t="shared" si="7"/>
        <v>2.4999999999999991</v>
      </c>
      <c r="J43" s="50">
        <f t="shared" si="0"/>
        <v>167.75174999999993</v>
      </c>
      <c r="K43" s="50">
        <f t="shared" si="1"/>
        <v>82.24825000000007</v>
      </c>
      <c r="L43" s="9">
        <f t="shared" si="8"/>
        <v>0.67100699999999969</v>
      </c>
      <c r="M43" s="16">
        <v>2</v>
      </c>
    </row>
    <row r="44" spans="1:20" ht="25" customHeight="1">
      <c r="A44" s="38">
        <v>45758</v>
      </c>
      <c r="B44" s="15" t="s">
        <v>332</v>
      </c>
      <c r="C44" s="16" t="s">
        <v>155</v>
      </c>
      <c r="D44" s="5">
        <v>0.45833333333333331</v>
      </c>
      <c r="E44" s="5">
        <v>0.55069444444444449</v>
      </c>
      <c r="F44" s="6" t="str">
        <f t="shared" si="5"/>
        <v>No</v>
      </c>
      <c r="G44" s="6">
        <f t="shared" si="6"/>
        <v>9.2361111111111172E-2</v>
      </c>
      <c r="H44" s="50">
        <f>_xlfn.IFNA(VLOOKUP(C:C,'Active Jobs'!B:K,8,0),"")</f>
        <v>220</v>
      </c>
      <c r="I44" s="8">
        <f t="shared" si="7"/>
        <v>2.2166666666666681</v>
      </c>
      <c r="J44" s="50">
        <f t="shared" si="0"/>
        <v>148.7398850000001</v>
      </c>
      <c r="K44" s="50">
        <f t="shared" si="1"/>
        <v>71.2601149999999</v>
      </c>
      <c r="L44" s="9">
        <f t="shared" si="8"/>
        <v>0.67609038636363683</v>
      </c>
      <c r="M44" s="16">
        <v>2</v>
      </c>
    </row>
    <row r="45" spans="1:20" ht="25" customHeight="1">
      <c r="A45" s="38">
        <v>45758</v>
      </c>
      <c r="B45" s="15" t="s">
        <v>338</v>
      </c>
      <c r="C45" s="16" t="s">
        <v>52</v>
      </c>
      <c r="D45" s="5">
        <v>0.35416666666666669</v>
      </c>
      <c r="E45" s="5">
        <v>0.45833333333333331</v>
      </c>
      <c r="F45" s="6" t="str">
        <f t="shared" si="5"/>
        <v>No</v>
      </c>
      <c r="G45" s="6">
        <f t="shared" si="6"/>
        <v>0.10416666666666663</v>
      </c>
      <c r="H45" s="50">
        <f>_xlfn.IFNA(VLOOKUP(C:C,'Active Jobs'!B:K,8,0),"")</f>
        <v>220</v>
      </c>
      <c r="I45" s="8">
        <f t="shared" si="7"/>
        <v>2.4999999999999991</v>
      </c>
      <c r="J45" s="50">
        <f t="shared" si="0"/>
        <v>167.75174999999993</v>
      </c>
      <c r="K45" s="50">
        <f t="shared" si="1"/>
        <v>52.24825000000007</v>
      </c>
      <c r="L45" s="9">
        <f t="shared" si="8"/>
        <v>0.76250795454545428</v>
      </c>
      <c r="M45" s="16">
        <v>1</v>
      </c>
    </row>
    <row r="46" spans="1:20" ht="25" customHeight="1">
      <c r="A46" s="38">
        <v>45758</v>
      </c>
      <c r="B46" s="15" t="s">
        <v>338</v>
      </c>
      <c r="C46" s="16" t="s">
        <v>55</v>
      </c>
      <c r="D46" s="5">
        <v>0.45833333333333331</v>
      </c>
      <c r="E46" s="5">
        <v>0.64583333333333337</v>
      </c>
      <c r="F46" s="6" t="s">
        <v>17</v>
      </c>
      <c r="G46" s="6">
        <f t="shared" si="6"/>
        <v>0.16666666666666671</v>
      </c>
      <c r="H46" s="50">
        <v>220</v>
      </c>
      <c r="I46" s="8">
        <f t="shared" si="7"/>
        <v>4.0000000000000018</v>
      </c>
      <c r="J46" s="50">
        <f t="shared" si="0"/>
        <v>268.40280000000007</v>
      </c>
      <c r="K46" s="50">
        <f t="shared" si="1"/>
        <v>-48.40280000000007</v>
      </c>
      <c r="L46" s="9">
        <f t="shared" si="8"/>
        <v>1.2200127272727277</v>
      </c>
      <c r="M46" s="16">
        <v>1</v>
      </c>
    </row>
    <row r="47" spans="1:20" ht="25" customHeight="1">
      <c r="B47" s="15"/>
      <c r="D47" s="5"/>
      <c r="E47" s="5"/>
      <c r="F47" s="6" t="str">
        <f t="shared" si="5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0"/>
        <v/>
      </c>
      <c r="K47" s="50" t="str">
        <f t="shared" si="1"/>
        <v/>
      </c>
      <c r="L47" s="9" t="str">
        <f t="shared" si="8"/>
        <v/>
      </c>
    </row>
    <row r="48" spans="1:20" ht="25" customHeight="1">
      <c r="D48" s="83"/>
      <c r="E48" s="83"/>
      <c r="F48" s="84"/>
      <c r="G48" s="6"/>
      <c r="H48" s="85">
        <f>SUBTOTAL(109,Table2261210141640[Quoted])</f>
        <v>11745</v>
      </c>
      <c r="I48" s="81">
        <f>SUBTOTAL(109,Table2261210141640[Hours Payable])</f>
        <v>107.98333333333335</v>
      </c>
      <c r="J48" s="85">
        <f>SUBTOTAL(109,Table2261210141640[Wages (Incl. Super)])</f>
        <v>7245.7572550000004</v>
      </c>
      <c r="K48" s="85">
        <f>SUBTOTAL(109,Table2261210141640[Profit])</f>
        <v>4499.2427450000014</v>
      </c>
      <c r="L48" s="82">
        <f>IF(L2="","",SUBTOTAL(101,Table2261210141640[Quote/Wages]))</f>
        <v>0.62974164870813243</v>
      </c>
    </row>
  </sheetData>
  <conditionalFormatting sqref="B49:B269 B1:B47">
    <cfRule type="expression" dxfId="59" priority="3">
      <formula>AND(ROW()&gt;1, E1&lt;&gt;"", COUNTIFS(A:A, $A1, B:B, $B1, F:F, "Yes")=0)</formula>
    </cfRule>
  </conditionalFormatting>
  <conditionalFormatting sqref="F49:F269 F1:F47">
    <cfRule type="expression" dxfId="58" priority="4" stopIfTrue="1">
      <formula>AND(ROW()&gt;1, E1&lt;&gt;"", COUNTIFS(A:A, $A1, B:B, $B1, F:F, "Yes")=0)</formula>
    </cfRule>
  </conditionalFormatting>
  <dataValidations count="2">
    <dataValidation type="list" allowBlank="1" showErrorMessage="1" promptTitle="Select" sqref="B2:B47" xr:uid="{5049AA7F-79D6-411F-90DA-AD8DAA570574}">
      <formula1>Teams</formula1>
    </dataValidation>
    <dataValidation type="list" allowBlank="1" showInputMessage="1" showErrorMessage="1" sqref="F2:F47" xr:uid="{49F399A7-5C4E-4B4B-9116-E68B5D2366F0}">
      <formula1>"No, Yes"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3D4ADE5-7F5C-41B6-8DA8-86273FA9654B}">
          <x14:formula1>
            <xm:f>'Active Jobs'!$B$2:$B$154</xm:f>
          </x14:formula1>
          <xm:sqref>C41:C47 C2:C39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5D4BD-047C-4BED-8CD9-B501F1638B26}">
  <sheetPr codeName="Sheet22"/>
  <dimension ref="A1:W48"/>
  <sheetViews>
    <sheetView topLeftCell="A13" zoomScale="125" zoomScaleNormal="125" workbookViewId="0">
      <selection activeCell="C18" sqref="C18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20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1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IF(B2="","",TRANSPOSE(_xlfn._xlws.FILTER(_xlfn.UNIQUE(A2:A219), _xlfn.UNIQUE(A2:A219)&lt;&gt;"")))</f>
        <v>45747</v>
      </c>
      <c r="P1" s="63">
        <v>45748</v>
      </c>
      <c r="Q1" s="63">
        <v>45749</v>
      </c>
      <c r="R1" s="63">
        <v>45750</v>
      </c>
      <c r="S1" s="63">
        <v>45751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45747</v>
      </c>
      <c r="B2" s="15" t="s">
        <v>90</v>
      </c>
      <c r="C2" s="16" t="s">
        <v>116</v>
      </c>
      <c r="D2" s="5">
        <v>0.35416666666666669</v>
      </c>
      <c r="E2" s="5">
        <v>0.44791666666666669</v>
      </c>
      <c r="F2" s="6" t="str">
        <f t="shared" ref="F2:F47" si="0">IF(E2="","","No")</f>
        <v>No</v>
      </c>
      <c r="G2" s="6">
        <f>IF(E2="","",IF(F2="Yes",(E2-D2)-TIME(0,30,0),E2-D2))</f>
        <v>9.375E-2</v>
      </c>
      <c r="H2" s="50">
        <v>200</v>
      </c>
      <c r="I2" s="8">
        <f>IF(F2="Yes",(E2-D2)*24-0.5,IF(F2="No",(E2-D2)*24,""))</f>
        <v>2.25</v>
      </c>
      <c r="J2" s="50">
        <f t="shared" ref="J2:J47" si="1">IF(G2="","",G2*24*HourlyRate*2*(1+Super))</f>
        <v>150.976575</v>
      </c>
      <c r="K2" s="50">
        <f t="shared" ref="K2:K47" si="2">IF(H2="","",IF(E2="","",IF(J2=0,0,H2-J2)))</f>
        <v>49.023425000000003</v>
      </c>
      <c r="L2" s="9">
        <f>IF(K2="","",IF(H2=0,1,J2/H2))</f>
        <v>0.75488287499999995</v>
      </c>
      <c r="M2" s="16">
        <v>2</v>
      </c>
      <c r="N2" s="41" t="str" cm="1">
        <f t="array" ref="N2:N6">IF(B2="","",_xlfn.UNIQUE(TRANSPOSE(_xlfn.TEXTSPLIT(_xlfn.TEXTJOIN(" &amp; ", TRUE, TRIM(B2:B219)), " &amp; "))))</f>
        <v>Julie Roccati</v>
      </c>
      <c r="O2" s="23">
        <f>IF(N2="","",ROUND(SUMIFS($I:$I,$A:$A,O$1,$B:$B,"*"&amp;$N2&amp;"*"),2))</f>
        <v>6.08</v>
      </c>
      <c r="P2" s="23">
        <f>IF(O2="","",ROUND(SUMIFS($I:$I,$A:$A,P$1,$B:$B,"*"&amp;$N2&amp;"*"),2))</f>
        <v>5.28</v>
      </c>
      <c r="Q2" s="23">
        <f>IF(P2="","",ROUND(SUMIFS($I:$I,$A:$A,Q$1,$B:$B,"*"&amp;$N2&amp;"*"),2))</f>
        <v>6.17</v>
      </c>
      <c r="R2" s="23">
        <f>IF(Q2="","",ROUND(SUMIFS($I:$I,$A:$A,R$1,$B:$B,"*"&amp;$N2&amp;"*"),2))</f>
        <v>6.58</v>
      </c>
      <c r="S2" s="23">
        <f>IF(R2="","",ROUND(SUMIFS($I:$I,$A:$A,S$1,$B:$B,"*"&amp;$N2&amp;"*"),2))</f>
        <v>6.07</v>
      </c>
      <c r="T2" s="10">
        <f t="shared" ref="T2:T42" si="3">IF(N2="","",SUM(O2:S2))</f>
        <v>30.18</v>
      </c>
      <c r="U2" s="24"/>
      <c r="V2" s="24">
        <f t="shared" ref="V2:V18" si="4">IF(N2="","",T2*HourlyRate)</f>
        <v>908.11619999999994</v>
      </c>
      <c r="W2" s="25">
        <f t="shared" ref="W2:W18" si="5">IF(N2="","",V2*Super)</f>
        <v>104.433363</v>
      </c>
    </row>
    <row r="3" spans="1:23" ht="25" customHeight="1">
      <c r="A3" s="37">
        <v>45747</v>
      </c>
      <c r="B3" s="15" t="s">
        <v>90</v>
      </c>
      <c r="C3" s="16" t="s">
        <v>49</v>
      </c>
      <c r="D3" s="5">
        <v>0.45833333333333331</v>
      </c>
      <c r="E3" s="5">
        <v>0.5625</v>
      </c>
      <c r="F3" s="6" t="s">
        <v>17</v>
      </c>
      <c r="G3" s="6">
        <f t="shared" ref="G3:G47" si="6">IF(E3="","",IF(F3="Yes",(E3-D3)-TIME(0,30,0),E3-D3))</f>
        <v>8.3333333333333356E-2</v>
      </c>
      <c r="H3" s="50">
        <f>_xlfn.IFNA(VLOOKUP(C:C,'Active Jobs'!B:K,8,0),"")</f>
        <v>240</v>
      </c>
      <c r="I3" s="8">
        <f t="shared" ref="I3:I47" si="7">IF(F3="Yes",(E3-D3)*24-0.5,IF(F3="No",(E3-D3)*24,""))</f>
        <v>2.0000000000000004</v>
      </c>
      <c r="J3" s="50">
        <f t="shared" si="1"/>
        <v>134.20140000000004</v>
      </c>
      <c r="K3" s="50">
        <f t="shared" si="2"/>
        <v>105.79859999999996</v>
      </c>
      <c r="L3" s="9">
        <f t="shared" ref="L3:L47" si="8">IF(K3="","",IF(H3=0,1,J3/H3))</f>
        <v>0.55917250000000018</v>
      </c>
      <c r="M3" s="16">
        <v>2</v>
      </c>
      <c r="N3" s="42" t="str">
        <v>Aoife O'Gorman</v>
      </c>
      <c r="O3" s="23">
        <f t="shared" ref="O3:O5" si="9">IF(N3="","",ROUND(SUMIFS($I:$I,$A:$A,O$1,$B:$B,"*"&amp;$N3&amp;"*"),2))</f>
        <v>6</v>
      </c>
      <c r="P3" s="23">
        <f t="shared" ref="P3:S22" si="10">IF(O3="","",ROUND(SUMIFS($I:$I,$A:$A,P$1,$B:$B,"*"&amp;$N3&amp;"*"),2))</f>
        <v>6.25</v>
      </c>
      <c r="Q3" s="23">
        <f t="shared" si="10"/>
        <v>6.42</v>
      </c>
      <c r="R3" s="23">
        <f t="shared" si="10"/>
        <v>6.23</v>
      </c>
      <c r="S3" s="23">
        <f t="shared" si="10"/>
        <v>7.78</v>
      </c>
      <c r="T3" s="10">
        <f t="shared" si="3"/>
        <v>32.68</v>
      </c>
      <c r="U3" s="21"/>
      <c r="V3" s="24">
        <f t="shared" si="4"/>
        <v>983.34119999999996</v>
      </c>
      <c r="W3" s="25">
        <f t="shared" si="5"/>
        <v>113.084238</v>
      </c>
    </row>
    <row r="4" spans="1:23" ht="25" customHeight="1">
      <c r="A4" s="37">
        <v>45747</v>
      </c>
      <c r="B4" s="15" t="s">
        <v>90</v>
      </c>
      <c r="C4" s="16" t="s">
        <v>117</v>
      </c>
      <c r="D4" s="5">
        <v>0.5625</v>
      </c>
      <c r="E4" s="5">
        <v>0.63888888888888884</v>
      </c>
      <c r="F4" s="6" t="str">
        <f t="shared" si="0"/>
        <v>No</v>
      </c>
      <c r="G4" s="6">
        <f t="shared" si="6"/>
        <v>7.638888888888884E-2</v>
      </c>
      <c r="H4" s="50">
        <v>200</v>
      </c>
      <c r="I4" s="8">
        <f t="shared" si="7"/>
        <v>1.8333333333333321</v>
      </c>
      <c r="J4" s="50">
        <f t="shared" si="1"/>
        <v>123.01794999999991</v>
      </c>
      <c r="K4" s="50">
        <f t="shared" si="2"/>
        <v>76.982050000000086</v>
      </c>
      <c r="L4" s="9">
        <f t="shared" si="8"/>
        <v>0.61508974999999955</v>
      </c>
      <c r="M4" s="16">
        <v>2</v>
      </c>
      <c r="N4" s="42" t="str">
        <v>Orla Shelly</v>
      </c>
      <c r="O4" s="23">
        <f t="shared" si="9"/>
        <v>6</v>
      </c>
      <c r="P4" s="23">
        <f t="shared" si="10"/>
        <v>6.25</v>
      </c>
      <c r="Q4" s="23">
        <f t="shared" si="10"/>
        <v>6.42</v>
      </c>
      <c r="R4" s="23">
        <f t="shared" si="10"/>
        <v>6.23</v>
      </c>
      <c r="S4" s="23">
        <f t="shared" si="10"/>
        <v>7.78</v>
      </c>
      <c r="T4" s="10">
        <f t="shared" si="3"/>
        <v>32.68</v>
      </c>
      <c r="U4" s="21"/>
      <c r="V4" s="24">
        <f t="shared" si="4"/>
        <v>983.34119999999996</v>
      </c>
      <c r="W4" s="25">
        <f t="shared" si="5"/>
        <v>113.084238</v>
      </c>
    </row>
    <row r="5" spans="1:23" ht="25" customHeight="1">
      <c r="A5" s="37">
        <v>45747</v>
      </c>
      <c r="B5" s="15" t="s">
        <v>338</v>
      </c>
      <c r="C5" s="16" t="s">
        <v>93</v>
      </c>
      <c r="D5" s="5">
        <v>0.35416666666666669</v>
      </c>
      <c r="E5" s="5">
        <v>0.44791666666666669</v>
      </c>
      <c r="F5" s="6" t="str">
        <f t="shared" si="0"/>
        <v>No</v>
      </c>
      <c r="G5" s="6">
        <f t="shared" si="6"/>
        <v>9.375E-2</v>
      </c>
      <c r="H5" s="50">
        <f>_xlfn.IFNA(VLOOKUP(C:C,'Active Jobs'!B:K,8,0),"")</f>
        <v>230</v>
      </c>
      <c r="I5" s="8">
        <f t="shared" si="7"/>
        <v>2.25</v>
      </c>
      <c r="J5" s="50">
        <f t="shared" si="1"/>
        <v>150.976575</v>
      </c>
      <c r="K5" s="50">
        <f t="shared" si="2"/>
        <v>79.023425000000003</v>
      </c>
      <c r="L5" s="9">
        <f t="shared" si="8"/>
        <v>0.65641989130434786</v>
      </c>
      <c r="M5" s="16">
        <v>1</v>
      </c>
      <c r="N5" s="42" t="str">
        <v>Orlaith Murphy</v>
      </c>
      <c r="O5" s="23">
        <f t="shared" si="9"/>
        <v>7.25</v>
      </c>
      <c r="P5" s="23">
        <f t="shared" si="10"/>
        <v>6.58</v>
      </c>
      <c r="Q5" s="23">
        <f t="shared" si="10"/>
        <v>7.93</v>
      </c>
      <c r="R5" s="23">
        <f t="shared" si="10"/>
        <v>7.13</v>
      </c>
      <c r="S5" s="23">
        <f t="shared" si="10"/>
        <v>7.95</v>
      </c>
      <c r="T5" s="10">
        <f t="shared" si="3"/>
        <v>36.839999999999996</v>
      </c>
      <c r="U5" s="21"/>
      <c r="V5" s="24">
        <f t="shared" si="4"/>
        <v>1108.5155999999999</v>
      </c>
      <c r="W5" s="25">
        <f t="shared" si="5"/>
        <v>127.479294</v>
      </c>
    </row>
    <row r="6" spans="1:23" ht="25" customHeight="1">
      <c r="A6" s="37">
        <v>45747</v>
      </c>
      <c r="B6" s="15" t="s">
        <v>338</v>
      </c>
      <c r="C6" s="16" t="s">
        <v>50</v>
      </c>
      <c r="D6" s="5">
        <v>0.45833333333333331</v>
      </c>
      <c r="E6" s="5">
        <v>0.5625</v>
      </c>
      <c r="F6" s="6" t="s">
        <v>17</v>
      </c>
      <c r="G6" s="6">
        <f t="shared" si="6"/>
        <v>8.3333333333333356E-2</v>
      </c>
      <c r="H6" s="50">
        <f>_xlfn.IFNA(VLOOKUP(C:C,'Active Jobs'!B:K,8,0),"")</f>
        <v>250</v>
      </c>
      <c r="I6" s="8">
        <f t="shared" si="7"/>
        <v>2.0000000000000004</v>
      </c>
      <c r="J6" s="50">
        <f t="shared" si="1"/>
        <v>134.20140000000004</v>
      </c>
      <c r="K6" s="50">
        <f t="shared" si="2"/>
        <v>115.79859999999996</v>
      </c>
      <c r="L6" s="9">
        <f t="shared" si="8"/>
        <v>0.5368056000000001</v>
      </c>
      <c r="M6" s="16">
        <v>1</v>
      </c>
      <c r="N6" s="43" t="str">
        <v>Nancy Scott</v>
      </c>
      <c r="O6" s="23">
        <f t="shared" ref="O6:O42" si="11">IF(N6="","",ROUND(SUMIFS($I:$I,$A:$A,O$1,$B:$B,"*"&amp;$N6&amp;"*"),2))</f>
        <v>7.25</v>
      </c>
      <c r="P6" s="23">
        <f t="shared" si="10"/>
        <v>6.58</v>
      </c>
      <c r="Q6" s="23">
        <f t="shared" si="10"/>
        <v>7.93</v>
      </c>
      <c r="R6" s="23">
        <f t="shared" si="10"/>
        <v>7.13</v>
      </c>
      <c r="S6" s="23">
        <f t="shared" si="10"/>
        <v>7.95</v>
      </c>
      <c r="T6" s="10">
        <f t="shared" si="3"/>
        <v>36.839999999999996</v>
      </c>
      <c r="U6" s="21"/>
      <c r="V6" s="24">
        <f t="shared" si="4"/>
        <v>1108.5155999999999</v>
      </c>
      <c r="W6" s="25">
        <f t="shared" si="5"/>
        <v>127.479294</v>
      </c>
    </row>
    <row r="7" spans="1:23" ht="25" customHeight="1">
      <c r="A7" s="37">
        <v>45747</v>
      </c>
      <c r="B7" s="15" t="s">
        <v>338</v>
      </c>
      <c r="C7" s="16" t="s">
        <v>33</v>
      </c>
      <c r="D7" s="5">
        <v>0.5625</v>
      </c>
      <c r="E7" s="5">
        <v>0.63541666666666663</v>
      </c>
      <c r="F7" s="6" t="str">
        <f t="shared" si="0"/>
        <v>No</v>
      </c>
      <c r="G7" s="6">
        <f t="shared" si="6"/>
        <v>7.291666666666663E-2</v>
      </c>
      <c r="H7" s="50">
        <v>195</v>
      </c>
      <c r="I7" s="8">
        <f t="shared" si="7"/>
        <v>1.7499999999999991</v>
      </c>
      <c r="J7" s="50">
        <f t="shared" si="1"/>
        <v>117.42622499999993</v>
      </c>
      <c r="K7" s="50">
        <f t="shared" si="2"/>
        <v>77.573775000000069</v>
      </c>
      <c r="L7" s="9">
        <f t="shared" si="8"/>
        <v>0.60218576923076883</v>
      </c>
      <c r="M7" s="16">
        <v>1</v>
      </c>
      <c r="N7" s="47"/>
      <c r="O7" s="23" t="str">
        <f t="shared" si="11"/>
        <v/>
      </c>
      <c r="P7" s="23" t="str">
        <f t="shared" si="10"/>
        <v/>
      </c>
      <c r="Q7" s="23" t="str">
        <f t="shared" si="10"/>
        <v/>
      </c>
      <c r="R7" s="23" t="str">
        <f t="shared" si="10"/>
        <v/>
      </c>
      <c r="S7" s="23" t="str">
        <f t="shared" si="10"/>
        <v/>
      </c>
      <c r="T7" s="10" t="str">
        <f t="shared" si="3"/>
        <v/>
      </c>
      <c r="U7" s="21"/>
      <c r="V7" s="24" t="str">
        <f t="shared" si="4"/>
        <v/>
      </c>
      <c r="W7" s="25" t="str">
        <f t="shared" si="5"/>
        <v/>
      </c>
    </row>
    <row r="8" spans="1:23" ht="25" customHeight="1">
      <c r="A8" s="37">
        <v>45747</v>
      </c>
      <c r="B8" s="15" t="s">
        <v>334</v>
      </c>
      <c r="C8" s="49" t="s">
        <v>118</v>
      </c>
      <c r="D8" s="5">
        <v>0.35416666666666669</v>
      </c>
      <c r="E8" s="5">
        <v>0.4375</v>
      </c>
      <c r="F8" s="6" t="str">
        <f t="shared" si="0"/>
        <v>No</v>
      </c>
      <c r="G8" s="6">
        <f t="shared" si="6"/>
        <v>8.3333333333333315E-2</v>
      </c>
      <c r="H8" s="50">
        <f>_xlfn.IFNA(VLOOKUP(C:C,'Active Jobs'!B:K,8,0),"")</f>
        <v>200</v>
      </c>
      <c r="I8" s="8">
        <f t="shared" si="7"/>
        <v>1.9999999999999996</v>
      </c>
      <c r="J8" s="50">
        <f t="shared" si="1"/>
        <v>134.20139999999998</v>
      </c>
      <c r="K8" s="50">
        <f t="shared" si="2"/>
        <v>65.798600000000022</v>
      </c>
      <c r="L8" s="9">
        <f t="shared" si="8"/>
        <v>0.67100699999999991</v>
      </c>
      <c r="M8" s="16">
        <v>3</v>
      </c>
      <c r="N8" s="41"/>
      <c r="O8" s="23" t="str">
        <f t="shared" si="11"/>
        <v/>
      </c>
      <c r="P8" s="23" t="str">
        <f t="shared" si="10"/>
        <v/>
      </c>
      <c r="Q8" s="23" t="str">
        <f t="shared" si="10"/>
        <v/>
      </c>
      <c r="R8" s="23" t="str">
        <f t="shared" si="10"/>
        <v/>
      </c>
      <c r="S8" s="23" t="str">
        <f t="shared" si="10"/>
        <v/>
      </c>
      <c r="T8" s="10" t="str">
        <f t="shared" si="3"/>
        <v/>
      </c>
      <c r="U8" s="21"/>
      <c r="V8" s="24" t="str">
        <f t="shared" si="4"/>
        <v/>
      </c>
      <c r="W8" s="25" t="str">
        <f t="shared" si="5"/>
        <v/>
      </c>
    </row>
    <row r="9" spans="1:23" ht="25" customHeight="1">
      <c r="A9" s="37">
        <v>45747</v>
      </c>
      <c r="B9" s="15" t="s">
        <v>334</v>
      </c>
      <c r="C9" s="16" t="s">
        <v>119</v>
      </c>
      <c r="D9" s="5">
        <v>0.44791666666666669</v>
      </c>
      <c r="E9" s="5">
        <v>0.6875</v>
      </c>
      <c r="F9" s="6" t="s">
        <v>17</v>
      </c>
      <c r="G9" s="6">
        <f t="shared" si="6"/>
        <v>0.21874999999999997</v>
      </c>
      <c r="H9" s="50">
        <v>445</v>
      </c>
      <c r="I9" s="8">
        <f t="shared" si="7"/>
        <v>5.25</v>
      </c>
      <c r="J9" s="50">
        <f t="shared" si="1"/>
        <v>352.27867499999991</v>
      </c>
      <c r="K9" s="50">
        <f t="shared" si="2"/>
        <v>92.721325000000093</v>
      </c>
      <c r="L9" s="9">
        <f t="shared" si="8"/>
        <v>0.79163747191011213</v>
      </c>
      <c r="M9" s="16">
        <v>3</v>
      </c>
      <c r="N9" s="47"/>
      <c r="O9" s="23" t="str">
        <f t="shared" si="11"/>
        <v/>
      </c>
      <c r="P9" s="23" t="str">
        <f t="shared" si="10"/>
        <v/>
      </c>
      <c r="Q9" s="23" t="str">
        <f t="shared" si="10"/>
        <v/>
      </c>
      <c r="R9" s="23" t="str">
        <f t="shared" si="10"/>
        <v/>
      </c>
      <c r="S9" s="23" t="str">
        <f t="shared" si="10"/>
        <v/>
      </c>
      <c r="T9" s="10" t="str">
        <f t="shared" si="3"/>
        <v/>
      </c>
      <c r="U9" s="21"/>
      <c r="V9" s="24" t="str">
        <f t="shared" si="4"/>
        <v/>
      </c>
      <c r="W9" s="25" t="str">
        <f t="shared" si="5"/>
        <v/>
      </c>
    </row>
    <row r="10" spans="1:23" ht="25" customHeight="1">
      <c r="A10" s="37">
        <v>45748</v>
      </c>
      <c r="B10" s="15" t="s">
        <v>334</v>
      </c>
      <c r="C10" s="16" t="s">
        <v>120</v>
      </c>
      <c r="D10" s="5">
        <v>0.35416666666666669</v>
      </c>
      <c r="E10" s="5">
        <v>0.44791666666666669</v>
      </c>
      <c r="F10" s="6" t="str">
        <f t="shared" si="0"/>
        <v>No</v>
      </c>
      <c r="G10" s="6">
        <f t="shared" si="6"/>
        <v>9.375E-2</v>
      </c>
      <c r="H10" s="50">
        <f>_xlfn.IFNA(VLOOKUP(C:C,'Active Jobs'!B:K,8,0),"")</f>
        <v>230</v>
      </c>
      <c r="I10" s="8">
        <f t="shared" si="7"/>
        <v>2.25</v>
      </c>
      <c r="J10" s="50">
        <f t="shared" si="1"/>
        <v>150.976575</v>
      </c>
      <c r="K10" s="50">
        <f t="shared" si="2"/>
        <v>79.023425000000003</v>
      </c>
      <c r="L10" s="9">
        <f t="shared" si="8"/>
        <v>0.65641989130434786</v>
      </c>
      <c r="M10" s="16">
        <v>3</v>
      </c>
      <c r="O10" s="23" t="str">
        <f t="shared" si="11"/>
        <v/>
      </c>
      <c r="P10" s="23" t="str">
        <f t="shared" si="10"/>
        <v/>
      </c>
      <c r="Q10" s="23" t="str">
        <f t="shared" si="10"/>
        <v/>
      </c>
      <c r="R10" s="23" t="str">
        <f t="shared" si="10"/>
        <v/>
      </c>
      <c r="S10" s="23" t="str">
        <f t="shared" si="10"/>
        <v/>
      </c>
      <c r="T10" s="10" t="str">
        <f t="shared" si="3"/>
        <v/>
      </c>
      <c r="U10" s="21"/>
      <c r="V10" s="24" t="str">
        <f t="shared" si="4"/>
        <v/>
      </c>
      <c r="W10" s="25" t="str">
        <f t="shared" si="5"/>
        <v/>
      </c>
    </row>
    <row r="11" spans="1:23" ht="25" customHeight="1">
      <c r="A11" s="37">
        <v>45748</v>
      </c>
      <c r="B11" s="15" t="s">
        <v>334</v>
      </c>
      <c r="C11" s="16" t="s">
        <v>31</v>
      </c>
      <c r="D11" s="5">
        <v>0.45833333333333331</v>
      </c>
      <c r="E11" s="5">
        <v>0.5625</v>
      </c>
      <c r="F11" s="6" t="s">
        <v>17</v>
      </c>
      <c r="G11" s="6">
        <f t="shared" si="6"/>
        <v>8.3333333333333356E-2</v>
      </c>
      <c r="H11" s="50">
        <f>_xlfn.IFNA(VLOOKUP(C:C,'Active Jobs'!B:K,8,0),"")</f>
        <v>220</v>
      </c>
      <c r="I11" s="8">
        <f t="shared" si="7"/>
        <v>2.0000000000000004</v>
      </c>
      <c r="J11" s="50">
        <f t="shared" si="1"/>
        <v>134.20140000000004</v>
      </c>
      <c r="K11" s="50">
        <f t="shared" si="2"/>
        <v>85.798599999999965</v>
      </c>
      <c r="L11" s="9">
        <f t="shared" si="8"/>
        <v>0.61000636363636385</v>
      </c>
      <c r="M11" s="16">
        <v>3</v>
      </c>
      <c r="O11" s="23" t="str">
        <f t="shared" si="11"/>
        <v/>
      </c>
      <c r="P11" s="23" t="str">
        <f t="shared" si="10"/>
        <v/>
      </c>
      <c r="Q11" s="23" t="str">
        <f t="shared" si="10"/>
        <v/>
      </c>
      <c r="R11" s="23" t="str">
        <f t="shared" si="10"/>
        <v/>
      </c>
      <c r="S11" s="23" t="str">
        <f t="shared" si="10"/>
        <v/>
      </c>
      <c r="T11" s="10" t="str">
        <f t="shared" si="3"/>
        <v/>
      </c>
      <c r="U11" s="21"/>
      <c r="V11" s="24" t="str">
        <f t="shared" si="4"/>
        <v/>
      </c>
      <c r="W11" s="25" t="str">
        <f t="shared" si="5"/>
        <v/>
      </c>
    </row>
    <row r="12" spans="1:23" ht="25" customHeight="1">
      <c r="A12" s="37">
        <v>45748</v>
      </c>
      <c r="B12" s="15" t="s">
        <v>334</v>
      </c>
      <c r="C12" s="16" t="s">
        <v>95</v>
      </c>
      <c r="D12" s="5">
        <v>0.5625</v>
      </c>
      <c r="E12" s="5">
        <v>0.65972222222222221</v>
      </c>
      <c r="F12" s="6" t="str">
        <f t="shared" si="0"/>
        <v>No</v>
      </c>
      <c r="G12" s="6">
        <f t="shared" si="6"/>
        <v>9.722222222222221E-2</v>
      </c>
      <c r="H12" s="50">
        <f>_xlfn.IFNA(VLOOKUP(C:C,'Active Jobs'!B:K,8,0),"")</f>
        <v>210</v>
      </c>
      <c r="I12" s="8">
        <f t="shared" si="7"/>
        <v>2.333333333333333</v>
      </c>
      <c r="J12" s="50">
        <f t="shared" si="1"/>
        <v>156.56829999999999</v>
      </c>
      <c r="K12" s="50">
        <f t="shared" si="2"/>
        <v>53.431700000000006</v>
      </c>
      <c r="L12" s="9">
        <f t="shared" si="8"/>
        <v>0.74556333333333336</v>
      </c>
      <c r="M12" s="16">
        <v>3</v>
      </c>
      <c r="O12" s="23" t="str">
        <f t="shared" si="11"/>
        <v/>
      </c>
      <c r="P12" s="23" t="str">
        <f t="shared" si="10"/>
        <v/>
      </c>
      <c r="Q12" s="23" t="str">
        <f t="shared" si="10"/>
        <v/>
      </c>
      <c r="R12" s="23" t="str">
        <f t="shared" si="10"/>
        <v/>
      </c>
      <c r="S12" s="23" t="str">
        <f t="shared" si="10"/>
        <v/>
      </c>
      <c r="T12" s="10" t="str">
        <f t="shared" si="3"/>
        <v/>
      </c>
      <c r="V12" s="24" t="str">
        <f t="shared" si="4"/>
        <v/>
      </c>
      <c r="W12" s="25" t="str">
        <f t="shared" si="5"/>
        <v/>
      </c>
    </row>
    <row r="13" spans="1:23" ht="25" customHeight="1">
      <c r="A13" s="37">
        <v>45748</v>
      </c>
      <c r="B13" s="15" t="s">
        <v>338</v>
      </c>
      <c r="C13" s="16" t="s">
        <v>19</v>
      </c>
      <c r="D13" s="5">
        <v>0.35416666666666669</v>
      </c>
      <c r="E13" s="5">
        <v>0.44791666666666669</v>
      </c>
      <c r="F13" s="6" t="str">
        <f t="shared" si="0"/>
        <v>No</v>
      </c>
      <c r="G13" s="6">
        <f t="shared" si="6"/>
        <v>9.375E-2</v>
      </c>
      <c r="H13" s="50">
        <f>_xlfn.IFNA(VLOOKUP(C:C,'Active Jobs'!B:K,8,0),"")</f>
        <v>250</v>
      </c>
      <c r="I13" s="8">
        <f t="shared" si="7"/>
        <v>2.25</v>
      </c>
      <c r="J13" s="50">
        <f t="shared" si="1"/>
        <v>150.976575</v>
      </c>
      <c r="K13" s="50">
        <f t="shared" si="2"/>
        <v>99.023425000000003</v>
      </c>
      <c r="L13" s="9">
        <f t="shared" si="8"/>
        <v>0.60390630000000001</v>
      </c>
      <c r="M13" s="16">
        <v>1</v>
      </c>
      <c r="O13" s="23" t="str">
        <f t="shared" si="11"/>
        <v/>
      </c>
      <c r="P13" s="23" t="str">
        <f t="shared" si="10"/>
        <v/>
      </c>
      <c r="Q13" s="23" t="str">
        <f t="shared" si="10"/>
        <v/>
      </c>
      <c r="R13" s="23" t="str">
        <f t="shared" si="10"/>
        <v/>
      </c>
      <c r="S13" s="23" t="str">
        <f t="shared" si="10"/>
        <v/>
      </c>
      <c r="T13" s="10" t="str">
        <f t="shared" si="3"/>
        <v/>
      </c>
      <c r="V13" s="24" t="str">
        <f t="shared" si="4"/>
        <v/>
      </c>
      <c r="W13" s="25" t="str">
        <f t="shared" si="5"/>
        <v/>
      </c>
    </row>
    <row r="14" spans="1:23" ht="25" customHeight="1">
      <c r="A14" s="37">
        <v>45748</v>
      </c>
      <c r="B14" s="15" t="s">
        <v>338</v>
      </c>
      <c r="C14" s="16" t="s">
        <v>45</v>
      </c>
      <c r="D14" s="5">
        <v>0.45833333333333331</v>
      </c>
      <c r="E14" s="5">
        <v>0.5625</v>
      </c>
      <c r="F14" s="6" t="s">
        <v>17</v>
      </c>
      <c r="G14" s="6">
        <f t="shared" si="6"/>
        <v>8.3333333333333356E-2</v>
      </c>
      <c r="H14" s="50">
        <f>_xlfn.IFNA(VLOOKUP(C:C,'Active Jobs'!B:K,8,0),"")</f>
        <v>275</v>
      </c>
      <c r="I14" s="8">
        <f t="shared" si="7"/>
        <v>2.0000000000000004</v>
      </c>
      <c r="J14" s="50">
        <f t="shared" si="1"/>
        <v>134.20140000000004</v>
      </c>
      <c r="K14" s="50">
        <f t="shared" si="2"/>
        <v>140.79859999999996</v>
      </c>
      <c r="L14" s="9">
        <f t="shared" si="8"/>
        <v>0.48800509090909105</v>
      </c>
      <c r="M14" s="16">
        <v>1</v>
      </c>
      <c r="O14" s="23" t="str">
        <f t="shared" si="11"/>
        <v/>
      </c>
      <c r="P14" s="23" t="str">
        <f t="shared" si="10"/>
        <v/>
      </c>
      <c r="Q14" s="23" t="str">
        <f t="shared" si="10"/>
        <v/>
      </c>
      <c r="R14" s="23" t="str">
        <f t="shared" si="10"/>
        <v/>
      </c>
      <c r="S14" s="23" t="str">
        <f t="shared" si="10"/>
        <v/>
      </c>
      <c r="T14" s="10" t="str">
        <f t="shared" si="3"/>
        <v/>
      </c>
      <c r="V14" s="24" t="str">
        <f t="shared" si="4"/>
        <v/>
      </c>
      <c r="W14" s="25" t="str">
        <f t="shared" si="5"/>
        <v/>
      </c>
    </row>
    <row r="15" spans="1:23" ht="25" customHeight="1">
      <c r="A15" s="37">
        <v>45748</v>
      </c>
      <c r="B15" s="15" t="s">
        <v>338</v>
      </c>
      <c r="C15" s="16" t="s">
        <v>55</v>
      </c>
      <c r="D15" s="5">
        <v>0.5625</v>
      </c>
      <c r="E15" s="5">
        <v>0.64583333333333337</v>
      </c>
      <c r="F15" s="6" t="str">
        <f t="shared" si="0"/>
        <v>No</v>
      </c>
      <c r="G15" s="6">
        <f t="shared" si="6"/>
        <v>8.333333333333337E-2</v>
      </c>
      <c r="H15" s="50">
        <v>220</v>
      </c>
      <c r="I15" s="8">
        <f t="shared" si="7"/>
        <v>2.0000000000000009</v>
      </c>
      <c r="J15" s="50">
        <f t="shared" si="1"/>
        <v>134.20140000000006</v>
      </c>
      <c r="K15" s="50">
        <f t="shared" si="2"/>
        <v>85.798599999999936</v>
      </c>
      <c r="L15" s="9">
        <f t="shared" si="8"/>
        <v>0.61000636363636396</v>
      </c>
      <c r="M15" s="16">
        <v>1</v>
      </c>
      <c r="O15" s="23" t="str">
        <f t="shared" si="11"/>
        <v/>
      </c>
      <c r="P15" s="23" t="str">
        <f t="shared" si="10"/>
        <v/>
      </c>
      <c r="Q15" s="23" t="str">
        <f t="shared" si="10"/>
        <v/>
      </c>
      <c r="R15" s="23" t="str">
        <f t="shared" si="10"/>
        <v/>
      </c>
      <c r="S15" s="23" t="str">
        <f t="shared" si="10"/>
        <v/>
      </c>
      <c r="T15" s="10" t="str">
        <f t="shared" si="3"/>
        <v/>
      </c>
      <c r="V15" s="24" t="str">
        <f t="shared" si="4"/>
        <v/>
      </c>
      <c r="W15" s="25" t="str">
        <f t="shared" si="5"/>
        <v/>
      </c>
    </row>
    <row r="16" spans="1:23" ht="25" customHeight="1">
      <c r="A16" s="37">
        <v>45748</v>
      </c>
      <c r="B16" s="15" t="s">
        <v>90</v>
      </c>
      <c r="C16" s="16" t="s">
        <v>121</v>
      </c>
      <c r="D16" s="5">
        <v>0.35416666666666669</v>
      </c>
      <c r="E16" s="5">
        <v>0.45833333333333331</v>
      </c>
      <c r="F16" s="6" t="str">
        <f t="shared" si="0"/>
        <v>No</v>
      </c>
      <c r="G16" s="6">
        <f t="shared" si="6"/>
        <v>0.10416666666666663</v>
      </c>
      <c r="H16" s="50">
        <v>215</v>
      </c>
      <c r="I16" s="8">
        <f t="shared" si="7"/>
        <v>2.4999999999999991</v>
      </c>
      <c r="J16" s="50">
        <f t="shared" si="1"/>
        <v>167.75174999999993</v>
      </c>
      <c r="K16" s="50">
        <f t="shared" si="2"/>
        <v>47.24825000000007</v>
      </c>
      <c r="L16" s="9">
        <f t="shared" si="8"/>
        <v>0.78024069767441828</v>
      </c>
      <c r="M16" s="16">
        <v>2</v>
      </c>
      <c r="O16" s="23" t="str">
        <f t="shared" si="11"/>
        <v/>
      </c>
      <c r="P16" s="23" t="str">
        <f t="shared" si="10"/>
        <v/>
      </c>
      <c r="Q16" s="23" t="str">
        <f t="shared" si="10"/>
        <v/>
      </c>
      <c r="R16" s="23" t="str">
        <f t="shared" si="10"/>
        <v/>
      </c>
      <c r="S16" s="23" t="str">
        <f t="shared" si="10"/>
        <v/>
      </c>
      <c r="T16" s="10" t="str">
        <f t="shared" si="3"/>
        <v/>
      </c>
      <c r="V16" s="24" t="str">
        <f t="shared" si="4"/>
        <v/>
      </c>
      <c r="W16" s="25" t="str">
        <f t="shared" si="5"/>
        <v/>
      </c>
    </row>
    <row r="17" spans="1:23" ht="25" customHeight="1">
      <c r="A17" s="37">
        <v>45748</v>
      </c>
      <c r="B17" s="15" t="s">
        <v>90</v>
      </c>
      <c r="C17" s="16" t="s">
        <v>21</v>
      </c>
      <c r="D17" s="5">
        <v>0.47430555555555554</v>
      </c>
      <c r="E17" s="5">
        <v>0.5625</v>
      </c>
      <c r="F17" s="6" t="s">
        <v>17</v>
      </c>
      <c r="G17" s="6">
        <f t="shared" si="6"/>
        <v>6.7361111111111135E-2</v>
      </c>
      <c r="H17" s="50">
        <f>_xlfn.IFNA(VLOOKUP(C:C,'Active Jobs'!B:K,8,0),"")</f>
        <v>220</v>
      </c>
      <c r="I17" s="8">
        <f t="shared" si="7"/>
        <v>1.6166666666666671</v>
      </c>
      <c r="J17" s="50">
        <f t="shared" si="1"/>
        <v>108.47946500000003</v>
      </c>
      <c r="K17" s="50">
        <f t="shared" si="2"/>
        <v>111.52053499999997</v>
      </c>
      <c r="L17" s="9">
        <f t="shared" si="8"/>
        <v>0.49308847727272742</v>
      </c>
      <c r="M17" s="16">
        <v>2</v>
      </c>
      <c r="O17" s="23" t="str">
        <f t="shared" si="11"/>
        <v/>
      </c>
      <c r="P17" s="23" t="str">
        <f t="shared" si="10"/>
        <v/>
      </c>
      <c r="Q17" s="23" t="str">
        <f t="shared" si="10"/>
        <v/>
      </c>
      <c r="R17" s="23" t="str">
        <f t="shared" si="10"/>
        <v/>
      </c>
      <c r="S17" s="23" t="str">
        <f t="shared" si="10"/>
        <v/>
      </c>
      <c r="T17" s="10" t="str">
        <f t="shared" si="3"/>
        <v/>
      </c>
      <c r="V17" s="24" t="str">
        <f t="shared" si="4"/>
        <v/>
      </c>
      <c r="W17" s="25" t="str">
        <f t="shared" si="5"/>
        <v/>
      </c>
    </row>
    <row r="18" spans="1:23" ht="25" customHeight="1">
      <c r="A18" s="37">
        <v>45748</v>
      </c>
      <c r="B18" s="15" t="s">
        <v>90</v>
      </c>
      <c r="C18" s="16" t="s">
        <v>29</v>
      </c>
      <c r="D18" s="5">
        <v>0.56944444444444442</v>
      </c>
      <c r="E18" s="5">
        <v>0.61805555555555558</v>
      </c>
      <c r="F18" s="6" t="str">
        <f t="shared" si="0"/>
        <v>No</v>
      </c>
      <c r="G18" s="6">
        <f t="shared" si="6"/>
        <v>4.861111111111116E-2</v>
      </c>
      <c r="H18" s="50">
        <f>_xlfn.IFNA(VLOOKUP(C:C,'Active Jobs'!B:K,8,0),"")</f>
        <v>200</v>
      </c>
      <c r="I18" s="8">
        <f t="shared" si="7"/>
        <v>1.1666666666666679</v>
      </c>
      <c r="J18" s="50">
        <f t="shared" si="1"/>
        <v>78.284150000000068</v>
      </c>
      <c r="K18" s="50">
        <f t="shared" si="2"/>
        <v>121.71584999999993</v>
      </c>
      <c r="L18" s="9">
        <f t="shared" si="8"/>
        <v>0.39142075000000032</v>
      </c>
      <c r="M18" s="16">
        <v>2</v>
      </c>
      <c r="O18" s="23" t="str">
        <f t="shared" si="11"/>
        <v/>
      </c>
      <c r="P18" s="23" t="str">
        <f t="shared" si="10"/>
        <v/>
      </c>
      <c r="Q18" s="23" t="str">
        <f t="shared" si="10"/>
        <v/>
      </c>
      <c r="R18" s="23" t="str">
        <f t="shared" si="10"/>
        <v/>
      </c>
      <c r="S18" s="23" t="str">
        <f t="shared" si="10"/>
        <v/>
      </c>
      <c r="T18" s="10" t="str">
        <f t="shared" si="3"/>
        <v/>
      </c>
      <c r="V18" s="24" t="str">
        <f t="shared" si="4"/>
        <v/>
      </c>
      <c r="W18" s="25" t="str">
        <f t="shared" si="5"/>
        <v/>
      </c>
    </row>
    <row r="19" spans="1:23" ht="25" customHeight="1">
      <c r="A19" s="38">
        <v>45749</v>
      </c>
      <c r="B19" s="15" t="s">
        <v>334</v>
      </c>
      <c r="C19" s="16" t="s">
        <v>55</v>
      </c>
      <c r="D19" s="5">
        <v>0.35416666666666669</v>
      </c>
      <c r="E19" s="5">
        <v>0.7055555555555556</v>
      </c>
      <c r="F19" s="6" t="s">
        <v>17</v>
      </c>
      <c r="G19" s="6">
        <f t="shared" si="6"/>
        <v>0.3305555555555556</v>
      </c>
      <c r="H19" s="50">
        <v>850</v>
      </c>
      <c r="I19" s="8">
        <f t="shared" si="7"/>
        <v>7.9333333333333336</v>
      </c>
      <c r="J19" s="50">
        <f t="shared" si="1"/>
        <v>532.33222000000001</v>
      </c>
      <c r="K19" s="50">
        <f t="shared" si="2"/>
        <v>317.66777999999999</v>
      </c>
      <c r="L19" s="9">
        <f t="shared" si="8"/>
        <v>0.62627319999999997</v>
      </c>
      <c r="M19" s="16">
        <v>3</v>
      </c>
      <c r="O19" s="23" t="str">
        <f t="shared" si="11"/>
        <v/>
      </c>
      <c r="P19" s="23" t="str">
        <f t="shared" si="10"/>
        <v/>
      </c>
      <c r="Q19" s="23" t="str">
        <f t="shared" si="10"/>
        <v/>
      </c>
      <c r="R19" s="23" t="str">
        <f t="shared" si="10"/>
        <v/>
      </c>
      <c r="S19" s="23" t="str">
        <f t="shared" si="10"/>
        <v/>
      </c>
      <c r="T19" s="74" t="str">
        <f t="shared" si="3"/>
        <v/>
      </c>
    </row>
    <row r="20" spans="1:23" ht="25" customHeight="1">
      <c r="A20" s="38">
        <v>45749</v>
      </c>
      <c r="B20" s="15" t="s">
        <v>338</v>
      </c>
      <c r="C20" s="16" t="s">
        <v>108</v>
      </c>
      <c r="D20" s="5">
        <v>0.35416666666666669</v>
      </c>
      <c r="E20" s="5">
        <v>0.44791666666666669</v>
      </c>
      <c r="F20" s="6" t="str">
        <f t="shared" si="0"/>
        <v>No</v>
      </c>
      <c r="G20" s="6">
        <f t="shared" si="6"/>
        <v>9.375E-2</v>
      </c>
      <c r="H20" s="50">
        <f>_xlfn.IFNA(VLOOKUP(C:C,'Active Jobs'!B:K,8,0),"")</f>
        <v>200</v>
      </c>
      <c r="I20" s="8">
        <f t="shared" si="7"/>
        <v>2.25</v>
      </c>
      <c r="J20" s="50">
        <f t="shared" si="1"/>
        <v>150.976575</v>
      </c>
      <c r="K20" s="50">
        <f t="shared" si="2"/>
        <v>49.023425000000003</v>
      </c>
      <c r="L20" s="9">
        <f t="shared" si="8"/>
        <v>0.75488287499999995</v>
      </c>
      <c r="M20" s="16">
        <v>1</v>
      </c>
      <c r="O20" s="23" t="str">
        <f t="shared" si="11"/>
        <v/>
      </c>
      <c r="P20" s="23" t="str">
        <f t="shared" si="10"/>
        <v/>
      </c>
      <c r="Q20" s="23" t="str">
        <f t="shared" si="10"/>
        <v/>
      </c>
      <c r="R20" s="23" t="str">
        <f t="shared" si="10"/>
        <v/>
      </c>
      <c r="S20" s="23" t="str">
        <f t="shared" si="10"/>
        <v/>
      </c>
      <c r="T20" s="74" t="str">
        <f t="shared" si="3"/>
        <v/>
      </c>
    </row>
    <row r="21" spans="1:23" ht="25" customHeight="1">
      <c r="A21" s="38">
        <v>45749</v>
      </c>
      <c r="B21" s="15" t="s">
        <v>338</v>
      </c>
      <c r="C21" s="16" t="s">
        <v>122</v>
      </c>
      <c r="D21" s="5">
        <v>0.45833333333333331</v>
      </c>
      <c r="E21" s="5">
        <v>0.5625</v>
      </c>
      <c r="F21" s="6" t="s">
        <v>17</v>
      </c>
      <c r="G21" s="6">
        <f t="shared" si="6"/>
        <v>8.3333333333333356E-2</v>
      </c>
      <c r="H21" s="50">
        <v>195</v>
      </c>
      <c r="I21" s="8">
        <f t="shared" si="7"/>
        <v>2.0000000000000004</v>
      </c>
      <c r="J21" s="50">
        <f t="shared" si="1"/>
        <v>134.20140000000004</v>
      </c>
      <c r="K21" s="50">
        <f t="shared" si="2"/>
        <v>60.798599999999965</v>
      </c>
      <c r="L21" s="9">
        <f t="shared" si="8"/>
        <v>0.6882123076923079</v>
      </c>
      <c r="M21" s="16">
        <v>1</v>
      </c>
      <c r="O21" s="23" t="str">
        <f t="shared" si="11"/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3"/>
        <v/>
      </c>
    </row>
    <row r="22" spans="1:23" ht="25" customHeight="1">
      <c r="A22" s="38">
        <v>45749</v>
      </c>
      <c r="B22" s="15" t="s">
        <v>338</v>
      </c>
      <c r="C22" s="16" t="s">
        <v>104</v>
      </c>
      <c r="D22" s="5">
        <v>0.5625</v>
      </c>
      <c r="E22" s="5">
        <v>0.65277777777777779</v>
      </c>
      <c r="F22" s="6" t="str">
        <f t="shared" si="0"/>
        <v>No</v>
      </c>
      <c r="G22" s="6">
        <f t="shared" si="6"/>
        <v>9.027777777777779E-2</v>
      </c>
      <c r="H22" s="50">
        <v>250</v>
      </c>
      <c r="I22" s="8">
        <f t="shared" si="7"/>
        <v>2.166666666666667</v>
      </c>
      <c r="J22" s="50">
        <f t="shared" si="1"/>
        <v>145.38485000000003</v>
      </c>
      <c r="K22" s="50">
        <f t="shared" si="2"/>
        <v>104.61514999999997</v>
      </c>
      <c r="L22" s="9">
        <f t="shared" si="8"/>
        <v>0.58153940000000015</v>
      </c>
      <c r="M22" s="16">
        <v>1</v>
      </c>
      <c r="O22" s="23" t="str">
        <f t="shared" si="11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3"/>
        <v/>
      </c>
    </row>
    <row r="23" spans="1:23" ht="25" customHeight="1">
      <c r="A23" s="38">
        <v>45749</v>
      </c>
      <c r="B23" s="15" t="s">
        <v>90</v>
      </c>
      <c r="C23" s="16" t="s">
        <v>102</v>
      </c>
      <c r="D23" s="5">
        <v>0.35416666666666669</v>
      </c>
      <c r="E23" s="5">
        <v>0.44791666666666669</v>
      </c>
      <c r="F23" s="6" t="str">
        <f t="shared" si="0"/>
        <v>No</v>
      </c>
      <c r="G23" s="6">
        <f t="shared" si="6"/>
        <v>9.375E-2</v>
      </c>
      <c r="H23" s="50">
        <f>_xlfn.IFNA(VLOOKUP(C:C,'Active Jobs'!B:K,8,0),"")</f>
        <v>240</v>
      </c>
      <c r="I23" s="8">
        <f t="shared" si="7"/>
        <v>2.25</v>
      </c>
      <c r="J23" s="50">
        <f t="shared" si="1"/>
        <v>150.976575</v>
      </c>
      <c r="K23" s="50">
        <f t="shared" si="2"/>
        <v>89.023425000000003</v>
      </c>
      <c r="L23" s="9">
        <f t="shared" si="8"/>
        <v>0.62906906249999994</v>
      </c>
      <c r="M23" s="16">
        <v>2</v>
      </c>
      <c r="O23" s="23" t="str">
        <f t="shared" si="11"/>
        <v/>
      </c>
      <c r="P23" s="23" t="str">
        <f t="shared" ref="P23:S42" si="12">IF(O23="","",ROUND(SUMIFS($I:$I,$A:$A,P$1,$B:$B,"*"&amp;$N23&amp;"*"),2))</f>
        <v/>
      </c>
      <c r="Q23" s="23" t="str">
        <f t="shared" si="12"/>
        <v/>
      </c>
      <c r="R23" s="23" t="str">
        <f t="shared" si="12"/>
        <v/>
      </c>
      <c r="S23" s="23" t="str">
        <f t="shared" si="12"/>
        <v/>
      </c>
      <c r="T23" s="74" t="str">
        <f t="shared" si="3"/>
        <v/>
      </c>
    </row>
    <row r="24" spans="1:23" ht="25" customHeight="1">
      <c r="A24" s="38">
        <v>45749</v>
      </c>
      <c r="B24" s="15" t="s">
        <v>90</v>
      </c>
      <c r="C24" s="16" t="s">
        <v>35</v>
      </c>
      <c r="D24" s="5">
        <v>0.45833333333333331</v>
      </c>
      <c r="E24" s="5">
        <v>0.5625</v>
      </c>
      <c r="F24" s="6" t="s">
        <v>17</v>
      </c>
      <c r="G24" s="6">
        <f t="shared" si="6"/>
        <v>8.3333333333333356E-2</v>
      </c>
      <c r="H24" s="50">
        <v>215</v>
      </c>
      <c r="I24" s="8">
        <f t="shared" si="7"/>
        <v>2.0000000000000004</v>
      </c>
      <c r="J24" s="50">
        <f t="shared" si="1"/>
        <v>134.20140000000004</v>
      </c>
      <c r="K24" s="50">
        <f t="shared" si="2"/>
        <v>80.798599999999965</v>
      </c>
      <c r="L24" s="9">
        <f t="shared" si="8"/>
        <v>0.624192558139535</v>
      </c>
      <c r="M24" s="16">
        <v>2</v>
      </c>
      <c r="O24" s="23" t="str">
        <f t="shared" si="11"/>
        <v/>
      </c>
      <c r="P24" s="23" t="str">
        <f t="shared" si="12"/>
        <v/>
      </c>
      <c r="Q24" s="23" t="str">
        <f t="shared" si="12"/>
        <v/>
      </c>
      <c r="R24" s="23" t="str">
        <f t="shared" si="12"/>
        <v/>
      </c>
      <c r="S24" s="23" t="str">
        <f t="shared" si="12"/>
        <v/>
      </c>
      <c r="T24" s="74" t="str">
        <f t="shared" si="3"/>
        <v/>
      </c>
    </row>
    <row r="25" spans="1:23" ht="25" customHeight="1">
      <c r="A25" s="38">
        <v>45749</v>
      </c>
      <c r="B25" s="15" t="s">
        <v>90</v>
      </c>
      <c r="C25" s="16" t="s">
        <v>25</v>
      </c>
      <c r="D25" s="5">
        <v>0.5625</v>
      </c>
      <c r="E25" s="5">
        <v>0.64236111111111116</v>
      </c>
      <c r="F25" s="6" t="str">
        <f t="shared" si="0"/>
        <v>No</v>
      </c>
      <c r="G25" s="6">
        <f t="shared" si="6"/>
        <v>7.986111111111116E-2</v>
      </c>
      <c r="H25" s="50">
        <f>_xlfn.IFNA(VLOOKUP(C:C,'Active Jobs'!B:K,8,0),"")</f>
        <v>220</v>
      </c>
      <c r="I25" s="8">
        <f t="shared" si="7"/>
        <v>1.9166666666666679</v>
      </c>
      <c r="J25" s="50">
        <f t="shared" si="1"/>
        <v>128.60967500000007</v>
      </c>
      <c r="K25" s="50">
        <f t="shared" si="2"/>
        <v>91.390324999999933</v>
      </c>
      <c r="L25" s="9">
        <f t="shared" si="8"/>
        <v>0.58458943181818213</v>
      </c>
      <c r="M25" s="16">
        <v>2</v>
      </c>
      <c r="O25" s="23" t="str">
        <f t="shared" si="11"/>
        <v/>
      </c>
      <c r="P25" s="23" t="str">
        <f t="shared" si="12"/>
        <v/>
      </c>
      <c r="Q25" s="23" t="str">
        <f t="shared" si="12"/>
        <v/>
      </c>
      <c r="R25" s="23" t="str">
        <f t="shared" si="12"/>
        <v/>
      </c>
      <c r="S25" s="23" t="str">
        <f t="shared" si="12"/>
        <v/>
      </c>
      <c r="T25" s="74" t="str">
        <f t="shared" si="3"/>
        <v/>
      </c>
    </row>
    <row r="26" spans="1:23" ht="25" customHeight="1">
      <c r="A26" s="38">
        <v>45750</v>
      </c>
      <c r="B26" s="15" t="s">
        <v>334</v>
      </c>
      <c r="C26" s="16" t="s">
        <v>111</v>
      </c>
      <c r="D26" s="5">
        <v>0.35416666666666669</v>
      </c>
      <c r="E26" s="5">
        <v>0.44791666666666669</v>
      </c>
      <c r="F26" s="6" t="str">
        <f t="shared" si="0"/>
        <v>No</v>
      </c>
      <c r="G26" s="6">
        <f t="shared" si="6"/>
        <v>9.375E-2</v>
      </c>
      <c r="H26" s="50">
        <f>_xlfn.IFNA(VLOOKUP(C:C,'Active Jobs'!B:K,8,0),"")</f>
        <v>220</v>
      </c>
      <c r="I26" s="8">
        <f t="shared" si="7"/>
        <v>2.25</v>
      </c>
      <c r="J26" s="50">
        <f t="shared" si="1"/>
        <v>150.976575</v>
      </c>
      <c r="K26" s="50">
        <f t="shared" si="2"/>
        <v>69.023425000000003</v>
      </c>
      <c r="L26" s="9">
        <f t="shared" si="8"/>
        <v>0.68625715909090912</v>
      </c>
      <c r="M26" s="16">
        <v>3</v>
      </c>
      <c r="O26" s="23" t="str">
        <f t="shared" si="11"/>
        <v/>
      </c>
      <c r="P26" s="23" t="str">
        <f t="shared" si="12"/>
        <v/>
      </c>
      <c r="Q26" s="23" t="str">
        <f t="shared" si="12"/>
        <v/>
      </c>
      <c r="R26" s="23" t="str">
        <f t="shared" si="12"/>
        <v/>
      </c>
      <c r="S26" s="23" t="str">
        <f t="shared" si="12"/>
        <v/>
      </c>
      <c r="T26" s="74" t="str">
        <f t="shared" si="3"/>
        <v/>
      </c>
    </row>
    <row r="27" spans="1:23" ht="25" customHeight="1">
      <c r="A27" s="38">
        <v>45750</v>
      </c>
      <c r="B27" s="15" t="s">
        <v>334</v>
      </c>
      <c r="C27" s="16" t="s">
        <v>357</v>
      </c>
      <c r="D27" s="5">
        <v>0.44791666666666669</v>
      </c>
      <c r="E27" s="5">
        <v>0.67222222222222228</v>
      </c>
      <c r="F27" s="6" t="s">
        <v>17</v>
      </c>
      <c r="G27" s="6">
        <f t="shared" si="6"/>
        <v>0.20347222222222225</v>
      </c>
      <c r="H27" s="50">
        <v>795</v>
      </c>
      <c r="I27" s="8">
        <f t="shared" si="7"/>
        <v>4.8833333333333346</v>
      </c>
      <c r="J27" s="50">
        <f t="shared" si="1"/>
        <v>327.67508500000002</v>
      </c>
      <c r="K27" s="50">
        <f t="shared" si="2"/>
        <v>467.32491499999998</v>
      </c>
      <c r="L27" s="9">
        <f t="shared" si="8"/>
        <v>0.41216991823899374</v>
      </c>
      <c r="M27" s="16">
        <v>3</v>
      </c>
      <c r="O27" s="23" t="str">
        <f t="shared" si="11"/>
        <v/>
      </c>
      <c r="P27" s="23" t="str">
        <f t="shared" si="12"/>
        <v/>
      </c>
      <c r="Q27" s="23" t="str">
        <f t="shared" si="12"/>
        <v/>
      </c>
      <c r="R27" s="23" t="str">
        <f t="shared" si="12"/>
        <v/>
      </c>
      <c r="S27" s="23" t="str">
        <f t="shared" si="12"/>
        <v/>
      </c>
      <c r="T27" s="74" t="str">
        <f t="shared" si="3"/>
        <v/>
      </c>
    </row>
    <row r="28" spans="1:23" ht="25" customHeight="1">
      <c r="A28" s="38">
        <v>45750</v>
      </c>
      <c r="B28" s="15" t="s">
        <v>338</v>
      </c>
      <c r="C28" s="16" t="s">
        <v>112</v>
      </c>
      <c r="D28" s="5">
        <v>0.35416666666666669</v>
      </c>
      <c r="E28" s="5">
        <v>0.44791666666666669</v>
      </c>
      <c r="F28" s="6" t="str">
        <f t="shared" si="0"/>
        <v>No</v>
      </c>
      <c r="G28" s="6">
        <f t="shared" si="6"/>
        <v>9.375E-2</v>
      </c>
      <c r="H28" s="50">
        <f>_xlfn.IFNA(VLOOKUP(C:C,'Active Jobs'!B:K,8,0),"")</f>
        <v>200</v>
      </c>
      <c r="I28" s="8">
        <f t="shared" si="7"/>
        <v>2.25</v>
      </c>
      <c r="J28" s="50">
        <f t="shared" si="1"/>
        <v>150.976575</v>
      </c>
      <c r="K28" s="50">
        <f t="shared" si="2"/>
        <v>49.023425000000003</v>
      </c>
      <c r="L28" s="9">
        <f t="shared" si="8"/>
        <v>0.75488287499999995</v>
      </c>
      <c r="M28" s="16">
        <v>1</v>
      </c>
      <c r="O28" s="23" t="str">
        <f t="shared" si="11"/>
        <v/>
      </c>
      <c r="P28" s="23" t="str">
        <f t="shared" si="12"/>
        <v/>
      </c>
      <c r="Q28" s="23" t="str">
        <f t="shared" si="12"/>
        <v/>
      </c>
      <c r="R28" s="23" t="str">
        <f t="shared" si="12"/>
        <v/>
      </c>
      <c r="S28" s="23" t="str">
        <f t="shared" si="12"/>
        <v/>
      </c>
      <c r="T28" s="74" t="str">
        <f t="shared" si="3"/>
        <v/>
      </c>
    </row>
    <row r="29" spans="1:23" ht="25" customHeight="1">
      <c r="A29" s="38">
        <v>45750</v>
      </c>
      <c r="B29" s="15" t="s">
        <v>338</v>
      </c>
      <c r="C29" s="16" t="s">
        <v>113</v>
      </c>
      <c r="D29" s="5">
        <v>0.44791666666666669</v>
      </c>
      <c r="E29" s="5">
        <v>0.5625</v>
      </c>
      <c r="F29" s="6" t="s">
        <v>17</v>
      </c>
      <c r="G29" s="6">
        <f t="shared" si="6"/>
        <v>9.3749999999999986E-2</v>
      </c>
      <c r="H29" s="50">
        <f>_xlfn.IFNA(VLOOKUP(C:C,'Active Jobs'!B:K,8,0),"")</f>
        <v>230</v>
      </c>
      <c r="I29" s="8">
        <f t="shared" si="7"/>
        <v>2.2499999999999996</v>
      </c>
      <c r="J29" s="50">
        <f t="shared" si="1"/>
        <v>150.97657499999997</v>
      </c>
      <c r="K29" s="50">
        <f t="shared" si="2"/>
        <v>79.023425000000032</v>
      </c>
      <c r="L29" s="9">
        <f t="shared" si="8"/>
        <v>0.65641989130434764</v>
      </c>
      <c r="M29" s="16">
        <v>1</v>
      </c>
      <c r="O29" s="23" t="str">
        <f t="shared" si="11"/>
        <v/>
      </c>
      <c r="P29" s="23" t="str">
        <f t="shared" si="12"/>
        <v/>
      </c>
      <c r="Q29" s="23" t="str">
        <f t="shared" si="12"/>
        <v/>
      </c>
      <c r="R29" s="23" t="str">
        <f t="shared" si="12"/>
        <v/>
      </c>
      <c r="S29" s="23" t="str">
        <f t="shared" si="12"/>
        <v/>
      </c>
      <c r="T29" s="74" t="str">
        <f t="shared" si="3"/>
        <v/>
      </c>
    </row>
    <row r="30" spans="1:23" ht="25" customHeight="1">
      <c r="A30" s="38">
        <v>45750</v>
      </c>
      <c r="B30" s="15" t="s">
        <v>338</v>
      </c>
      <c r="C30" s="16" t="s">
        <v>114</v>
      </c>
      <c r="D30" s="5">
        <v>0.5625</v>
      </c>
      <c r="E30" s="5">
        <v>0.63472222222222219</v>
      </c>
      <c r="F30" s="6" t="str">
        <f t="shared" si="0"/>
        <v>No</v>
      </c>
      <c r="G30" s="6">
        <f t="shared" si="6"/>
        <v>7.2222222222222188E-2</v>
      </c>
      <c r="H30" s="50">
        <f>_xlfn.IFNA(VLOOKUP(C:C,'Active Jobs'!B:K,8,0),"")</f>
        <v>220</v>
      </c>
      <c r="I30" s="8">
        <f t="shared" si="7"/>
        <v>1.7333333333333325</v>
      </c>
      <c r="J30" s="50">
        <f t="shared" si="1"/>
        <v>116.30787999999995</v>
      </c>
      <c r="K30" s="50">
        <f t="shared" si="2"/>
        <v>103.69212000000005</v>
      </c>
      <c r="L30" s="9">
        <f t="shared" si="8"/>
        <v>0.52867218181818165</v>
      </c>
      <c r="M30" s="16">
        <v>1</v>
      </c>
      <c r="O30" s="23" t="str">
        <f t="shared" si="11"/>
        <v/>
      </c>
      <c r="P30" s="23" t="str">
        <f t="shared" si="12"/>
        <v/>
      </c>
      <c r="Q30" s="23" t="str">
        <f t="shared" si="12"/>
        <v/>
      </c>
      <c r="R30" s="23" t="str">
        <f t="shared" si="12"/>
        <v/>
      </c>
      <c r="S30" s="23" t="str">
        <f t="shared" si="12"/>
        <v/>
      </c>
      <c r="T30" s="74" t="str">
        <f t="shared" si="3"/>
        <v/>
      </c>
    </row>
    <row r="31" spans="1:23" ht="25" customHeight="1">
      <c r="A31" s="38">
        <v>45750</v>
      </c>
      <c r="B31" s="15" t="s">
        <v>90</v>
      </c>
      <c r="C31" s="16" t="s">
        <v>123</v>
      </c>
      <c r="D31" s="5">
        <v>0.35416666666666669</v>
      </c>
      <c r="E31" s="5">
        <v>0.44791666666666669</v>
      </c>
      <c r="F31" s="6" t="str">
        <f t="shared" si="0"/>
        <v>No</v>
      </c>
      <c r="G31" s="6">
        <f t="shared" si="6"/>
        <v>9.375E-2</v>
      </c>
      <c r="H31" s="50">
        <f>_xlfn.IFNA(VLOOKUP(C:C,'Active Jobs'!B:K,8,0),"")</f>
        <v>220</v>
      </c>
      <c r="I31" s="8">
        <f t="shared" si="7"/>
        <v>2.25</v>
      </c>
      <c r="J31" s="50">
        <f t="shared" si="1"/>
        <v>150.976575</v>
      </c>
      <c r="K31" s="50">
        <f t="shared" si="2"/>
        <v>69.023425000000003</v>
      </c>
      <c r="L31" s="9">
        <f t="shared" si="8"/>
        <v>0.68625715909090912</v>
      </c>
      <c r="M31" s="16">
        <v>2</v>
      </c>
      <c r="O31" s="23" t="str">
        <f t="shared" si="11"/>
        <v/>
      </c>
      <c r="P31" s="23" t="str">
        <f t="shared" si="12"/>
        <v/>
      </c>
      <c r="Q31" s="23" t="str">
        <f t="shared" si="12"/>
        <v/>
      </c>
      <c r="R31" s="23" t="str">
        <f t="shared" si="12"/>
        <v/>
      </c>
      <c r="S31" s="23" t="str">
        <f t="shared" si="12"/>
        <v/>
      </c>
      <c r="T31" s="74" t="str">
        <f t="shared" si="3"/>
        <v/>
      </c>
    </row>
    <row r="32" spans="1:23" ht="25" customHeight="1">
      <c r="A32" s="38">
        <v>45750</v>
      </c>
      <c r="B32" s="15" t="s">
        <v>90</v>
      </c>
      <c r="C32" s="16" t="s">
        <v>28</v>
      </c>
      <c r="D32" s="5">
        <v>0.45833333333333331</v>
      </c>
      <c r="E32" s="5">
        <v>0.5625</v>
      </c>
      <c r="F32" s="6" t="s">
        <v>17</v>
      </c>
      <c r="G32" s="6">
        <f t="shared" si="6"/>
        <v>8.3333333333333356E-2</v>
      </c>
      <c r="H32" s="50">
        <f>_xlfn.IFNA(VLOOKUP(C:C,'Active Jobs'!B:K,8,0),"")</f>
        <v>200</v>
      </c>
      <c r="I32" s="8">
        <f t="shared" si="7"/>
        <v>2.0000000000000004</v>
      </c>
      <c r="J32" s="50">
        <f t="shared" si="1"/>
        <v>134.20140000000004</v>
      </c>
      <c r="K32" s="50">
        <f t="shared" si="2"/>
        <v>65.798599999999965</v>
      </c>
      <c r="L32" s="9">
        <f t="shared" si="8"/>
        <v>0.67100700000000013</v>
      </c>
      <c r="M32" s="16">
        <v>2</v>
      </c>
      <c r="O32" s="23" t="str">
        <f t="shared" si="11"/>
        <v/>
      </c>
      <c r="P32" s="23" t="str">
        <f t="shared" si="12"/>
        <v/>
      </c>
      <c r="Q32" s="23" t="str">
        <f t="shared" si="12"/>
        <v/>
      </c>
      <c r="R32" s="23" t="str">
        <f t="shared" si="12"/>
        <v/>
      </c>
      <c r="S32" s="23" t="str">
        <f t="shared" si="12"/>
        <v/>
      </c>
      <c r="T32" s="74" t="str">
        <f t="shared" si="3"/>
        <v/>
      </c>
    </row>
    <row r="33" spans="1:20" ht="25" customHeight="1">
      <c r="A33" s="38">
        <v>45750</v>
      </c>
      <c r="B33" s="15" t="s">
        <v>90</v>
      </c>
      <c r="C33" s="16" t="s">
        <v>124</v>
      </c>
      <c r="D33" s="5">
        <v>0.5625</v>
      </c>
      <c r="E33" s="5">
        <v>0.65972222222222221</v>
      </c>
      <c r="F33" s="6" t="str">
        <f t="shared" si="0"/>
        <v>No</v>
      </c>
      <c r="G33" s="6">
        <f t="shared" si="6"/>
        <v>9.722222222222221E-2</v>
      </c>
      <c r="H33" s="50">
        <f>_xlfn.IFNA(VLOOKUP(C:C,'Active Jobs'!B:K,8,0),"")</f>
        <v>250</v>
      </c>
      <c r="I33" s="8">
        <f t="shared" si="7"/>
        <v>2.333333333333333</v>
      </c>
      <c r="J33" s="50">
        <f t="shared" si="1"/>
        <v>156.56829999999999</v>
      </c>
      <c r="K33" s="50">
        <f t="shared" si="2"/>
        <v>93.431700000000006</v>
      </c>
      <c r="L33" s="9">
        <f t="shared" si="8"/>
        <v>0.62627319999999997</v>
      </c>
      <c r="M33" s="16">
        <v>2</v>
      </c>
      <c r="O33" s="23" t="str">
        <f t="shared" si="11"/>
        <v/>
      </c>
      <c r="P33" s="23" t="str">
        <f t="shared" si="12"/>
        <v/>
      </c>
      <c r="Q33" s="23" t="str">
        <f t="shared" si="12"/>
        <v/>
      </c>
      <c r="R33" s="23" t="str">
        <f t="shared" si="12"/>
        <v/>
      </c>
      <c r="S33" s="23" t="str">
        <f t="shared" si="12"/>
        <v/>
      </c>
      <c r="T33" s="74" t="str">
        <f t="shared" si="3"/>
        <v/>
      </c>
    </row>
    <row r="34" spans="1:20" ht="25" customHeight="1">
      <c r="A34" s="38">
        <v>45751</v>
      </c>
      <c r="B34" s="15" t="s">
        <v>338</v>
      </c>
      <c r="C34" s="16" t="s">
        <v>42</v>
      </c>
      <c r="D34" s="5">
        <v>0.35416666666666669</v>
      </c>
      <c r="E34" s="5">
        <v>0.44791666666666669</v>
      </c>
      <c r="F34" s="6" t="str">
        <f t="shared" si="0"/>
        <v>No</v>
      </c>
      <c r="G34" s="6">
        <f t="shared" si="6"/>
        <v>9.375E-2</v>
      </c>
      <c r="H34" s="50">
        <f>_xlfn.IFNA(VLOOKUP(C:C,'Active Jobs'!B:K,8,0),"")</f>
        <v>200</v>
      </c>
      <c r="I34" s="8">
        <f t="shared" si="7"/>
        <v>2.25</v>
      </c>
      <c r="J34" s="50">
        <f t="shared" si="1"/>
        <v>150.976575</v>
      </c>
      <c r="K34" s="50">
        <f t="shared" si="2"/>
        <v>49.023425000000003</v>
      </c>
      <c r="L34" s="9">
        <f t="shared" si="8"/>
        <v>0.75488287499999995</v>
      </c>
      <c r="M34" s="16">
        <v>1</v>
      </c>
      <c r="O34" s="23" t="str">
        <f t="shared" si="11"/>
        <v/>
      </c>
      <c r="P34" s="23" t="str">
        <f t="shared" si="12"/>
        <v/>
      </c>
      <c r="Q34" s="23" t="str">
        <f t="shared" si="12"/>
        <v/>
      </c>
      <c r="R34" s="23" t="str">
        <f t="shared" si="12"/>
        <v/>
      </c>
      <c r="S34" s="23" t="str">
        <f t="shared" si="12"/>
        <v/>
      </c>
      <c r="T34" s="74" t="str">
        <f t="shared" si="3"/>
        <v/>
      </c>
    </row>
    <row r="35" spans="1:20" ht="25" customHeight="1">
      <c r="A35" s="38">
        <v>45751</v>
      </c>
      <c r="B35" s="15" t="s">
        <v>338</v>
      </c>
      <c r="C35" s="16" t="s">
        <v>107</v>
      </c>
      <c r="D35" s="5">
        <v>0.4513888888888889</v>
      </c>
      <c r="E35" s="5">
        <v>0.5625</v>
      </c>
      <c r="F35" s="6" t="s">
        <v>17</v>
      </c>
      <c r="G35" s="6">
        <f t="shared" si="6"/>
        <v>9.0277777777777776E-2</v>
      </c>
      <c r="H35" s="50">
        <v>230</v>
      </c>
      <c r="I35" s="8">
        <f t="shared" si="7"/>
        <v>2.1666666666666665</v>
      </c>
      <c r="J35" s="50">
        <f t="shared" si="1"/>
        <v>145.38484999999997</v>
      </c>
      <c r="K35" s="50">
        <f t="shared" si="2"/>
        <v>84.615150000000028</v>
      </c>
      <c r="L35" s="9">
        <f t="shared" si="8"/>
        <v>0.63210804347826077</v>
      </c>
      <c r="M35" s="16">
        <v>1</v>
      </c>
      <c r="O35" s="23" t="str">
        <f t="shared" si="11"/>
        <v/>
      </c>
      <c r="P35" s="23" t="str">
        <f t="shared" si="12"/>
        <v/>
      </c>
      <c r="Q35" s="23" t="str">
        <f t="shared" si="12"/>
        <v/>
      </c>
      <c r="R35" s="23" t="str">
        <f t="shared" si="12"/>
        <v/>
      </c>
      <c r="S35" s="23" t="str">
        <f t="shared" si="12"/>
        <v/>
      </c>
      <c r="T35" s="74" t="str">
        <f t="shared" si="3"/>
        <v/>
      </c>
    </row>
    <row r="36" spans="1:20" ht="25" customHeight="1">
      <c r="A36" s="38">
        <v>45751</v>
      </c>
      <c r="B36" s="15" t="s">
        <v>338</v>
      </c>
      <c r="C36" s="16" t="s">
        <v>125</v>
      </c>
      <c r="D36" s="5">
        <v>0.56597222222222221</v>
      </c>
      <c r="E36" s="5">
        <v>0.64583333333333337</v>
      </c>
      <c r="F36" s="6" t="str">
        <f t="shared" si="0"/>
        <v>No</v>
      </c>
      <c r="G36" s="6">
        <f t="shared" si="6"/>
        <v>7.986111111111116E-2</v>
      </c>
      <c r="H36" s="50">
        <v>215</v>
      </c>
      <c r="I36" s="8">
        <f t="shared" si="7"/>
        <v>1.9166666666666679</v>
      </c>
      <c r="J36" s="50">
        <f t="shared" si="1"/>
        <v>128.60967500000007</v>
      </c>
      <c r="K36" s="50">
        <f t="shared" si="2"/>
        <v>86.390324999999933</v>
      </c>
      <c r="L36" s="9">
        <f t="shared" si="8"/>
        <v>0.59818453488372125</v>
      </c>
      <c r="M36" s="16">
        <v>1</v>
      </c>
      <c r="O36" s="23" t="str">
        <f t="shared" si="11"/>
        <v/>
      </c>
      <c r="P36" s="23" t="str">
        <f t="shared" si="12"/>
        <v/>
      </c>
      <c r="Q36" s="23" t="str">
        <f t="shared" si="12"/>
        <v/>
      </c>
      <c r="R36" s="23" t="str">
        <f t="shared" si="12"/>
        <v/>
      </c>
      <c r="S36" s="23" t="str">
        <f t="shared" si="12"/>
        <v/>
      </c>
      <c r="T36" s="74" t="str">
        <f t="shared" si="3"/>
        <v/>
      </c>
    </row>
    <row r="37" spans="1:20" ht="25" customHeight="1">
      <c r="A37" s="38">
        <v>45751</v>
      </c>
      <c r="B37" s="15" t="s">
        <v>338</v>
      </c>
      <c r="C37" s="16" t="s">
        <v>100</v>
      </c>
      <c r="D37" s="5">
        <v>0.65277777777777779</v>
      </c>
      <c r="E37" s="5">
        <v>0.71319444444444446</v>
      </c>
      <c r="F37" s="6" t="str">
        <f t="shared" si="0"/>
        <v>No</v>
      </c>
      <c r="G37" s="6">
        <f t="shared" si="6"/>
        <v>6.0416666666666674E-2</v>
      </c>
      <c r="H37" s="50">
        <f>_xlfn.IFNA(VLOOKUP(C:C,'Active Jobs'!B:K,8,0),"")</f>
        <v>200</v>
      </c>
      <c r="I37" s="8">
        <f t="shared" si="7"/>
        <v>1.4500000000000002</v>
      </c>
      <c r="J37" s="50">
        <f t="shared" si="1"/>
        <v>97.296015000000011</v>
      </c>
      <c r="K37" s="50">
        <f t="shared" si="2"/>
        <v>102.70398499999999</v>
      </c>
      <c r="L37" s="9">
        <f t="shared" si="8"/>
        <v>0.48648007500000007</v>
      </c>
      <c r="M37" s="16">
        <v>1</v>
      </c>
      <c r="O37" s="23" t="str">
        <f t="shared" si="11"/>
        <v/>
      </c>
      <c r="P37" s="23" t="str">
        <f t="shared" si="12"/>
        <v/>
      </c>
      <c r="Q37" s="23" t="str">
        <f t="shared" si="12"/>
        <v/>
      </c>
      <c r="R37" s="23" t="str">
        <f t="shared" si="12"/>
        <v/>
      </c>
      <c r="S37" s="23" t="str">
        <f t="shared" si="12"/>
        <v/>
      </c>
      <c r="T37" s="74" t="str">
        <f t="shared" si="3"/>
        <v/>
      </c>
    </row>
    <row r="38" spans="1:20" ht="25" customHeight="1">
      <c r="A38" s="38">
        <v>45751</v>
      </c>
      <c r="B38" s="15" t="s">
        <v>90</v>
      </c>
      <c r="C38" s="16" t="s">
        <v>126</v>
      </c>
      <c r="D38" s="5">
        <v>0.35416666666666669</v>
      </c>
      <c r="E38" s="5">
        <v>0.44791666666666669</v>
      </c>
      <c r="F38" s="6" t="str">
        <f t="shared" si="0"/>
        <v>No</v>
      </c>
      <c r="G38" s="6">
        <f t="shared" si="6"/>
        <v>9.375E-2</v>
      </c>
      <c r="H38" s="50">
        <f>_xlfn.IFNA(VLOOKUP(C:C,'Active Jobs'!B:K,8,0),"")</f>
        <v>250</v>
      </c>
      <c r="I38" s="8">
        <f t="shared" si="7"/>
        <v>2.25</v>
      </c>
      <c r="J38" s="50">
        <f t="shared" si="1"/>
        <v>150.976575</v>
      </c>
      <c r="K38" s="50">
        <f t="shared" si="2"/>
        <v>99.023425000000003</v>
      </c>
      <c r="L38" s="9">
        <f t="shared" si="8"/>
        <v>0.60390630000000001</v>
      </c>
      <c r="M38" s="16">
        <v>2</v>
      </c>
      <c r="O38" s="23" t="str">
        <f t="shared" si="11"/>
        <v/>
      </c>
      <c r="P38" s="23" t="str">
        <f t="shared" si="12"/>
        <v/>
      </c>
      <c r="Q38" s="23" t="str">
        <f t="shared" si="12"/>
        <v/>
      </c>
      <c r="R38" s="23" t="str">
        <f t="shared" si="12"/>
        <v/>
      </c>
      <c r="S38" s="23" t="str">
        <f t="shared" si="12"/>
        <v/>
      </c>
      <c r="T38" s="74" t="str">
        <f t="shared" si="3"/>
        <v/>
      </c>
    </row>
    <row r="39" spans="1:20" ht="25" customHeight="1">
      <c r="A39" s="38">
        <v>45751</v>
      </c>
      <c r="B39" s="15" t="s">
        <v>90</v>
      </c>
      <c r="C39" s="16" t="s">
        <v>127</v>
      </c>
      <c r="D39" s="5">
        <v>0.45833333333333331</v>
      </c>
      <c r="E39" s="5">
        <v>0.5625</v>
      </c>
      <c r="F39" s="6" t="s">
        <v>17</v>
      </c>
      <c r="G39" s="6">
        <f t="shared" si="6"/>
        <v>8.3333333333333356E-2</v>
      </c>
      <c r="H39" s="50">
        <f>_xlfn.IFNA(VLOOKUP(C:C,'Active Jobs'!B:K,8,0),"")</f>
        <v>200</v>
      </c>
      <c r="I39" s="8">
        <f t="shared" si="7"/>
        <v>2.0000000000000004</v>
      </c>
      <c r="J39" s="50">
        <f t="shared" si="1"/>
        <v>134.20140000000004</v>
      </c>
      <c r="K39" s="50">
        <f t="shared" si="2"/>
        <v>65.798599999999965</v>
      </c>
      <c r="L39" s="9">
        <f t="shared" si="8"/>
        <v>0.67100700000000013</v>
      </c>
      <c r="M39" s="16">
        <v>2</v>
      </c>
      <c r="O39" s="23" t="str">
        <f t="shared" si="11"/>
        <v/>
      </c>
      <c r="P39" s="23" t="str">
        <f t="shared" si="12"/>
        <v/>
      </c>
      <c r="Q39" s="23" t="str">
        <f t="shared" si="12"/>
        <v/>
      </c>
      <c r="R39" s="23" t="str">
        <f t="shared" si="12"/>
        <v/>
      </c>
      <c r="S39" s="23" t="str">
        <f t="shared" si="12"/>
        <v/>
      </c>
      <c r="T39" s="74" t="str">
        <f t="shared" si="3"/>
        <v/>
      </c>
    </row>
    <row r="40" spans="1:20" ht="25" customHeight="1">
      <c r="A40" s="38">
        <v>45751</v>
      </c>
      <c r="B40" s="15" t="s">
        <v>90</v>
      </c>
      <c r="C40" s="16" t="s">
        <v>128</v>
      </c>
      <c r="D40" s="5">
        <v>0.5625</v>
      </c>
      <c r="E40" s="5">
        <v>0.6381944444444444</v>
      </c>
      <c r="F40" s="6" t="str">
        <f t="shared" si="0"/>
        <v>No</v>
      </c>
      <c r="G40" s="6">
        <f t="shared" si="6"/>
        <v>7.5694444444444398E-2</v>
      </c>
      <c r="H40" s="50">
        <v>250</v>
      </c>
      <c r="I40" s="8">
        <f t="shared" si="7"/>
        <v>1.8166666666666655</v>
      </c>
      <c r="J40" s="50">
        <f t="shared" si="1"/>
        <v>121.89960499999992</v>
      </c>
      <c r="K40" s="50">
        <f t="shared" si="2"/>
        <v>128.10039500000008</v>
      </c>
      <c r="L40" s="9">
        <f t="shared" si="8"/>
        <v>0.4875984199999997</v>
      </c>
      <c r="M40" s="16">
        <v>2</v>
      </c>
      <c r="O40" s="23" t="str">
        <f t="shared" si="11"/>
        <v/>
      </c>
      <c r="P40" s="23" t="str">
        <f t="shared" si="12"/>
        <v/>
      </c>
      <c r="Q40" s="23" t="str">
        <f t="shared" si="12"/>
        <v/>
      </c>
      <c r="R40" s="23" t="str">
        <f t="shared" si="12"/>
        <v/>
      </c>
      <c r="S40" s="23" t="str">
        <f t="shared" si="12"/>
        <v/>
      </c>
      <c r="T40" s="74" t="str">
        <f t="shared" si="3"/>
        <v/>
      </c>
    </row>
    <row r="41" spans="1:20" ht="25" customHeight="1">
      <c r="A41" s="38">
        <v>45751</v>
      </c>
      <c r="B41" s="15" t="s">
        <v>334</v>
      </c>
      <c r="C41" s="16" t="s">
        <v>129</v>
      </c>
      <c r="D41" s="5">
        <v>0.35416666666666669</v>
      </c>
      <c r="E41" s="5">
        <v>0.44444444444444442</v>
      </c>
      <c r="F41" s="6" t="str">
        <f t="shared" si="0"/>
        <v>No</v>
      </c>
      <c r="G41" s="6">
        <f t="shared" si="6"/>
        <v>9.0277777777777735E-2</v>
      </c>
      <c r="H41" s="50">
        <f>_xlfn.IFNA(VLOOKUP(C:C,'Active Jobs'!B:K,8,0),"")</f>
        <v>200</v>
      </c>
      <c r="I41" s="8">
        <f t="shared" si="7"/>
        <v>2.1666666666666656</v>
      </c>
      <c r="J41" s="50">
        <f t="shared" si="1"/>
        <v>145.38484999999991</v>
      </c>
      <c r="K41" s="50">
        <f t="shared" si="2"/>
        <v>54.615150000000085</v>
      </c>
      <c r="L41" s="9">
        <f t="shared" si="8"/>
        <v>0.72692424999999961</v>
      </c>
      <c r="M41" s="16">
        <v>3</v>
      </c>
      <c r="O41" s="23" t="str">
        <f t="shared" si="11"/>
        <v/>
      </c>
      <c r="P41" s="23" t="str">
        <f t="shared" si="12"/>
        <v/>
      </c>
      <c r="Q41" s="23" t="str">
        <f t="shared" si="12"/>
        <v/>
      </c>
      <c r="R41" s="23" t="str">
        <f t="shared" si="12"/>
        <v/>
      </c>
      <c r="S41" s="23" t="str">
        <f t="shared" si="12"/>
        <v/>
      </c>
      <c r="T41" s="74" t="str">
        <f t="shared" si="3"/>
        <v/>
      </c>
    </row>
    <row r="42" spans="1:20" ht="25" customHeight="1">
      <c r="A42" s="38">
        <v>45751</v>
      </c>
      <c r="B42" s="15" t="s">
        <v>334</v>
      </c>
      <c r="C42" s="16" t="s">
        <v>41</v>
      </c>
      <c r="D42" s="5">
        <v>0.44791666666666669</v>
      </c>
      <c r="E42" s="5">
        <v>0.55208333333333337</v>
      </c>
      <c r="F42" s="6" t="str">
        <f t="shared" si="0"/>
        <v>No</v>
      </c>
      <c r="G42" s="6">
        <f t="shared" si="6"/>
        <v>0.10416666666666669</v>
      </c>
      <c r="H42" s="50">
        <v>200</v>
      </c>
      <c r="I42" s="8">
        <f t="shared" si="7"/>
        <v>2.5000000000000004</v>
      </c>
      <c r="J42" s="50">
        <f t="shared" si="1"/>
        <v>167.75175000000002</v>
      </c>
      <c r="K42" s="50">
        <f t="shared" si="2"/>
        <v>32.248249999999985</v>
      </c>
      <c r="L42" s="9">
        <f t="shared" si="8"/>
        <v>0.83875875000000011</v>
      </c>
      <c r="M42" s="16">
        <v>3</v>
      </c>
      <c r="O42" s="23" t="str">
        <f t="shared" si="11"/>
        <v/>
      </c>
      <c r="P42" s="23" t="str">
        <f t="shared" si="12"/>
        <v/>
      </c>
      <c r="Q42" s="23" t="str">
        <f t="shared" si="12"/>
        <v/>
      </c>
      <c r="R42" s="23" t="str">
        <f t="shared" si="12"/>
        <v/>
      </c>
      <c r="S42" s="23" t="str">
        <f t="shared" si="12"/>
        <v/>
      </c>
      <c r="T42" s="74" t="str">
        <f t="shared" si="3"/>
        <v/>
      </c>
    </row>
    <row r="43" spans="1:20" ht="25" customHeight="1">
      <c r="A43" s="38">
        <v>45751</v>
      </c>
      <c r="B43" s="15" t="s">
        <v>334</v>
      </c>
      <c r="C43" s="16" t="s">
        <v>119</v>
      </c>
      <c r="D43" s="5">
        <v>0.55208333333333337</v>
      </c>
      <c r="E43" s="5">
        <v>0.64583333333333337</v>
      </c>
      <c r="F43" s="6" t="s">
        <v>17</v>
      </c>
      <c r="G43" s="6">
        <f t="shared" si="6"/>
        <v>7.2916666666666671E-2</v>
      </c>
      <c r="H43" s="50">
        <v>0</v>
      </c>
      <c r="I43" s="8">
        <f t="shared" si="7"/>
        <v>1.75</v>
      </c>
      <c r="J43" s="50">
        <f t="shared" si="1"/>
        <v>117.426225</v>
      </c>
      <c r="K43" s="50">
        <f t="shared" si="2"/>
        <v>-117.426225</v>
      </c>
      <c r="L43" s="9">
        <f t="shared" si="8"/>
        <v>1</v>
      </c>
      <c r="M43" s="16">
        <v>3</v>
      </c>
    </row>
    <row r="44" spans="1:20" ht="25" customHeight="1">
      <c r="A44" s="38">
        <v>45751</v>
      </c>
      <c r="B44" s="15" t="s">
        <v>334</v>
      </c>
      <c r="C44" s="16" t="s">
        <v>130</v>
      </c>
      <c r="D44" s="5">
        <v>0.64583333333333337</v>
      </c>
      <c r="E44" s="5">
        <v>0.70972222222222225</v>
      </c>
      <c r="F44" s="6" t="str">
        <f t="shared" si="0"/>
        <v>No</v>
      </c>
      <c r="G44" s="6">
        <f t="shared" si="6"/>
        <v>6.3888888888888884E-2</v>
      </c>
      <c r="H44" s="50">
        <f>_xlfn.IFNA(VLOOKUP(C:C,'Active Jobs'!B:K,8,0),"")</f>
        <v>220</v>
      </c>
      <c r="I44" s="8">
        <f t="shared" si="7"/>
        <v>1.5333333333333332</v>
      </c>
      <c r="J44" s="50">
        <f t="shared" si="1"/>
        <v>102.88773999999999</v>
      </c>
      <c r="K44" s="50">
        <f t="shared" si="2"/>
        <v>117.11226000000001</v>
      </c>
      <c r="L44" s="9">
        <f t="shared" si="8"/>
        <v>0.46767154545454542</v>
      </c>
      <c r="M44" s="16">
        <v>3</v>
      </c>
    </row>
    <row r="45" spans="1:20" ht="25" customHeight="1">
      <c r="B45" s="15"/>
      <c r="D45" s="5"/>
      <c r="E45" s="5"/>
      <c r="F45" s="6" t="str">
        <f t="shared" si="0"/>
        <v/>
      </c>
      <c r="G45" s="6" t="str">
        <f t="shared" si="6"/>
        <v/>
      </c>
      <c r="H45" s="50" t="str">
        <f>_xlfn.IFNA(VLOOKUP(C:C,'Active Jobs'!B:K,8,0),"")</f>
        <v/>
      </c>
      <c r="I45" s="8" t="str">
        <f t="shared" si="7"/>
        <v/>
      </c>
      <c r="J45" s="50" t="str">
        <f t="shared" si="1"/>
        <v/>
      </c>
      <c r="K45" s="50" t="str">
        <f t="shared" si="2"/>
        <v/>
      </c>
      <c r="L45" s="9" t="str">
        <f t="shared" si="8"/>
        <v/>
      </c>
    </row>
    <row r="46" spans="1:20" ht="25" customHeight="1">
      <c r="B46" s="86"/>
      <c r="D46" s="5"/>
      <c r="E46" s="5"/>
      <c r="F46" s="6" t="str">
        <f t="shared" si="0"/>
        <v/>
      </c>
      <c r="G46" s="6" t="str">
        <f t="shared" si="6"/>
        <v/>
      </c>
      <c r="H46" s="50" t="str">
        <f>_xlfn.IFNA(VLOOKUP(C:C,'Active Jobs'!B:K,8,0),"")</f>
        <v/>
      </c>
      <c r="I46" s="8" t="str">
        <f t="shared" si="7"/>
        <v/>
      </c>
      <c r="J46" s="50" t="str">
        <f t="shared" si="1"/>
        <v/>
      </c>
      <c r="K46" s="50" t="str">
        <f t="shared" si="2"/>
        <v/>
      </c>
      <c r="L46" s="9" t="str">
        <f t="shared" si="8"/>
        <v/>
      </c>
    </row>
    <row r="47" spans="1:20" ht="25" customHeight="1">
      <c r="B47" s="86"/>
      <c r="D47" s="5"/>
      <c r="E47" s="5"/>
      <c r="F47" s="6" t="str">
        <f t="shared" si="0"/>
        <v/>
      </c>
      <c r="G47" s="6" t="str">
        <f t="shared" si="6"/>
        <v/>
      </c>
      <c r="H47" s="50" t="str">
        <f>_xlfn.IFNA(VLOOKUP(C:C,'Active Jobs'!B:K,8,0),"")</f>
        <v/>
      </c>
      <c r="I47" s="8" t="str">
        <f t="shared" si="7"/>
        <v/>
      </c>
      <c r="J47" s="50" t="str">
        <f t="shared" si="1"/>
        <v/>
      </c>
      <c r="K47" s="50" t="str">
        <f t="shared" si="2"/>
        <v/>
      </c>
      <c r="L47" s="9" t="str">
        <f t="shared" si="8"/>
        <v/>
      </c>
    </row>
    <row r="48" spans="1:20" ht="25" customHeight="1">
      <c r="D48" s="83"/>
      <c r="E48" s="83"/>
      <c r="F48" s="84"/>
      <c r="G48" s="6"/>
      <c r="H48" s="85">
        <f>SUBTOTAL(109,Table2261210141638[Quoted])</f>
        <v>10670</v>
      </c>
      <c r="I48" s="81">
        <f>SUBTOTAL(109,Table2261210141638[Hours Payable])</f>
        <v>99.716666666666683</v>
      </c>
      <c r="J48" s="85">
        <f>SUBTOTAL(109,Table2261210141638[Wages (Incl. Super)])</f>
        <v>6691.0581349999993</v>
      </c>
      <c r="K48" s="85">
        <f>SUBTOTAL(109,Table2261210141638[Profit])</f>
        <v>3978.9418649999993</v>
      </c>
      <c r="L48" s="82">
        <f>IF(L2="","",SUBTOTAL(101,Table2261210141638[Quote/Wages]))</f>
        <v>0.63590879392376209</v>
      </c>
    </row>
  </sheetData>
  <conditionalFormatting sqref="B1 B49:B269">
    <cfRule type="expression" dxfId="56" priority="3">
      <formula>AND(ROW()&gt;1, E1&lt;&gt;"", COUNTIFS(A:A, $A1, B:B, $B1, F:F, "Yes")=0)</formula>
    </cfRule>
  </conditionalFormatting>
  <conditionalFormatting sqref="F1 F49:F269">
    <cfRule type="expression" dxfId="55" priority="4" stopIfTrue="1">
      <formula>AND(ROW()&gt;1, E1&lt;&gt;"", COUNTIFS(A:A, $A1, B:B, $B1, F:F, "Yes")=0)</formula>
    </cfRule>
  </conditionalFormatting>
  <conditionalFormatting sqref="B2:B45">
    <cfRule type="expression" dxfId="54" priority="1">
      <formula>AND(ROW()&gt;1, E2&lt;&gt;"", COUNTIFS(A:A, $A2, B:B, $B2, F:F, "Yes")=0)</formula>
    </cfRule>
  </conditionalFormatting>
  <conditionalFormatting sqref="F2:F47">
    <cfRule type="expression" dxfId="53" priority="2" stopIfTrue="1">
      <formula>AND(ROW()&gt;1, E2&lt;&gt;"", COUNTIFS(A:A, $A2, B:B, $B2, F:F, "Yes")=0)</formula>
    </cfRule>
  </conditionalFormatting>
  <dataValidations count="2">
    <dataValidation type="list" allowBlank="1" showInputMessage="1" showErrorMessage="1" sqref="F2:F47" xr:uid="{A12C4FA2-2719-4D62-AB0E-AAECD540006C}">
      <formula1>"No, Yes"</formula1>
    </dataValidation>
    <dataValidation type="list" allowBlank="1" showErrorMessage="1" promptTitle="Select" sqref="B2:B45" xr:uid="{A0F95909-8E9F-46CD-96CE-A1EC3F09A3B5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80F79A4B-4093-46E9-98B7-A661408D57D8}">
          <x14:formula1>
            <xm:f>'Active Jobs'!$B$2:$B$154</xm:f>
          </x14:formula1>
          <xm:sqref>C2:C47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25C8F-73E3-430D-A452-9CC7868FD665}">
  <sheetPr codeName="Sheet21"/>
  <dimension ref="A1:W54"/>
  <sheetViews>
    <sheetView topLeftCell="A26" zoomScale="125" zoomScaleNormal="125" workbookViewId="0">
      <selection activeCell="B43" sqref="B43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10" style="19" bestFit="1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8.5703125" style="16" customWidth="1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IF(B2="","",TRANSPOSE(_xlfn._xlws.FILTER(_xlfn.UNIQUE(A2:A225), _xlfn.UNIQUE(A2:A225)&lt;&gt;"")))</f>
        <v>45740</v>
      </c>
      <c r="P1" s="63">
        <v>45741</v>
      </c>
      <c r="Q1" s="63">
        <v>45742</v>
      </c>
      <c r="R1" s="63">
        <v>45743</v>
      </c>
      <c r="S1" s="63">
        <v>45744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45740</v>
      </c>
      <c r="B2" s="15" t="s">
        <v>334</v>
      </c>
      <c r="C2" s="16" t="s">
        <v>156</v>
      </c>
      <c r="D2" s="5">
        <v>0.35416666666666669</v>
      </c>
      <c r="E2" s="5">
        <v>0.44791666666666669</v>
      </c>
      <c r="F2" s="6" t="str">
        <f t="shared" ref="F2:F53" si="0">IF(E2="","","No")</f>
        <v>No</v>
      </c>
      <c r="G2" s="6">
        <f>IF(E2="","",IF(F2="Yes",(E2-D2)-TIME(0,30,0),E2-D2))</f>
        <v>9.375E-2</v>
      </c>
      <c r="H2" s="50">
        <f>_xlfn.IFNA(VLOOKUP(C:C,'Active Jobs'!B:K,8,0),"")</f>
        <v>215</v>
      </c>
      <c r="I2" s="8">
        <f>IF(F2="Yes",(E2-D2)*24-0.5,IF(F2="No",(E2-D2)*24,""))</f>
        <v>2.25</v>
      </c>
      <c r="J2" s="50">
        <f>IF(G2="","",G2*24*HourlyRate*2*(1+Super))</f>
        <v>150.976575</v>
      </c>
      <c r="K2" s="50">
        <f t="shared" ref="K2:K53" si="1">IF(H2="","",IF(E2="","",IF(J2=0,0,H2-J2)))</f>
        <v>64.023425000000003</v>
      </c>
      <c r="L2" s="9">
        <f>IF(K2="","",IF(H2=0,1,J2/H2))</f>
        <v>0.7022166279069767</v>
      </c>
      <c r="M2" s="16">
        <v>3</v>
      </c>
      <c r="N2" s="41" t="str" cm="1">
        <f t="array" ref="N2:N7">IF(B2="","",_xlfn.UNIQUE(TRANSPOSE(_xlfn.TEXTSPLIT(_xlfn.TEXTJOIN(" &amp; ", TRUE, TRIM(B2:B225)), " &amp; "))))</f>
        <v>Orlaith Murphy</v>
      </c>
      <c r="O2" s="23">
        <f t="shared" ref="O2:S3" si="2">IF(N2="","",ROUND(SUMIFS($I:$I,$A:$A,O$1,$B:$B,"*"&amp;$N2&amp;"*"),2))</f>
        <v>7.5</v>
      </c>
      <c r="P2" s="23">
        <f t="shared" si="2"/>
        <v>5.75</v>
      </c>
      <c r="Q2" s="23">
        <f t="shared" si="2"/>
        <v>6.33</v>
      </c>
      <c r="R2" s="23">
        <f t="shared" si="2"/>
        <v>7.25</v>
      </c>
      <c r="S2" s="23">
        <f t="shared" si="2"/>
        <v>6.08</v>
      </c>
      <c r="T2" s="10">
        <f t="shared" ref="T2:T14" si="3">IF(N2="","",SUM(O2:S2))</f>
        <v>32.909999999999997</v>
      </c>
      <c r="U2" s="24"/>
      <c r="V2" s="24">
        <f>IF(N2="","",T2*HourlyRate)</f>
        <v>990.26189999999986</v>
      </c>
      <c r="W2" s="25">
        <f>IF(N2="","",V2*Super)</f>
        <v>113.88011849999999</v>
      </c>
    </row>
    <row r="3" spans="1:23" ht="25" customHeight="1">
      <c r="A3" s="37">
        <v>45740</v>
      </c>
      <c r="B3" s="15" t="s">
        <v>334</v>
      </c>
      <c r="C3" s="16" t="s">
        <v>157</v>
      </c>
      <c r="D3" s="5">
        <v>0.44791666666666669</v>
      </c>
      <c r="E3" s="5">
        <v>0.6875</v>
      </c>
      <c r="F3" s="6" t="s">
        <v>17</v>
      </c>
      <c r="G3" s="6">
        <f t="shared" ref="G3:G53" si="4">IF(E3="","",IF(F3="Yes",(E3-D3)-TIME(0,30,0),E3-D3))</f>
        <v>0.21874999999999997</v>
      </c>
      <c r="H3" s="50">
        <v>795</v>
      </c>
      <c r="I3" s="8">
        <f t="shared" ref="I3:I53" si="5">IF(F3="Yes",(E3-D3)*24-0.5,IF(F3="No",(E3-D3)*24,""))</f>
        <v>5.25</v>
      </c>
      <c r="J3" s="50">
        <f t="shared" ref="J3:J53" si="6">IF(G3="","",G3*24*HourlyRate*2*(1+Super))</f>
        <v>352.27867499999991</v>
      </c>
      <c r="K3" s="50">
        <f t="shared" si="1"/>
        <v>442.72132500000009</v>
      </c>
      <c r="L3" s="9">
        <f t="shared" ref="L3:L53" si="7">IF(K3="","",IF(H3=0,1,J3/H3))</f>
        <v>0.44311783018867912</v>
      </c>
      <c r="M3" s="16">
        <v>3</v>
      </c>
      <c r="N3" s="42" t="str">
        <v>Nancy Scott</v>
      </c>
      <c r="O3" s="23">
        <f t="shared" si="2"/>
        <v>7.5</v>
      </c>
      <c r="P3" s="23">
        <f t="shared" si="2"/>
        <v>5.75</v>
      </c>
      <c r="Q3" s="23">
        <f t="shared" si="2"/>
        <v>6.33</v>
      </c>
      <c r="R3" s="23">
        <f t="shared" si="2"/>
        <v>7.25</v>
      </c>
      <c r="S3" s="23">
        <f t="shared" si="2"/>
        <v>6.08</v>
      </c>
      <c r="T3" s="10">
        <f t="shared" si="3"/>
        <v>32.909999999999997</v>
      </c>
      <c r="U3" s="21"/>
      <c r="V3" s="24">
        <f>IF(N3="","",T3*HourlyRate)</f>
        <v>990.26189999999986</v>
      </c>
      <c r="W3" s="25">
        <f>IF(N3="","",V3*Super)</f>
        <v>113.88011849999999</v>
      </c>
    </row>
    <row r="4" spans="1:23" ht="25" customHeight="1">
      <c r="A4" s="37">
        <v>45740</v>
      </c>
      <c r="B4" s="15" t="s">
        <v>350</v>
      </c>
      <c r="C4" s="16" t="s">
        <v>132</v>
      </c>
      <c r="D4" s="5">
        <v>0.35416666666666669</v>
      </c>
      <c r="E4" s="5">
        <v>0.44791666666666669</v>
      </c>
      <c r="F4" s="6" t="str">
        <f t="shared" si="0"/>
        <v>No</v>
      </c>
      <c r="G4" s="6">
        <f t="shared" si="4"/>
        <v>9.375E-2</v>
      </c>
      <c r="H4" s="50">
        <f>_xlfn.IFNA(VLOOKUP(C:C,'Active Jobs'!B:K,8,0),"")</f>
        <v>220</v>
      </c>
      <c r="I4" s="8">
        <f t="shared" si="5"/>
        <v>2.25</v>
      </c>
      <c r="J4" s="50">
        <f t="shared" si="6"/>
        <v>150.976575</v>
      </c>
      <c r="K4" s="50">
        <f t="shared" si="1"/>
        <v>69.023425000000003</v>
      </c>
      <c r="L4" s="9">
        <f t="shared" si="7"/>
        <v>0.68625715909090912</v>
      </c>
      <c r="M4" s="16">
        <v>1</v>
      </c>
      <c r="N4" s="42" t="str">
        <v>Aoife O'Gorman</v>
      </c>
      <c r="O4" s="23">
        <f t="shared" ref="O4:Q5" si="8">IF(N4="","",ROUND(SUMIFS($I:$I,$A:$A,O$1,$B:$B,"*"&amp;$N4&amp;"*"),2))</f>
        <v>7.25</v>
      </c>
      <c r="P4" s="23">
        <f t="shared" si="8"/>
        <v>8.08</v>
      </c>
      <c r="Q4" s="23">
        <f t="shared" si="8"/>
        <v>7.92</v>
      </c>
      <c r="R4" s="23">
        <v>7.25</v>
      </c>
      <c r="S4" s="23">
        <f>IF(R4="","",ROUND(SUMIFS($I:$I,$A:$A,S$1,$B:$B,"*"&amp;$N4&amp;"*"),2))</f>
        <v>5.25</v>
      </c>
      <c r="T4" s="10">
        <f t="shared" si="3"/>
        <v>35.75</v>
      </c>
      <c r="U4" s="21"/>
      <c r="V4" s="24">
        <f>IF(N4="","",T4*HourlyRate)</f>
        <v>1075.7175</v>
      </c>
      <c r="W4" s="25">
        <f>IF(N4="","",V4*Super)</f>
        <v>123.70751250000001</v>
      </c>
    </row>
    <row r="5" spans="1:23" ht="25" customHeight="1">
      <c r="A5" s="37">
        <v>45740</v>
      </c>
      <c r="B5" s="15" t="s">
        <v>350</v>
      </c>
      <c r="C5" s="16" t="s">
        <v>115</v>
      </c>
      <c r="D5" s="5">
        <v>0.45833333333333331</v>
      </c>
      <c r="E5" s="5">
        <v>0.5625</v>
      </c>
      <c r="F5" s="6" t="s">
        <v>17</v>
      </c>
      <c r="G5" s="6">
        <f t="shared" si="4"/>
        <v>8.3333333333333356E-2</v>
      </c>
      <c r="H5" s="50">
        <f>_xlfn.IFNA(VLOOKUP(C:C,'Active Jobs'!B:K,8,0),"")</f>
        <v>230</v>
      </c>
      <c r="I5" s="8">
        <f t="shared" si="5"/>
        <v>2.0000000000000004</v>
      </c>
      <c r="J5" s="50">
        <f t="shared" si="6"/>
        <v>134.20140000000004</v>
      </c>
      <c r="K5" s="50">
        <f t="shared" si="1"/>
        <v>95.798599999999965</v>
      </c>
      <c r="L5" s="9">
        <f t="shared" si="7"/>
        <v>0.58348434782608716</v>
      </c>
      <c r="M5" s="16">
        <v>1</v>
      </c>
      <c r="N5" s="42" t="str">
        <v>Rose Bliszczak</v>
      </c>
      <c r="O5" s="23">
        <f t="shared" si="8"/>
        <v>7.25</v>
      </c>
      <c r="P5" s="23">
        <f t="shared" si="8"/>
        <v>8.08</v>
      </c>
      <c r="Q5" s="23">
        <f t="shared" si="8"/>
        <v>7.92</v>
      </c>
      <c r="R5" s="23">
        <f>IF(Q5="","",ROUND(SUMIFS($I:$I,$A:$A,R$1,$B:$B,"*"&amp;$N5&amp;"*"),2))</f>
        <v>0</v>
      </c>
      <c r="S5" s="23">
        <f>IF(R5="","",ROUND(SUMIFS($I:$I,$A:$A,S$1,$B:$B,"*"&amp;$N5&amp;"*"),2))</f>
        <v>5.25</v>
      </c>
      <c r="T5" s="10">
        <f t="shared" si="3"/>
        <v>28.5</v>
      </c>
      <c r="U5" s="21"/>
      <c r="V5" s="24">
        <f>IF(N5="","",T5*HourlyRate)</f>
        <v>857.56499999999994</v>
      </c>
      <c r="W5" s="25">
        <f>IF(N5="","",V5*Super)</f>
        <v>98.619974999999997</v>
      </c>
    </row>
    <row r="6" spans="1:23" ht="25" customHeight="1">
      <c r="A6" s="37">
        <v>45740</v>
      </c>
      <c r="B6" s="15" t="s">
        <v>350</v>
      </c>
      <c r="C6" s="16" t="s">
        <v>158</v>
      </c>
      <c r="D6" s="5">
        <v>0.5625</v>
      </c>
      <c r="E6" s="5">
        <v>0.6875</v>
      </c>
      <c r="F6" s="6" t="str">
        <f t="shared" si="0"/>
        <v>No</v>
      </c>
      <c r="G6" s="6">
        <f t="shared" si="4"/>
        <v>0.125</v>
      </c>
      <c r="H6" s="50">
        <v>380</v>
      </c>
      <c r="I6" s="8">
        <f t="shared" si="5"/>
        <v>3</v>
      </c>
      <c r="J6" s="50">
        <f t="shared" si="6"/>
        <v>201.3021</v>
      </c>
      <c r="K6" s="50">
        <f t="shared" si="1"/>
        <v>178.6979</v>
      </c>
      <c r="L6" s="9">
        <f t="shared" si="7"/>
        <v>0.5297423684210526</v>
      </c>
      <c r="M6" s="16">
        <v>1</v>
      </c>
      <c r="N6" s="43" t="str">
        <v>Orla Shelly</v>
      </c>
      <c r="O6" s="23">
        <v>8.5</v>
      </c>
      <c r="P6" s="23">
        <v>8.5</v>
      </c>
      <c r="Q6" s="23">
        <v>6.5</v>
      </c>
      <c r="R6" s="23">
        <v>7.5</v>
      </c>
      <c r="S6" s="23">
        <v>6.5</v>
      </c>
      <c r="T6" s="10">
        <f t="shared" si="3"/>
        <v>37.5</v>
      </c>
      <c r="U6" s="21"/>
      <c r="V6" s="24"/>
      <c r="W6" s="25"/>
    </row>
    <row r="7" spans="1:23" ht="25" customHeight="1">
      <c r="A7" s="37">
        <v>45740</v>
      </c>
      <c r="B7" s="15" t="s">
        <v>84</v>
      </c>
      <c r="C7" s="16" t="s">
        <v>133</v>
      </c>
      <c r="D7" s="5">
        <v>0.35416666666666669</v>
      </c>
      <c r="E7" s="5">
        <v>0.44791666666666669</v>
      </c>
      <c r="F7" s="6" t="str">
        <f t="shared" si="0"/>
        <v>No</v>
      </c>
      <c r="G7" s="6">
        <f t="shared" si="4"/>
        <v>9.375E-2</v>
      </c>
      <c r="H7" s="50">
        <f>_xlfn.IFNA(VLOOKUP(C:C,'Active Jobs'!B:K,8,0),"")</f>
        <v>250</v>
      </c>
      <c r="I7" s="8">
        <f t="shared" si="5"/>
        <v>2.25</v>
      </c>
      <c r="J7" s="50">
        <f t="shared" si="6"/>
        <v>150.976575</v>
      </c>
      <c r="K7" s="50">
        <f t="shared" si="1"/>
        <v>99.023425000000003</v>
      </c>
      <c r="L7" s="9">
        <f t="shared" si="7"/>
        <v>0.60390630000000001</v>
      </c>
      <c r="M7" s="16">
        <v>2</v>
      </c>
      <c r="N7" s="47" t="str">
        <v>Julie Roccati</v>
      </c>
      <c r="O7" s="23">
        <f t="shared" ref="O7:S14" si="9">IF(N7="","",ROUND(SUMIFS($I:$I,$A:$A,O$1,$B:$B,"*"&amp;$N7&amp;"*"),2))</f>
        <v>0</v>
      </c>
      <c r="P7" s="23">
        <f t="shared" si="9"/>
        <v>0</v>
      </c>
      <c r="Q7" s="23">
        <f t="shared" si="9"/>
        <v>5.92</v>
      </c>
      <c r="R7" s="23">
        <f t="shared" si="9"/>
        <v>7.83</v>
      </c>
      <c r="S7" s="23">
        <f t="shared" si="9"/>
        <v>6</v>
      </c>
      <c r="T7" s="10">
        <f t="shared" si="3"/>
        <v>19.75</v>
      </c>
      <c r="U7" s="21"/>
      <c r="V7" s="26">
        <f>SUM(V2:V5)</f>
        <v>3913.8062999999997</v>
      </c>
      <c r="W7" s="26">
        <f>SUM(W2:W5)</f>
        <v>450.08772449999998</v>
      </c>
    </row>
    <row r="8" spans="1:23" ht="25" customHeight="1">
      <c r="A8" s="37">
        <v>45740</v>
      </c>
      <c r="B8" s="15" t="s">
        <v>84</v>
      </c>
      <c r="C8" s="49" t="s">
        <v>159</v>
      </c>
      <c r="D8" s="5">
        <v>0.45833333333333331</v>
      </c>
      <c r="E8" s="5">
        <v>0.5625</v>
      </c>
      <c r="F8" s="6" t="s">
        <v>17</v>
      </c>
      <c r="G8" s="6">
        <f t="shared" si="4"/>
        <v>8.3333333333333356E-2</v>
      </c>
      <c r="H8" s="50">
        <f>_xlfn.IFNA(VLOOKUP(C:C,'Active Jobs'!B:K,8,0),"")</f>
        <v>200</v>
      </c>
      <c r="I8" s="8">
        <f t="shared" si="5"/>
        <v>2.0000000000000004</v>
      </c>
      <c r="J8" s="50">
        <f t="shared" si="6"/>
        <v>134.20140000000004</v>
      </c>
      <c r="K8" s="50">
        <f t="shared" si="1"/>
        <v>65.798599999999965</v>
      </c>
      <c r="L8" s="9">
        <f t="shared" si="7"/>
        <v>0.67100700000000013</v>
      </c>
      <c r="M8" s="16">
        <v>2</v>
      </c>
      <c r="N8" s="41"/>
      <c r="O8" s="23" t="str">
        <f t="shared" si="9"/>
        <v/>
      </c>
      <c r="P8" s="23" t="str">
        <f t="shared" si="9"/>
        <v/>
      </c>
      <c r="Q8" s="23" t="str">
        <f t="shared" si="9"/>
        <v/>
      </c>
      <c r="R8" s="23" t="str">
        <f t="shared" si="9"/>
        <v/>
      </c>
      <c r="S8" s="23" t="str">
        <f t="shared" si="9"/>
        <v/>
      </c>
      <c r="T8" s="10" t="str">
        <f t="shared" si="3"/>
        <v/>
      </c>
      <c r="U8" s="21"/>
      <c r="V8" s="21"/>
      <c r="W8" s="21"/>
    </row>
    <row r="9" spans="1:23" ht="25" customHeight="1">
      <c r="A9" s="37">
        <v>45740</v>
      </c>
      <c r="B9" s="15" t="s">
        <v>84</v>
      </c>
      <c r="C9" s="16" t="s">
        <v>134</v>
      </c>
      <c r="D9" s="5">
        <v>0.5625</v>
      </c>
      <c r="E9" s="5">
        <v>0.64583333333333337</v>
      </c>
      <c r="F9" s="6" t="str">
        <f t="shared" si="0"/>
        <v>No</v>
      </c>
      <c r="G9" s="6">
        <f t="shared" si="4"/>
        <v>8.333333333333337E-2</v>
      </c>
      <c r="H9" s="50">
        <f>_xlfn.IFNA(VLOOKUP(C:C,'Active Jobs'!B:K,8,0),"")</f>
        <v>220</v>
      </c>
      <c r="I9" s="8">
        <f t="shared" si="5"/>
        <v>2.0000000000000009</v>
      </c>
      <c r="J9" s="50">
        <f t="shared" si="6"/>
        <v>134.20140000000006</v>
      </c>
      <c r="K9" s="50">
        <f t="shared" si="1"/>
        <v>85.798599999999936</v>
      </c>
      <c r="L9" s="9">
        <f t="shared" si="7"/>
        <v>0.61000636363636396</v>
      </c>
      <c r="M9" s="16">
        <v>2</v>
      </c>
      <c r="N9" s="47"/>
      <c r="O9" s="23" t="str">
        <f t="shared" si="9"/>
        <v/>
      </c>
      <c r="P9" s="23" t="str">
        <f t="shared" si="9"/>
        <v/>
      </c>
      <c r="Q9" s="23" t="str">
        <f t="shared" si="9"/>
        <v/>
      </c>
      <c r="R9" s="23" t="str">
        <f t="shared" si="9"/>
        <v/>
      </c>
      <c r="S9" s="23" t="str">
        <f t="shared" si="9"/>
        <v/>
      </c>
      <c r="T9" s="10" t="str">
        <f t="shared" si="3"/>
        <v/>
      </c>
      <c r="U9" s="21"/>
      <c r="V9" s="24"/>
      <c r="W9" s="25"/>
    </row>
    <row r="10" spans="1:23" ht="25" customHeight="1">
      <c r="A10" s="37">
        <v>45740</v>
      </c>
      <c r="B10" s="15" t="s">
        <v>84</v>
      </c>
      <c r="C10" s="16" t="s">
        <v>135</v>
      </c>
      <c r="D10" s="5">
        <v>0.64583333333333337</v>
      </c>
      <c r="E10" s="5">
        <v>0.72222222222222221</v>
      </c>
      <c r="F10" s="6" t="str">
        <f t="shared" si="0"/>
        <v>No</v>
      </c>
      <c r="G10" s="6">
        <f t="shared" si="4"/>
        <v>7.638888888888884E-2</v>
      </c>
      <c r="H10" s="50">
        <f>_xlfn.IFNA(VLOOKUP(C:C,'Active Jobs'!B:K,8,0),"")</f>
        <v>220</v>
      </c>
      <c r="I10" s="8">
        <f t="shared" si="5"/>
        <v>1.8333333333333321</v>
      </c>
      <c r="J10" s="50">
        <f t="shared" si="6"/>
        <v>123.01794999999991</v>
      </c>
      <c r="K10" s="50">
        <f t="shared" si="1"/>
        <v>96.982050000000086</v>
      </c>
      <c r="L10" s="9">
        <f t="shared" si="7"/>
        <v>0.55917249999999963</v>
      </c>
      <c r="M10" s="16">
        <v>2</v>
      </c>
      <c r="O10" s="23" t="str">
        <f t="shared" si="9"/>
        <v/>
      </c>
      <c r="P10" s="23" t="str">
        <f t="shared" si="9"/>
        <v/>
      </c>
      <c r="Q10" s="23" t="str">
        <f t="shared" si="9"/>
        <v/>
      </c>
      <c r="R10" s="23" t="str">
        <f t="shared" si="9"/>
        <v/>
      </c>
      <c r="S10" s="23" t="str">
        <f t="shared" si="9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8">
        <v>45741</v>
      </c>
      <c r="B11" s="15" t="s">
        <v>334</v>
      </c>
      <c r="C11" s="16" t="s">
        <v>136</v>
      </c>
      <c r="D11" s="5">
        <v>0.35416666666666669</v>
      </c>
      <c r="E11" s="5">
        <v>0.44791666666666669</v>
      </c>
      <c r="F11" s="6" t="str">
        <f t="shared" si="0"/>
        <v>No</v>
      </c>
      <c r="G11" s="6">
        <f t="shared" si="4"/>
        <v>9.375E-2</v>
      </c>
      <c r="H11" s="50">
        <f>_xlfn.IFNA(VLOOKUP(C:C,'Active Jobs'!B:K,8,0),"")</f>
        <v>220</v>
      </c>
      <c r="I11" s="8">
        <f t="shared" si="5"/>
        <v>2.25</v>
      </c>
      <c r="J11" s="50">
        <f t="shared" si="6"/>
        <v>150.976575</v>
      </c>
      <c r="K11" s="50">
        <f t="shared" si="1"/>
        <v>69.023425000000003</v>
      </c>
      <c r="L11" s="9">
        <f t="shared" si="7"/>
        <v>0.68625715909090912</v>
      </c>
      <c r="M11" s="16">
        <v>3</v>
      </c>
      <c r="O11" s="23" t="str">
        <f t="shared" si="9"/>
        <v/>
      </c>
      <c r="P11" s="23" t="str">
        <f t="shared" si="9"/>
        <v/>
      </c>
      <c r="Q11" s="23" t="str">
        <f t="shared" si="9"/>
        <v/>
      </c>
      <c r="R11" s="23" t="str">
        <f t="shared" si="9"/>
        <v/>
      </c>
      <c r="S11" s="23" t="str">
        <f t="shared" si="9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45741</v>
      </c>
      <c r="B12" s="15" t="s">
        <v>334</v>
      </c>
      <c r="C12" s="16" t="s">
        <v>160</v>
      </c>
      <c r="D12" s="5">
        <v>0.45833333333333331</v>
      </c>
      <c r="E12" s="5">
        <v>0.5625</v>
      </c>
      <c r="F12" s="6" t="s">
        <v>17</v>
      </c>
      <c r="G12" s="6">
        <f t="shared" si="4"/>
        <v>8.3333333333333356E-2</v>
      </c>
      <c r="H12" s="50">
        <v>0</v>
      </c>
      <c r="I12" s="8">
        <f t="shared" si="5"/>
        <v>2.0000000000000004</v>
      </c>
      <c r="J12" s="50">
        <f t="shared" si="6"/>
        <v>134.20140000000004</v>
      </c>
      <c r="K12" s="50">
        <f t="shared" si="1"/>
        <v>-134.20140000000004</v>
      </c>
      <c r="L12" s="9">
        <f t="shared" si="7"/>
        <v>1</v>
      </c>
      <c r="M12" s="16">
        <v>3</v>
      </c>
      <c r="O12" s="23" t="str">
        <f t="shared" si="9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3"/>
        <v/>
      </c>
    </row>
    <row r="13" spans="1:23" ht="25" customHeight="1">
      <c r="A13" s="38">
        <v>45741</v>
      </c>
      <c r="B13" s="15" t="s">
        <v>334</v>
      </c>
      <c r="C13" s="16" t="s">
        <v>161</v>
      </c>
      <c r="D13" s="5">
        <v>0.5625</v>
      </c>
      <c r="E13" s="5">
        <v>0.625</v>
      </c>
      <c r="F13" s="6" t="str">
        <f t="shared" si="0"/>
        <v>No</v>
      </c>
      <c r="G13" s="6">
        <f t="shared" si="4"/>
        <v>6.25E-2</v>
      </c>
      <c r="H13" s="50">
        <f>_xlfn.IFNA(VLOOKUP(C:C,'Active Jobs'!B:K,8,0),"")</f>
        <v>250</v>
      </c>
      <c r="I13" s="8">
        <f t="shared" si="5"/>
        <v>1.5</v>
      </c>
      <c r="J13" s="50">
        <f t="shared" si="6"/>
        <v>100.65105</v>
      </c>
      <c r="K13" s="50">
        <f t="shared" si="1"/>
        <v>149.34895</v>
      </c>
      <c r="L13" s="9">
        <f t="shared" si="7"/>
        <v>0.40260419999999997</v>
      </c>
      <c r="M13" s="16">
        <v>3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3"/>
        <v/>
      </c>
    </row>
    <row r="14" spans="1:23" ht="25" customHeight="1">
      <c r="A14" s="38">
        <v>45741</v>
      </c>
      <c r="B14" s="15" t="s">
        <v>350</v>
      </c>
      <c r="C14" s="16" t="s">
        <v>97</v>
      </c>
      <c r="D14" s="5">
        <v>0.35416666666666669</v>
      </c>
      <c r="E14" s="5">
        <v>0.48958333333333331</v>
      </c>
      <c r="F14" s="6" t="str">
        <f t="shared" si="0"/>
        <v>No</v>
      </c>
      <c r="G14" s="6">
        <f t="shared" si="4"/>
        <v>0.13541666666666663</v>
      </c>
      <c r="H14" s="50">
        <v>380</v>
      </c>
      <c r="I14" s="8">
        <f t="shared" si="5"/>
        <v>3.2499999999999991</v>
      </c>
      <c r="J14" s="50">
        <f t="shared" si="6"/>
        <v>218.07727499999996</v>
      </c>
      <c r="K14" s="50">
        <f t="shared" si="1"/>
        <v>161.92272500000004</v>
      </c>
      <c r="L14" s="9">
        <f t="shared" si="7"/>
        <v>0.57388756578947353</v>
      </c>
      <c r="M14" s="16">
        <v>1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3"/>
        <v/>
      </c>
    </row>
    <row r="15" spans="1:23" ht="25" customHeight="1">
      <c r="A15" s="38">
        <v>45741</v>
      </c>
      <c r="B15" s="15" t="s">
        <v>350</v>
      </c>
      <c r="C15" s="16" t="s">
        <v>45</v>
      </c>
      <c r="D15" s="5">
        <v>0.5</v>
      </c>
      <c r="E15" s="5">
        <v>0.60416666666666663</v>
      </c>
      <c r="F15" s="6" t="s">
        <v>17</v>
      </c>
      <c r="G15" s="6">
        <f t="shared" si="4"/>
        <v>8.3333333333333301E-2</v>
      </c>
      <c r="H15" s="50">
        <f>_xlfn.IFNA(VLOOKUP(C:C,'Active Jobs'!B:K,8,0),"")</f>
        <v>275</v>
      </c>
      <c r="I15" s="8">
        <f t="shared" si="5"/>
        <v>1.9999999999999991</v>
      </c>
      <c r="J15" s="50">
        <f t="shared" si="6"/>
        <v>134.20139999999992</v>
      </c>
      <c r="K15" s="50">
        <f t="shared" si="1"/>
        <v>140.79860000000008</v>
      </c>
      <c r="L15" s="9">
        <f t="shared" si="7"/>
        <v>0.48800509090909061</v>
      </c>
      <c r="M15" s="16">
        <v>1</v>
      </c>
      <c r="O15" s="23"/>
      <c r="P15" s="23"/>
      <c r="Q15" s="23"/>
      <c r="R15" s="23"/>
      <c r="S15" s="23"/>
      <c r="T15" s="74"/>
    </row>
    <row r="16" spans="1:23" ht="25" customHeight="1">
      <c r="A16" s="38">
        <v>45741</v>
      </c>
      <c r="B16" s="15" t="s">
        <v>350</v>
      </c>
      <c r="C16" s="16" t="s">
        <v>44</v>
      </c>
      <c r="D16" s="5">
        <v>0.61458333333333337</v>
      </c>
      <c r="E16" s="5">
        <v>0.66666666666666663</v>
      </c>
      <c r="F16" s="6" t="str">
        <f t="shared" si="0"/>
        <v>No</v>
      </c>
      <c r="G16" s="6">
        <f t="shared" si="4"/>
        <v>5.2083333333333259E-2</v>
      </c>
      <c r="H16" s="50">
        <f>_xlfn.IFNA(VLOOKUP(C:C,'Active Jobs'!B:K,8,0),"")</f>
        <v>200</v>
      </c>
      <c r="I16" s="8">
        <f t="shared" si="5"/>
        <v>1.2499999999999982</v>
      </c>
      <c r="J16" s="50">
        <f t="shared" si="6"/>
        <v>83.87587499999988</v>
      </c>
      <c r="K16" s="50">
        <f t="shared" si="1"/>
        <v>116.12412500000012</v>
      </c>
      <c r="L16" s="9">
        <f t="shared" si="7"/>
        <v>0.41937937499999939</v>
      </c>
      <c r="M16" s="16">
        <v>1</v>
      </c>
      <c r="O16" s="23"/>
      <c r="P16" s="23"/>
      <c r="Q16" s="23"/>
      <c r="R16" s="23"/>
      <c r="S16" s="23"/>
      <c r="T16" s="74"/>
    </row>
    <row r="17" spans="1:20" ht="25" customHeight="1">
      <c r="A17" s="38">
        <v>45741</v>
      </c>
      <c r="B17" s="15" t="s">
        <v>350</v>
      </c>
      <c r="C17" s="16" t="s">
        <v>140</v>
      </c>
      <c r="D17" s="5">
        <v>0.67708333333333337</v>
      </c>
      <c r="E17" s="5">
        <v>0.74305555555555558</v>
      </c>
      <c r="F17" s="6" t="str">
        <f t="shared" si="0"/>
        <v>No</v>
      </c>
      <c r="G17" s="6">
        <f t="shared" si="4"/>
        <v>6.597222222222221E-2</v>
      </c>
      <c r="H17" s="50">
        <f>_xlfn.IFNA(VLOOKUP(C:C,'Active Jobs'!B:K,8,0),"")</f>
        <v>215</v>
      </c>
      <c r="I17" s="8">
        <f t="shared" si="5"/>
        <v>1.583333333333333</v>
      </c>
      <c r="J17" s="50">
        <f t="shared" si="6"/>
        <v>106.24277499999998</v>
      </c>
      <c r="K17" s="50">
        <f t="shared" si="1"/>
        <v>108.75722500000002</v>
      </c>
      <c r="L17" s="9">
        <f t="shared" si="7"/>
        <v>0.49415244186046503</v>
      </c>
      <c r="M17" s="16">
        <v>1</v>
      </c>
      <c r="N17" s="43" t="str" cm="1">
        <f t="array" ref="N17:N22">IF(B2="","",_xlfn.UNIQUE(TRANSPOSE(_xlfn.TEXTSPLIT(_xlfn.TEXTJOIN(" &amp; ", TRUE, TRIM(B2:B225)), " &amp; "))))</f>
        <v>Orlaith Murphy</v>
      </c>
      <c r="O17" s="15" t="s">
        <v>162</v>
      </c>
      <c r="P17" s="23"/>
      <c r="Q17" s="23"/>
      <c r="R17" s="23"/>
      <c r="S17" s="23"/>
      <c r="T17" s="10"/>
    </row>
    <row r="18" spans="1:20" ht="25" customHeight="1">
      <c r="A18" s="38">
        <v>45741</v>
      </c>
      <c r="B18" s="15" t="s">
        <v>84</v>
      </c>
      <c r="C18" s="16" t="s">
        <v>141</v>
      </c>
      <c r="D18" s="5">
        <v>0.35416666666666669</v>
      </c>
      <c r="E18" s="5">
        <v>0.46875</v>
      </c>
      <c r="F18" s="6" t="str">
        <f t="shared" si="0"/>
        <v>No</v>
      </c>
      <c r="G18" s="6">
        <f t="shared" si="4"/>
        <v>0.11458333333333331</v>
      </c>
      <c r="H18" s="50">
        <f>_xlfn.IFNA(VLOOKUP(C:C,'Active Jobs'!B:K,8,0),"")</f>
        <v>250</v>
      </c>
      <c r="I18" s="8">
        <f t="shared" si="5"/>
        <v>2.7499999999999996</v>
      </c>
      <c r="J18" s="50">
        <f t="shared" si="6"/>
        <v>184.52692499999998</v>
      </c>
      <c r="K18" s="50">
        <f t="shared" si="1"/>
        <v>65.473075000000023</v>
      </c>
      <c r="L18" s="9">
        <f t="shared" si="7"/>
        <v>0.73810769999999992</v>
      </c>
      <c r="M18" s="16">
        <v>2</v>
      </c>
      <c r="N18" s="43" t="str">
        <v>Nancy Scott</v>
      </c>
      <c r="O18" s="23"/>
      <c r="P18" s="23"/>
      <c r="Q18" s="23"/>
      <c r="R18" s="23"/>
      <c r="S18" s="23"/>
      <c r="T18" s="74"/>
    </row>
    <row r="19" spans="1:20" ht="25" customHeight="1">
      <c r="A19" s="38">
        <v>45741</v>
      </c>
      <c r="B19" s="15" t="s">
        <v>84</v>
      </c>
      <c r="C19" s="16" t="s">
        <v>163</v>
      </c>
      <c r="D19" s="5">
        <v>0.47916666666666669</v>
      </c>
      <c r="E19" s="5">
        <v>0.57291666666666663</v>
      </c>
      <c r="F19" s="6" t="s">
        <v>17</v>
      </c>
      <c r="G19" s="6">
        <f t="shared" si="4"/>
        <v>7.2916666666666616E-2</v>
      </c>
      <c r="H19" s="50">
        <v>260</v>
      </c>
      <c r="I19" s="8">
        <f t="shared" si="5"/>
        <v>1.7499999999999987</v>
      </c>
      <c r="J19" s="50">
        <f t="shared" si="6"/>
        <v>117.4262249999999</v>
      </c>
      <c r="K19" s="50">
        <f t="shared" si="1"/>
        <v>142.5737750000001</v>
      </c>
      <c r="L19" s="9">
        <f t="shared" si="7"/>
        <v>0.45163932692307657</v>
      </c>
      <c r="M19" s="16">
        <v>2</v>
      </c>
      <c r="N19" s="43" t="str">
        <v>Aoife O'Gorman</v>
      </c>
      <c r="O19" s="23"/>
      <c r="P19" s="23"/>
      <c r="Q19" s="23"/>
      <c r="R19" s="23"/>
      <c r="S19" s="23"/>
      <c r="T19" s="74"/>
    </row>
    <row r="20" spans="1:20" ht="25" customHeight="1">
      <c r="A20" s="38">
        <v>45741</v>
      </c>
      <c r="B20" s="15" t="s">
        <v>84</v>
      </c>
      <c r="C20" s="16" t="s">
        <v>20</v>
      </c>
      <c r="D20" s="5">
        <v>0.58333333333333337</v>
      </c>
      <c r="E20" s="5">
        <v>0.65625</v>
      </c>
      <c r="F20" s="6" t="str">
        <f t="shared" si="0"/>
        <v>No</v>
      </c>
      <c r="G20" s="6">
        <f t="shared" si="4"/>
        <v>7.291666666666663E-2</v>
      </c>
      <c r="H20" s="50">
        <f>_xlfn.IFNA(VLOOKUP(C:C,'Active Jobs'!B:K,8,0),"")</f>
        <v>250</v>
      </c>
      <c r="I20" s="8">
        <f t="shared" si="5"/>
        <v>1.7499999999999991</v>
      </c>
      <c r="J20" s="50">
        <f t="shared" si="6"/>
        <v>117.42622499999993</v>
      </c>
      <c r="K20" s="50">
        <f t="shared" si="1"/>
        <v>132.57377500000007</v>
      </c>
      <c r="L20" s="9">
        <f t="shared" si="7"/>
        <v>0.4697048999999997</v>
      </c>
      <c r="M20" s="16">
        <v>2</v>
      </c>
      <c r="N20" s="43" t="str">
        <v>Rose Bliszczak</v>
      </c>
      <c r="O20" s="23"/>
      <c r="P20" s="23"/>
      <c r="Q20" s="23"/>
      <c r="R20" s="23"/>
      <c r="S20" s="23"/>
      <c r="T20" s="74"/>
    </row>
    <row r="21" spans="1:20" ht="25" customHeight="1">
      <c r="A21" s="38">
        <v>45741</v>
      </c>
      <c r="B21" s="15" t="s">
        <v>84</v>
      </c>
      <c r="C21" s="16" t="s">
        <v>142</v>
      </c>
      <c r="D21" s="5">
        <v>0.65625</v>
      </c>
      <c r="E21" s="5">
        <v>0.73263888888888884</v>
      </c>
      <c r="F21" s="6" t="str">
        <f t="shared" si="0"/>
        <v>No</v>
      </c>
      <c r="G21" s="6">
        <f t="shared" si="4"/>
        <v>7.638888888888884E-2</v>
      </c>
      <c r="H21" s="50">
        <f>_xlfn.IFNA(VLOOKUP(C:C,'Active Jobs'!B:K,8,0),"")</f>
        <v>220</v>
      </c>
      <c r="I21" s="8">
        <f t="shared" si="5"/>
        <v>1.8333333333333321</v>
      </c>
      <c r="J21" s="50">
        <f t="shared" si="6"/>
        <v>123.01794999999991</v>
      </c>
      <c r="K21" s="50">
        <f t="shared" si="1"/>
        <v>96.982050000000086</v>
      </c>
      <c r="L21" s="9">
        <f t="shared" si="7"/>
        <v>0.55917249999999963</v>
      </c>
      <c r="M21" s="16">
        <v>2</v>
      </c>
      <c r="N21" s="43" t="str">
        <v>Orla Shelly</v>
      </c>
      <c r="O21" s="23"/>
      <c r="P21" s="23"/>
      <c r="Q21" s="23"/>
      <c r="R21" s="23"/>
      <c r="S21" s="23"/>
      <c r="T21" s="74"/>
    </row>
    <row r="22" spans="1:20" ht="25" customHeight="1">
      <c r="A22" s="38">
        <v>45742</v>
      </c>
      <c r="B22" s="15" t="s">
        <v>350</v>
      </c>
      <c r="C22" s="16" t="s">
        <v>143</v>
      </c>
      <c r="D22" s="5">
        <v>0.35416666666666669</v>
      </c>
      <c r="E22" s="5">
        <v>0.4375</v>
      </c>
      <c r="F22" s="6" t="str">
        <f t="shared" si="0"/>
        <v>No</v>
      </c>
      <c r="G22" s="6">
        <f t="shared" si="4"/>
        <v>8.3333333333333315E-2</v>
      </c>
      <c r="H22" s="50">
        <v>220</v>
      </c>
      <c r="I22" s="8">
        <f t="shared" si="5"/>
        <v>1.9999999999999996</v>
      </c>
      <c r="J22" s="50">
        <f t="shared" si="6"/>
        <v>134.20139999999998</v>
      </c>
      <c r="K22" s="50">
        <f t="shared" si="1"/>
        <v>85.798600000000022</v>
      </c>
      <c r="L22" s="9">
        <f t="shared" si="7"/>
        <v>0.61000636363636351</v>
      </c>
      <c r="M22" s="16">
        <v>1</v>
      </c>
      <c r="N22" s="43" t="str">
        <v>Julie Roccati</v>
      </c>
      <c r="O22" s="23"/>
      <c r="P22" s="23"/>
      <c r="Q22" s="23"/>
      <c r="R22" s="23"/>
      <c r="S22" s="23"/>
      <c r="T22" s="74"/>
    </row>
    <row r="23" spans="1:20" ht="25" customHeight="1">
      <c r="A23" s="38">
        <v>45742</v>
      </c>
      <c r="B23" s="15" t="s">
        <v>350</v>
      </c>
      <c r="C23" s="16" t="s">
        <v>144</v>
      </c>
      <c r="D23" s="5">
        <v>0.44791666666666669</v>
      </c>
      <c r="E23" s="5">
        <v>0.5625</v>
      </c>
      <c r="F23" s="6" t="s">
        <v>17</v>
      </c>
      <c r="G23" s="6">
        <f t="shared" si="4"/>
        <v>9.3749999999999986E-2</v>
      </c>
      <c r="H23" s="50">
        <f>_xlfn.IFNA(VLOOKUP(C:C,'Active Jobs'!B:K,8,0),"")</f>
        <v>250</v>
      </c>
      <c r="I23" s="8">
        <f t="shared" si="5"/>
        <v>2.2499999999999996</v>
      </c>
      <c r="J23" s="50">
        <f t="shared" si="6"/>
        <v>150.97657499999997</v>
      </c>
      <c r="K23" s="50">
        <f t="shared" si="1"/>
        <v>99.023425000000032</v>
      </c>
      <c r="L23" s="9">
        <f t="shared" si="7"/>
        <v>0.6039062999999999</v>
      </c>
      <c r="M23" s="16">
        <v>1</v>
      </c>
      <c r="O23" s="23"/>
      <c r="P23" s="23"/>
      <c r="Q23" s="23"/>
      <c r="R23" s="23"/>
      <c r="S23" s="23"/>
      <c r="T23" s="74"/>
    </row>
    <row r="24" spans="1:20" ht="25" customHeight="1">
      <c r="A24" s="38">
        <v>45742</v>
      </c>
      <c r="B24" s="15" t="s">
        <v>350</v>
      </c>
      <c r="C24" s="16" t="s">
        <v>98</v>
      </c>
      <c r="D24" s="5">
        <v>0.5625</v>
      </c>
      <c r="E24" s="5">
        <v>0.63888888888888884</v>
      </c>
      <c r="F24" s="6" t="str">
        <f t="shared" si="0"/>
        <v>No</v>
      </c>
      <c r="G24" s="6">
        <f t="shared" si="4"/>
        <v>7.638888888888884E-2</v>
      </c>
      <c r="H24" s="50">
        <f>_xlfn.IFNA(VLOOKUP(C:C,'Active Jobs'!B:K,8,0),"")</f>
        <v>250</v>
      </c>
      <c r="I24" s="8">
        <f t="shared" si="5"/>
        <v>1.8333333333333321</v>
      </c>
      <c r="J24" s="50">
        <f t="shared" si="6"/>
        <v>123.01794999999991</v>
      </c>
      <c r="K24" s="50">
        <f t="shared" si="1"/>
        <v>126.98205000000009</v>
      </c>
      <c r="L24" s="9">
        <f t="shared" si="7"/>
        <v>0.49207179999999967</v>
      </c>
      <c r="M24" s="16">
        <v>1</v>
      </c>
      <c r="O24" s="23"/>
      <c r="P24" s="23"/>
      <c r="Q24" s="23"/>
      <c r="R24" s="23"/>
      <c r="S24" s="23"/>
      <c r="T24" s="74"/>
    </row>
    <row r="25" spans="1:20" ht="25" customHeight="1">
      <c r="A25" s="38">
        <v>45742</v>
      </c>
      <c r="B25" s="15" t="s">
        <v>350</v>
      </c>
      <c r="C25" s="16" t="s">
        <v>164</v>
      </c>
      <c r="D25" s="5">
        <v>0.64583333333333337</v>
      </c>
      <c r="E25" s="5">
        <v>0.72222222222222221</v>
      </c>
      <c r="F25" s="6" t="str">
        <f t="shared" si="0"/>
        <v>No</v>
      </c>
      <c r="G25" s="6">
        <f t="shared" si="4"/>
        <v>7.638888888888884E-2</v>
      </c>
      <c r="H25" s="50">
        <v>215</v>
      </c>
      <c r="I25" s="8">
        <f t="shared" si="5"/>
        <v>1.8333333333333321</v>
      </c>
      <c r="J25" s="50">
        <f t="shared" si="6"/>
        <v>123.01794999999991</v>
      </c>
      <c r="K25" s="50">
        <f t="shared" si="1"/>
        <v>91.982050000000086</v>
      </c>
      <c r="L25" s="9">
        <f t="shared" si="7"/>
        <v>0.57217651162790661</v>
      </c>
      <c r="M25" s="16">
        <v>1</v>
      </c>
      <c r="O25" s="23"/>
      <c r="P25" s="23"/>
      <c r="Q25" s="23"/>
      <c r="R25" s="23"/>
      <c r="S25" s="23"/>
      <c r="T25" s="74"/>
    </row>
    <row r="26" spans="1:20" ht="25" customHeight="1">
      <c r="A26" s="38">
        <v>45742</v>
      </c>
      <c r="B26" s="16" t="s">
        <v>334</v>
      </c>
      <c r="C26" s="16" t="s">
        <v>109</v>
      </c>
      <c r="D26" s="5">
        <v>0.35416666666666669</v>
      </c>
      <c r="E26" s="5">
        <v>0.44097222222222221</v>
      </c>
      <c r="F26" s="6" t="str">
        <f t="shared" ref="F26:F29" si="10">IF(E26="","","No")</f>
        <v>No</v>
      </c>
      <c r="G26" s="6">
        <f t="shared" ref="G26:G29" si="11">IF(E26="","",IF(F26="Yes",(E26-D26)-TIME(0,30,0),E26-D26))</f>
        <v>8.6805555555555525E-2</v>
      </c>
      <c r="H26" s="50">
        <f>_xlfn.IFNA(VLOOKUP(C:C,'Active Jobs'!B:K,8,0),"")</f>
        <v>200</v>
      </c>
      <c r="I26" s="8">
        <f t="shared" ref="I26:I29" si="12">IF(F26="Yes",(E26-D26)*24-0.5,IF(F26="No",(E26-D26)*24,""))</f>
        <v>2.0833333333333326</v>
      </c>
      <c r="J26" s="50">
        <f t="shared" ref="J26:J35" si="13">IF(G26="","",G26*24*HourlyRate*2*(1+Super))</f>
        <v>139.79312499999995</v>
      </c>
      <c r="K26" s="50">
        <f t="shared" ref="K26:K29" si="14">IF(H26="","",IF(E26="","",IF(J26=0,0,H26-J26)))</f>
        <v>60.206875000000053</v>
      </c>
      <c r="L26" s="9">
        <f t="shared" ref="L26:L29" si="15">IF(K26="","",IF(H26=0,1,J26/H26))</f>
        <v>0.6989656249999997</v>
      </c>
      <c r="M26" s="16">
        <v>3</v>
      </c>
      <c r="O26" s="23"/>
      <c r="P26" s="23"/>
      <c r="Q26" s="23"/>
      <c r="R26" s="23"/>
      <c r="S26" s="23"/>
      <c r="T26" s="74"/>
    </row>
    <row r="27" spans="1:20" ht="25" customHeight="1">
      <c r="A27" s="38">
        <v>45742</v>
      </c>
      <c r="B27" s="16" t="s">
        <v>334</v>
      </c>
      <c r="C27" s="16" t="s">
        <v>34</v>
      </c>
      <c r="D27" s="5">
        <v>0.44791666666666669</v>
      </c>
      <c r="E27" s="5">
        <v>0.5625</v>
      </c>
      <c r="F27" s="6" t="s">
        <v>17</v>
      </c>
      <c r="G27" s="6">
        <f t="shared" si="11"/>
        <v>9.3749999999999986E-2</v>
      </c>
      <c r="H27" s="50">
        <f>_xlfn.IFNA(VLOOKUP(C:C,'Active Jobs'!B:K,8,0),"")</f>
        <v>250</v>
      </c>
      <c r="I27" s="8">
        <f t="shared" si="12"/>
        <v>2.2499999999999996</v>
      </c>
      <c r="J27" s="50">
        <f t="shared" si="13"/>
        <v>150.97657499999997</v>
      </c>
      <c r="K27" s="50">
        <f t="shared" si="14"/>
        <v>99.023425000000032</v>
      </c>
      <c r="L27" s="9">
        <f t="shared" si="15"/>
        <v>0.6039062999999999</v>
      </c>
      <c r="M27" s="16">
        <v>3</v>
      </c>
      <c r="O27" s="23"/>
      <c r="P27" s="23"/>
      <c r="Q27" s="23"/>
      <c r="R27" s="23"/>
      <c r="S27" s="23"/>
      <c r="T27" s="74"/>
    </row>
    <row r="28" spans="1:20" ht="25" customHeight="1">
      <c r="A28" s="38">
        <v>45742</v>
      </c>
      <c r="B28" s="16" t="s">
        <v>334</v>
      </c>
      <c r="C28" s="16" t="s">
        <v>165</v>
      </c>
      <c r="D28" s="5">
        <v>0.5625</v>
      </c>
      <c r="E28" s="5">
        <v>0.64583333333333337</v>
      </c>
      <c r="F28" s="6" t="str">
        <f t="shared" si="10"/>
        <v>No</v>
      </c>
      <c r="G28" s="6">
        <f t="shared" si="11"/>
        <v>8.333333333333337E-2</v>
      </c>
      <c r="H28" s="50">
        <v>135</v>
      </c>
      <c r="I28" s="8">
        <f t="shared" si="12"/>
        <v>2.0000000000000009</v>
      </c>
      <c r="J28" s="50">
        <f t="shared" si="13"/>
        <v>134.20140000000006</v>
      </c>
      <c r="K28" s="50">
        <f t="shared" si="14"/>
        <v>0.79859999999993647</v>
      </c>
      <c r="L28" s="9">
        <f t="shared" si="15"/>
        <v>0.99408444444444488</v>
      </c>
      <c r="M28" s="16">
        <v>3</v>
      </c>
      <c r="O28" s="23"/>
      <c r="P28" s="23"/>
      <c r="Q28" s="23"/>
      <c r="R28" s="23"/>
      <c r="S28" s="23"/>
      <c r="T28" s="74"/>
    </row>
    <row r="29" spans="1:20" ht="25" customHeight="1">
      <c r="A29" s="38">
        <v>45742</v>
      </c>
      <c r="B29" s="15" t="s">
        <v>339</v>
      </c>
      <c r="C29" s="16" t="s">
        <v>102</v>
      </c>
      <c r="D29" s="5">
        <v>0.35416666666666669</v>
      </c>
      <c r="E29" s="5">
        <v>0.44444444444444442</v>
      </c>
      <c r="F29" s="6" t="str">
        <f t="shared" si="10"/>
        <v>No</v>
      </c>
      <c r="G29" s="6">
        <f t="shared" si="11"/>
        <v>9.0277777777777735E-2</v>
      </c>
      <c r="H29" s="50">
        <f>_xlfn.IFNA(VLOOKUP(C:C,'Active Jobs'!B:K,8,0),"")</f>
        <v>240</v>
      </c>
      <c r="I29" s="8">
        <f t="shared" si="12"/>
        <v>2.1666666666666656</v>
      </c>
      <c r="J29" s="50">
        <f t="shared" si="13"/>
        <v>145.38484999999991</v>
      </c>
      <c r="K29" s="50">
        <f t="shared" si="14"/>
        <v>94.615150000000085</v>
      </c>
      <c r="L29" s="9">
        <f t="shared" si="15"/>
        <v>0.60577020833333295</v>
      </c>
      <c r="M29" s="16">
        <v>2</v>
      </c>
      <c r="O29" s="23"/>
      <c r="P29" s="23"/>
      <c r="Q29" s="23"/>
      <c r="R29" s="23"/>
      <c r="S29" s="23"/>
      <c r="T29" s="74"/>
    </row>
    <row r="30" spans="1:20" ht="25" customHeight="1">
      <c r="A30" s="38">
        <v>45742</v>
      </c>
      <c r="B30" s="15" t="s">
        <v>339</v>
      </c>
      <c r="C30" s="16" t="s">
        <v>147</v>
      </c>
      <c r="D30" s="5">
        <v>0.45833333333333331</v>
      </c>
      <c r="E30" s="5">
        <v>0.5625</v>
      </c>
      <c r="F30" s="6" t="s">
        <v>17</v>
      </c>
      <c r="G30" s="6">
        <f t="shared" ref="G30:G35" si="16">IF(E30="","",IF(F30="Yes",(E30-D30)-TIME(0,30,0),E30-D30))</f>
        <v>8.3333333333333356E-2</v>
      </c>
      <c r="H30" s="50">
        <f>_xlfn.IFNA(VLOOKUP(C:C,'Active Jobs'!B:K,8,0),"")</f>
        <v>200</v>
      </c>
      <c r="I30" s="8">
        <f t="shared" ref="I30:I35" si="17">IF(F30="Yes",(E30-D30)*24-0.5,IF(F30="No",(E30-D30)*24,""))</f>
        <v>2.0000000000000004</v>
      </c>
      <c r="J30" s="50">
        <f t="shared" si="13"/>
        <v>134.20140000000004</v>
      </c>
      <c r="K30" s="50">
        <f t="shared" ref="K30:K35" si="18">IF(H30="","",IF(E30="","",IF(J30=0,0,H30-J30)))</f>
        <v>65.798599999999965</v>
      </c>
      <c r="L30" s="9">
        <f t="shared" ref="L30:L35" si="19">IF(K30="","",IF(H30=0,1,J30/H30))</f>
        <v>0.67100700000000013</v>
      </c>
      <c r="M30" s="16">
        <v>2</v>
      </c>
      <c r="O30" s="23"/>
      <c r="P30" s="23"/>
      <c r="Q30" s="23"/>
      <c r="R30" s="23"/>
      <c r="S30" s="23"/>
      <c r="T30" s="74"/>
    </row>
    <row r="31" spans="1:20" ht="25" customHeight="1">
      <c r="A31" s="38">
        <v>45742</v>
      </c>
      <c r="B31" s="15" t="s">
        <v>339</v>
      </c>
      <c r="C31" s="16" t="s">
        <v>25</v>
      </c>
      <c r="D31" s="5">
        <v>0.5625</v>
      </c>
      <c r="E31" s="5">
        <v>0.63541666666666663</v>
      </c>
      <c r="F31" s="6" t="str">
        <f t="shared" ref="F31:F35" si="20">IF(E31="","","No")</f>
        <v>No</v>
      </c>
      <c r="G31" s="6">
        <f t="shared" si="16"/>
        <v>7.291666666666663E-2</v>
      </c>
      <c r="H31" s="50">
        <f>_xlfn.IFNA(VLOOKUP(C:C,'Active Jobs'!B:K,8,0),"")</f>
        <v>220</v>
      </c>
      <c r="I31" s="8">
        <f t="shared" si="17"/>
        <v>1.7499999999999991</v>
      </c>
      <c r="J31" s="50">
        <f t="shared" si="13"/>
        <v>117.42622499999993</v>
      </c>
      <c r="K31" s="50">
        <f t="shared" si="18"/>
        <v>102.57377500000007</v>
      </c>
      <c r="L31" s="9">
        <f t="shared" si="19"/>
        <v>0.53375556818181791</v>
      </c>
      <c r="M31" s="16">
        <v>2</v>
      </c>
      <c r="O31" s="23"/>
      <c r="P31" s="23"/>
      <c r="Q31" s="23"/>
      <c r="R31" s="23"/>
      <c r="S31" s="23"/>
      <c r="T31" s="74"/>
    </row>
    <row r="32" spans="1:20" ht="25" customHeight="1">
      <c r="A32" s="38">
        <v>45743</v>
      </c>
      <c r="B32" s="15" t="s">
        <v>339</v>
      </c>
      <c r="C32" s="16" t="s">
        <v>151</v>
      </c>
      <c r="D32" s="5">
        <v>0.35416666666666669</v>
      </c>
      <c r="E32" s="5">
        <v>0.45833333333333331</v>
      </c>
      <c r="F32" s="6" t="str">
        <f t="shared" si="20"/>
        <v>No</v>
      </c>
      <c r="G32" s="6">
        <f t="shared" si="16"/>
        <v>0.10416666666666663</v>
      </c>
      <c r="H32" s="50">
        <f>_xlfn.IFNA(VLOOKUP(C:C,'Active Jobs'!B:K,8,0),"")</f>
        <v>250</v>
      </c>
      <c r="I32" s="8">
        <f t="shared" si="17"/>
        <v>2.4999999999999991</v>
      </c>
      <c r="J32" s="50">
        <f t="shared" si="13"/>
        <v>167.75174999999993</v>
      </c>
      <c r="K32" s="50">
        <f t="shared" si="18"/>
        <v>82.24825000000007</v>
      </c>
      <c r="L32" s="9">
        <f t="shared" si="19"/>
        <v>0.67100699999999969</v>
      </c>
      <c r="M32" s="16">
        <v>2</v>
      </c>
      <c r="O32" s="23"/>
      <c r="P32" s="23"/>
      <c r="Q32" s="23"/>
      <c r="R32" s="23"/>
      <c r="S32" s="23"/>
      <c r="T32" s="74"/>
    </row>
    <row r="33" spans="1:20" ht="25" customHeight="1">
      <c r="A33" s="38">
        <v>45743</v>
      </c>
      <c r="B33" s="15" t="s">
        <v>339</v>
      </c>
      <c r="C33" s="16" t="s">
        <v>166</v>
      </c>
      <c r="D33" s="5">
        <v>0.45833333333333331</v>
      </c>
      <c r="E33" s="5">
        <v>0.54861111111111116</v>
      </c>
      <c r="F33" s="6" t="s">
        <v>17</v>
      </c>
      <c r="G33" s="6">
        <f t="shared" si="16"/>
        <v>6.9444444444444517E-2</v>
      </c>
      <c r="H33" s="50" t="str">
        <f>_xlfn.IFNA(VLOOKUP(C:C,'Active Jobs'!B:K,8,0),"")</f>
        <v/>
      </c>
      <c r="I33" s="8">
        <f t="shared" si="17"/>
        <v>1.6666666666666683</v>
      </c>
      <c r="J33" s="50">
        <f t="shared" si="13"/>
        <v>111.83450000000011</v>
      </c>
      <c r="K33" s="50" t="str">
        <f t="shared" si="18"/>
        <v/>
      </c>
      <c r="L33" s="9" t="str">
        <f t="shared" si="19"/>
        <v/>
      </c>
      <c r="M33" s="16">
        <v>2</v>
      </c>
      <c r="O33" s="23"/>
      <c r="P33" s="23"/>
      <c r="Q33" s="23"/>
      <c r="R33" s="23"/>
      <c r="S33" s="23"/>
      <c r="T33" s="74"/>
    </row>
    <row r="34" spans="1:20" ht="25" customHeight="1">
      <c r="A34" s="38">
        <v>45743</v>
      </c>
      <c r="B34" s="15" t="s">
        <v>339</v>
      </c>
      <c r="C34" s="16" t="s">
        <v>152</v>
      </c>
      <c r="D34" s="5">
        <v>0.55208333333333337</v>
      </c>
      <c r="E34" s="5">
        <v>0.63541666666666663</v>
      </c>
      <c r="F34" s="6" t="str">
        <f t="shared" si="20"/>
        <v>No</v>
      </c>
      <c r="G34" s="6">
        <f t="shared" si="16"/>
        <v>8.3333333333333259E-2</v>
      </c>
      <c r="H34" s="50">
        <f>_xlfn.IFNA(VLOOKUP(C:C,'Active Jobs'!B:K,8,0),"")</f>
        <v>220</v>
      </c>
      <c r="I34" s="8">
        <f t="shared" si="17"/>
        <v>1.9999999999999982</v>
      </c>
      <c r="J34" s="50">
        <f t="shared" si="13"/>
        <v>134.20139999999986</v>
      </c>
      <c r="K34" s="50">
        <f t="shared" si="18"/>
        <v>85.798600000000135</v>
      </c>
      <c r="L34" s="9">
        <f t="shared" si="19"/>
        <v>0.61000636363636307</v>
      </c>
      <c r="M34" s="16">
        <v>2</v>
      </c>
      <c r="O34" s="23"/>
      <c r="P34" s="23"/>
      <c r="Q34" s="23"/>
      <c r="R34" s="23"/>
      <c r="S34" s="23"/>
      <c r="T34" s="74"/>
    </row>
    <row r="35" spans="1:20" ht="25" customHeight="1">
      <c r="A35" s="38">
        <v>45743</v>
      </c>
      <c r="B35" s="15" t="s">
        <v>339</v>
      </c>
      <c r="C35" s="16" t="s">
        <v>48</v>
      </c>
      <c r="D35" s="5">
        <v>0.63541666666666663</v>
      </c>
      <c r="E35" s="5">
        <v>0.70486111111111116</v>
      </c>
      <c r="F35" s="6" t="str">
        <f t="shared" si="20"/>
        <v>No</v>
      </c>
      <c r="G35" s="6">
        <f t="shared" si="16"/>
        <v>6.9444444444444531E-2</v>
      </c>
      <c r="H35" s="50">
        <f>_xlfn.IFNA(VLOOKUP(C:C,'Active Jobs'!B:K,8,0),"")</f>
        <v>215</v>
      </c>
      <c r="I35" s="8">
        <f t="shared" si="17"/>
        <v>1.6666666666666687</v>
      </c>
      <c r="J35" s="50">
        <f t="shared" si="13"/>
        <v>111.83450000000013</v>
      </c>
      <c r="K35" s="50">
        <f t="shared" si="18"/>
        <v>103.16549999999987</v>
      </c>
      <c r="L35" s="9">
        <f t="shared" si="19"/>
        <v>0.52016046511627967</v>
      </c>
      <c r="M35" s="16">
        <v>2</v>
      </c>
      <c r="O35" s="23"/>
      <c r="P35" s="23"/>
      <c r="Q35" s="23"/>
      <c r="R35" s="23"/>
      <c r="S35" s="23"/>
      <c r="T35" s="74"/>
    </row>
    <row r="36" spans="1:20" ht="25" customHeight="1">
      <c r="A36" s="38">
        <v>45743</v>
      </c>
      <c r="B36" s="15" t="s">
        <v>334</v>
      </c>
      <c r="C36" s="16" t="s">
        <v>27</v>
      </c>
      <c r="D36" s="5">
        <v>0.35416666666666669</v>
      </c>
      <c r="E36" s="5">
        <v>0.44791666666666669</v>
      </c>
      <c r="F36" s="6" t="str">
        <f t="shared" si="0"/>
        <v>No</v>
      </c>
      <c r="G36" s="6">
        <f t="shared" si="4"/>
        <v>9.375E-2</v>
      </c>
      <c r="H36" s="50">
        <f>_xlfn.IFNA(VLOOKUP(C:C,'Active Jobs'!B:K,8,0),"")</f>
        <v>240</v>
      </c>
      <c r="I36" s="8">
        <f t="shared" si="5"/>
        <v>2.25</v>
      </c>
      <c r="J36" s="50">
        <f t="shared" si="6"/>
        <v>150.976575</v>
      </c>
      <c r="K36" s="50">
        <f t="shared" si="1"/>
        <v>89.023425000000003</v>
      </c>
      <c r="L36" s="9">
        <f t="shared" si="7"/>
        <v>0.62906906249999994</v>
      </c>
      <c r="M36" s="16">
        <v>3</v>
      </c>
      <c r="O36" s="23"/>
      <c r="P36" s="23"/>
      <c r="Q36" s="23"/>
      <c r="R36" s="23"/>
      <c r="S36" s="23"/>
      <c r="T36" s="74"/>
    </row>
    <row r="37" spans="1:20" ht="25" customHeight="1">
      <c r="A37" s="38">
        <v>45743</v>
      </c>
      <c r="B37" s="15" t="s">
        <v>334</v>
      </c>
      <c r="C37" s="16" t="s">
        <v>113</v>
      </c>
      <c r="D37" s="5">
        <v>0.45833333333333331</v>
      </c>
      <c r="E37" s="5">
        <v>0.5625</v>
      </c>
      <c r="F37" s="6" t="s">
        <v>17</v>
      </c>
      <c r="G37" s="6">
        <f t="shared" ref="G37:G48" si="21">IF(E37="","",IF(F37="Yes",(E37-D37)-TIME(0,30,0),E37-D37))</f>
        <v>8.3333333333333356E-2</v>
      </c>
      <c r="H37" s="50">
        <f>_xlfn.IFNA(VLOOKUP(C:C,'Active Jobs'!B:K,8,0),"")</f>
        <v>230</v>
      </c>
      <c r="I37" s="8">
        <f t="shared" ref="I37:I48" si="22">IF(F37="Yes",(E37-D37)*24-0.5,IF(F37="No",(E37-D37)*24,""))</f>
        <v>2.0000000000000004</v>
      </c>
      <c r="J37" s="50">
        <f t="shared" ref="J37:J48" si="23">IF(G37="","",G37*24*HourlyRate*2*(1+Super))</f>
        <v>134.20140000000004</v>
      </c>
      <c r="K37" s="50">
        <f t="shared" ref="K37:K48" si="24">IF(H37="","",IF(E37="","",IF(J37=0,0,H37-J37)))</f>
        <v>95.798599999999965</v>
      </c>
      <c r="L37" s="9">
        <f t="shared" ref="L37:L48" si="25">IF(K37="","",IF(H37=0,1,J37/H37))</f>
        <v>0.58348434782608716</v>
      </c>
      <c r="M37" s="16">
        <v>3</v>
      </c>
      <c r="O37" s="23"/>
      <c r="P37" s="23"/>
      <c r="Q37" s="23"/>
      <c r="R37" s="23"/>
      <c r="S37" s="23"/>
      <c r="T37" s="74"/>
    </row>
    <row r="38" spans="1:20" ht="25" customHeight="1">
      <c r="A38" s="38">
        <v>45743</v>
      </c>
      <c r="B38" s="15" t="s">
        <v>334</v>
      </c>
      <c r="C38" s="16" t="s">
        <v>51</v>
      </c>
      <c r="D38" s="5">
        <v>0.5625</v>
      </c>
      <c r="E38" s="5">
        <v>0.64583333333333337</v>
      </c>
      <c r="F38" s="6" t="str">
        <f>IF(E38="","","No")</f>
        <v>No</v>
      </c>
      <c r="G38" s="6">
        <f t="shared" si="21"/>
        <v>8.333333333333337E-2</v>
      </c>
      <c r="H38" s="50">
        <f>_xlfn.IFNA(VLOOKUP(C:C,'Active Jobs'!B:K,8,0),"")</f>
        <v>250</v>
      </c>
      <c r="I38" s="8">
        <f t="shared" si="22"/>
        <v>2.0000000000000009</v>
      </c>
      <c r="J38" s="50">
        <f t="shared" si="23"/>
        <v>134.20140000000006</v>
      </c>
      <c r="K38" s="50">
        <f t="shared" si="24"/>
        <v>115.79859999999994</v>
      </c>
      <c r="L38" s="9">
        <f t="shared" si="25"/>
        <v>0.53680560000000022</v>
      </c>
      <c r="M38" s="16">
        <v>3</v>
      </c>
      <c r="O38" s="23"/>
      <c r="P38" s="23"/>
      <c r="Q38" s="23"/>
      <c r="R38" s="23"/>
      <c r="S38" s="23"/>
      <c r="T38" s="74"/>
    </row>
    <row r="39" spans="1:20" ht="25" customHeight="1">
      <c r="A39" s="38">
        <v>45743</v>
      </c>
      <c r="B39" s="15" t="s">
        <v>334</v>
      </c>
      <c r="C39" s="16" t="s">
        <v>167</v>
      </c>
      <c r="D39" s="5">
        <v>0.64583333333333337</v>
      </c>
      <c r="E39" s="5">
        <v>0.6875</v>
      </c>
      <c r="F39" s="6" t="str">
        <f>IF(E39="","","No")</f>
        <v>No</v>
      </c>
      <c r="G39" s="6">
        <f t="shared" si="21"/>
        <v>4.166666666666663E-2</v>
      </c>
      <c r="H39" s="50">
        <f>_xlfn.IFNA(VLOOKUP(C:C,'Active Jobs'!B:K,8,0),"")</f>
        <v>200</v>
      </c>
      <c r="I39" s="8">
        <f t="shared" si="22"/>
        <v>0.99999999999999911</v>
      </c>
      <c r="J39" s="50">
        <f t="shared" si="23"/>
        <v>67.100699999999932</v>
      </c>
      <c r="K39" s="50">
        <f t="shared" si="24"/>
        <v>132.89930000000007</v>
      </c>
      <c r="L39" s="9">
        <f t="shared" si="25"/>
        <v>0.33550349999999968</v>
      </c>
      <c r="M39" s="16">
        <v>3</v>
      </c>
      <c r="O39" s="23"/>
      <c r="P39" s="23"/>
      <c r="Q39" s="23"/>
      <c r="R39" s="23"/>
      <c r="S39" s="23"/>
      <c r="T39" s="74"/>
    </row>
    <row r="40" spans="1:20" ht="25" customHeight="1">
      <c r="A40" s="38">
        <v>45743</v>
      </c>
      <c r="B40" s="15" t="s">
        <v>367</v>
      </c>
      <c r="C40" s="16" t="s">
        <v>27</v>
      </c>
      <c r="D40" s="5">
        <v>0.35416666666666669</v>
      </c>
      <c r="E40" s="5">
        <v>0.44791666666666669</v>
      </c>
      <c r="F40" s="6" t="str">
        <f t="shared" ref="F40" si="26">IF(E40="","","No")</f>
        <v>No</v>
      </c>
      <c r="G40" s="6">
        <f t="shared" si="21"/>
        <v>9.375E-2</v>
      </c>
      <c r="H40" s="50">
        <f>_xlfn.IFNA(VLOOKUP(C:C,'Active Jobs'!B:K,8,0),"")</f>
        <v>240</v>
      </c>
      <c r="I40" s="8">
        <f t="shared" si="22"/>
        <v>2.25</v>
      </c>
      <c r="J40" s="50">
        <f t="shared" si="23"/>
        <v>150.976575</v>
      </c>
      <c r="K40" s="50">
        <f t="shared" si="24"/>
        <v>89.023425000000003</v>
      </c>
      <c r="L40" s="9">
        <f t="shared" si="25"/>
        <v>0.62906906249999994</v>
      </c>
      <c r="O40" s="23"/>
      <c r="P40" s="23"/>
      <c r="Q40" s="23"/>
      <c r="R40" s="23"/>
      <c r="S40" s="23"/>
      <c r="T40" s="74"/>
    </row>
    <row r="41" spans="1:20" ht="25" customHeight="1">
      <c r="A41" s="38">
        <v>45743</v>
      </c>
      <c r="B41" s="15" t="s">
        <v>367</v>
      </c>
      <c r="C41" s="16" t="s">
        <v>113</v>
      </c>
      <c r="D41" s="5">
        <v>0.45833333333333331</v>
      </c>
      <c r="E41" s="5">
        <v>0.5625</v>
      </c>
      <c r="F41" s="6" t="s">
        <v>17</v>
      </c>
      <c r="G41" s="6">
        <f t="shared" ref="G41:G43" si="27">IF(E41="","",IF(F41="Yes",(E41-D41)-TIME(0,30,0),E41-D41))</f>
        <v>8.3333333333333356E-2</v>
      </c>
      <c r="H41" s="50">
        <f>_xlfn.IFNA(VLOOKUP(C:C,'Active Jobs'!B:K,8,0),"")</f>
        <v>230</v>
      </c>
      <c r="I41" s="8">
        <f t="shared" ref="I41:I43" si="28">IF(F41="Yes",(E41-D41)*24-0.5,IF(F41="No",(E41-D41)*24,""))</f>
        <v>2.0000000000000004</v>
      </c>
      <c r="J41" s="50">
        <f t="shared" ref="J41:J43" si="29">IF(G41="","",G41*24*HourlyRate*2*(1+Super))</f>
        <v>134.20140000000004</v>
      </c>
      <c r="K41" s="50">
        <f t="shared" ref="K41:K43" si="30">IF(H41="","",IF(E41="","",IF(J41=0,0,H41-J41)))</f>
        <v>95.798599999999965</v>
      </c>
      <c r="L41" s="9">
        <f t="shared" ref="L41:L43" si="31">IF(K41="","",IF(H41=0,1,J41/H41))</f>
        <v>0.58348434782608716</v>
      </c>
      <c r="O41" s="23"/>
      <c r="P41" s="23"/>
      <c r="Q41" s="23"/>
      <c r="R41" s="23"/>
      <c r="S41" s="23"/>
      <c r="T41" s="74"/>
    </row>
    <row r="42" spans="1:20" ht="25" customHeight="1">
      <c r="A42" s="38">
        <v>45743</v>
      </c>
      <c r="B42" s="15" t="s">
        <v>367</v>
      </c>
      <c r="C42" s="16" t="s">
        <v>51</v>
      </c>
      <c r="D42" s="5">
        <v>0.5625</v>
      </c>
      <c r="E42" s="5">
        <v>0.64583333333333337</v>
      </c>
      <c r="F42" s="6" t="str">
        <f>IF(E42="","","No")</f>
        <v>No</v>
      </c>
      <c r="G42" s="6">
        <f t="shared" si="27"/>
        <v>8.333333333333337E-2</v>
      </c>
      <c r="H42" s="50">
        <f>_xlfn.IFNA(VLOOKUP(C:C,'Active Jobs'!B:K,8,0),"")</f>
        <v>250</v>
      </c>
      <c r="I42" s="8">
        <f t="shared" si="28"/>
        <v>2.0000000000000009</v>
      </c>
      <c r="J42" s="50">
        <f t="shared" si="29"/>
        <v>134.20140000000006</v>
      </c>
      <c r="K42" s="50">
        <f t="shared" si="30"/>
        <v>115.79859999999994</v>
      </c>
      <c r="L42" s="9">
        <f t="shared" si="31"/>
        <v>0.53680560000000022</v>
      </c>
      <c r="O42" s="23"/>
      <c r="P42" s="23"/>
      <c r="Q42" s="23"/>
      <c r="R42" s="23"/>
      <c r="S42" s="23"/>
      <c r="T42" s="74"/>
    </row>
    <row r="43" spans="1:20" ht="25" customHeight="1">
      <c r="A43" s="38">
        <v>45743</v>
      </c>
      <c r="B43" s="15" t="s">
        <v>367</v>
      </c>
      <c r="C43" s="16" t="s">
        <v>167</v>
      </c>
      <c r="D43" s="5">
        <v>0.64583333333333337</v>
      </c>
      <c r="E43" s="5">
        <v>0.6875</v>
      </c>
      <c r="F43" s="6" t="str">
        <f>IF(E43="","","No")</f>
        <v>No</v>
      </c>
      <c r="G43" s="6">
        <f t="shared" si="27"/>
        <v>4.166666666666663E-2</v>
      </c>
      <c r="H43" s="50">
        <f>_xlfn.IFNA(VLOOKUP(C:C,'Active Jobs'!B:K,8,0),"")</f>
        <v>200</v>
      </c>
      <c r="I43" s="8">
        <f t="shared" si="28"/>
        <v>0.99999999999999911</v>
      </c>
      <c r="J43" s="50">
        <f t="shared" si="29"/>
        <v>67.100699999999932</v>
      </c>
      <c r="K43" s="50">
        <f t="shared" si="30"/>
        <v>132.89930000000007</v>
      </c>
      <c r="L43" s="9">
        <f t="shared" si="31"/>
        <v>0.33550349999999968</v>
      </c>
      <c r="O43" s="23"/>
      <c r="P43" s="23"/>
      <c r="Q43" s="23"/>
      <c r="R43" s="23"/>
      <c r="S43" s="23"/>
      <c r="T43" s="74"/>
    </row>
    <row r="44" spans="1:20" ht="25" customHeight="1">
      <c r="A44" s="38">
        <v>45744</v>
      </c>
      <c r="B44" s="15" t="s">
        <v>350</v>
      </c>
      <c r="C44" s="16" t="s">
        <v>168</v>
      </c>
      <c r="D44" s="5">
        <v>0.35416666666666669</v>
      </c>
      <c r="E44" s="5">
        <v>0.44791666666666669</v>
      </c>
      <c r="F44" s="6" t="str">
        <f>IF(E44="","","No")</f>
        <v>No</v>
      </c>
      <c r="G44" s="6">
        <f t="shared" si="21"/>
        <v>9.375E-2</v>
      </c>
      <c r="H44" s="50">
        <v>250</v>
      </c>
      <c r="I44" s="8">
        <f t="shared" si="22"/>
        <v>2.25</v>
      </c>
      <c r="J44" s="50">
        <f t="shared" si="23"/>
        <v>150.976575</v>
      </c>
      <c r="K44" s="50">
        <f t="shared" si="24"/>
        <v>99.023425000000003</v>
      </c>
      <c r="L44" s="9">
        <f t="shared" si="25"/>
        <v>0.60390630000000001</v>
      </c>
      <c r="M44" s="16">
        <v>1</v>
      </c>
      <c r="O44" s="23"/>
      <c r="P44" s="23"/>
      <c r="Q44" s="23"/>
      <c r="R44" s="23"/>
      <c r="S44" s="23"/>
      <c r="T44" s="74"/>
    </row>
    <row r="45" spans="1:20" ht="25" customHeight="1">
      <c r="A45" s="38">
        <v>45744</v>
      </c>
      <c r="B45" s="15" t="s">
        <v>350</v>
      </c>
      <c r="C45" s="16" t="s">
        <v>107</v>
      </c>
      <c r="D45" s="5">
        <v>0.45833333333333331</v>
      </c>
      <c r="E45" s="5">
        <v>0.5625</v>
      </c>
      <c r="F45" s="6" t="s">
        <v>17</v>
      </c>
      <c r="G45" s="6">
        <f t="shared" si="21"/>
        <v>8.3333333333333356E-2</v>
      </c>
      <c r="H45" s="50">
        <v>290</v>
      </c>
      <c r="I45" s="8">
        <f t="shared" si="22"/>
        <v>2.0000000000000004</v>
      </c>
      <c r="J45" s="50">
        <f t="shared" si="23"/>
        <v>134.20140000000004</v>
      </c>
      <c r="K45" s="50">
        <f t="shared" si="24"/>
        <v>155.79859999999996</v>
      </c>
      <c r="L45" s="9">
        <f t="shared" si="25"/>
        <v>0.46276344827586219</v>
      </c>
      <c r="M45" s="16">
        <v>1</v>
      </c>
      <c r="O45" s="23"/>
      <c r="P45" s="23"/>
      <c r="Q45" s="23"/>
      <c r="R45" s="23"/>
      <c r="S45" s="23"/>
      <c r="T45" s="74"/>
    </row>
    <row r="46" spans="1:20" ht="25" customHeight="1">
      <c r="A46" s="38">
        <v>45744</v>
      </c>
      <c r="B46" s="15" t="s">
        <v>350</v>
      </c>
      <c r="C46" s="16" t="s">
        <v>165</v>
      </c>
      <c r="D46" s="5">
        <v>0.5625</v>
      </c>
      <c r="E46" s="5">
        <v>0.60416666666666663</v>
      </c>
      <c r="F46" s="6" t="s">
        <v>53</v>
      </c>
      <c r="G46" s="6">
        <f t="shared" ref="G46" si="32">IF(E46="","",IF(F46="Yes",(E46-D46)-TIME(0,30,0),E46-D46))</f>
        <v>4.166666666666663E-2</v>
      </c>
      <c r="H46" s="50">
        <v>0</v>
      </c>
      <c r="I46" s="8">
        <f t="shared" ref="I46" si="33">IF(F46="Yes",(E46-D46)*24-0.5,IF(F46="No",(E46-D46)*24,""))</f>
        <v>0.99999999999999911</v>
      </c>
      <c r="J46" s="50">
        <f t="shared" ref="J46" si="34">IF(G46="","",G46*24*HourlyRate*2*(1+Super))</f>
        <v>67.100699999999932</v>
      </c>
      <c r="K46" s="50">
        <f t="shared" ref="K46" si="35">IF(H46="","",IF(E46="","",IF(J46=0,0,H46-J46)))</f>
        <v>-67.100699999999932</v>
      </c>
      <c r="L46" s="9">
        <f t="shared" ref="L46" si="36">IF(K46="","",IF(H46=0,1,J46/H46))</f>
        <v>1</v>
      </c>
      <c r="M46" s="16">
        <v>1</v>
      </c>
      <c r="N46" s="80"/>
      <c r="O46" s="23"/>
      <c r="P46" s="23"/>
      <c r="Q46" s="23"/>
      <c r="R46" s="23"/>
      <c r="S46" s="23"/>
      <c r="T46" s="74"/>
    </row>
    <row r="47" spans="1:20" ht="25" customHeight="1">
      <c r="A47" s="38">
        <v>45744</v>
      </c>
      <c r="B47" s="15" t="s">
        <v>339</v>
      </c>
      <c r="C47" s="16" t="s">
        <v>126</v>
      </c>
      <c r="D47" s="5">
        <v>0.35416666666666669</v>
      </c>
      <c r="E47" s="5">
        <v>0.44791666666666669</v>
      </c>
      <c r="F47" s="6" t="str">
        <f>IF(E47="","","No")</f>
        <v>No</v>
      </c>
      <c r="G47" s="6">
        <f t="shared" si="21"/>
        <v>9.375E-2</v>
      </c>
      <c r="H47" s="50">
        <f>_xlfn.IFNA(VLOOKUP(C:C,'Active Jobs'!B:K,8,0),"")</f>
        <v>250</v>
      </c>
      <c r="I47" s="8">
        <f t="shared" si="22"/>
        <v>2.25</v>
      </c>
      <c r="J47" s="50">
        <f t="shared" si="23"/>
        <v>150.976575</v>
      </c>
      <c r="K47" s="50">
        <f t="shared" si="24"/>
        <v>99.023425000000003</v>
      </c>
      <c r="L47" s="9">
        <f t="shared" si="25"/>
        <v>0.60390630000000001</v>
      </c>
      <c r="M47" s="16">
        <v>2</v>
      </c>
      <c r="O47" s="23"/>
      <c r="P47" s="23"/>
      <c r="Q47" s="23"/>
      <c r="R47" s="23"/>
      <c r="S47" s="23"/>
      <c r="T47" s="74"/>
    </row>
    <row r="48" spans="1:20" ht="25" customHeight="1">
      <c r="A48" s="38">
        <v>45744</v>
      </c>
      <c r="B48" s="15" t="s">
        <v>339</v>
      </c>
      <c r="C48" s="16" t="s">
        <v>155</v>
      </c>
      <c r="D48" s="5">
        <v>0.45833333333333331</v>
      </c>
      <c r="E48" s="5">
        <v>0.5625</v>
      </c>
      <c r="F48" s="6" t="s">
        <v>17</v>
      </c>
      <c r="G48" s="6">
        <f t="shared" si="21"/>
        <v>8.3333333333333356E-2</v>
      </c>
      <c r="H48" s="50">
        <f>_xlfn.IFNA(VLOOKUP(C:C,'Active Jobs'!B:K,8,0),"")</f>
        <v>220</v>
      </c>
      <c r="I48" s="8">
        <f t="shared" si="22"/>
        <v>2.0000000000000004</v>
      </c>
      <c r="J48" s="50">
        <f t="shared" si="23"/>
        <v>134.20140000000004</v>
      </c>
      <c r="K48" s="50">
        <f t="shared" si="24"/>
        <v>85.798599999999965</v>
      </c>
      <c r="L48" s="9">
        <f t="shared" si="25"/>
        <v>0.61000636363636385</v>
      </c>
      <c r="M48" s="16">
        <v>2</v>
      </c>
      <c r="O48" s="23"/>
      <c r="P48" s="23"/>
      <c r="Q48" s="23"/>
      <c r="R48" s="23"/>
      <c r="S48" s="23"/>
      <c r="T48" s="74"/>
    </row>
    <row r="49" spans="1:20" ht="25" customHeight="1">
      <c r="A49" s="38">
        <v>45744</v>
      </c>
      <c r="B49" s="15" t="s">
        <v>339</v>
      </c>
      <c r="C49" s="16" t="s">
        <v>127</v>
      </c>
      <c r="D49" s="5">
        <v>0.5625</v>
      </c>
      <c r="E49" s="5">
        <v>0.63541666666666663</v>
      </c>
      <c r="F49" s="6" t="str">
        <f t="shared" si="0"/>
        <v>No</v>
      </c>
      <c r="G49" s="6">
        <f t="shared" si="4"/>
        <v>7.291666666666663E-2</v>
      </c>
      <c r="H49" s="50">
        <f>_xlfn.IFNA(VLOOKUP(C:C,'Active Jobs'!B:K,8,0),"")</f>
        <v>200</v>
      </c>
      <c r="I49" s="8">
        <f t="shared" si="5"/>
        <v>1.7499999999999991</v>
      </c>
      <c r="J49" s="50">
        <f t="shared" si="6"/>
        <v>117.42622499999993</v>
      </c>
      <c r="K49" s="50">
        <f t="shared" si="1"/>
        <v>82.573775000000069</v>
      </c>
      <c r="L49" s="9">
        <f t="shared" si="7"/>
        <v>0.58713112499999964</v>
      </c>
      <c r="M49" s="16">
        <v>2</v>
      </c>
      <c r="O49" s="23"/>
      <c r="P49" s="23"/>
      <c r="Q49" s="23"/>
      <c r="R49" s="23"/>
      <c r="S49" s="23"/>
      <c r="T49" s="74"/>
    </row>
    <row r="50" spans="1:20" ht="25" customHeight="1">
      <c r="A50" s="38">
        <v>45744</v>
      </c>
      <c r="B50" s="15" t="s">
        <v>334</v>
      </c>
      <c r="C50" s="16" t="s">
        <v>47</v>
      </c>
      <c r="D50" s="5">
        <v>0.35416666666666669</v>
      </c>
      <c r="E50" s="5">
        <v>0.44097222222222221</v>
      </c>
      <c r="F50" s="6" t="str">
        <f>IF(E50="","","No")</f>
        <v>No</v>
      </c>
      <c r="G50" s="6">
        <f>IF(E50="","",IF(F50="Yes",(E50-D50)-TIME(0,30,0),E50-D50))</f>
        <v>8.6805555555555525E-2</v>
      </c>
      <c r="H50" s="50">
        <f>_xlfn.IFNA(VLOOKUP(C:C,'Active Jobs'!B:K,8,0),"")</f>
        <v>200</v>
      </c>
      <c r="I50" s="8">
        <f>IF(F50="Yes",(E50-D50)*24-0.5,IF(F50="No",(E50-D50)*24,""))</f>
        <v>2.0833333333333326</v>
      </c>
      <c r="J50" s="50">
        <f>IF(G50="","",G50*24*HourlyRate*2*(1+Super))</f>
        <v>139.79312499999995</v>
      </c>
      <c r="K50" s="50">
        <f>IF(H50="","",IF(E50="","",IF(J50=0,0,H50-J50)))</f>
        <v>60.206875000000053</v>
      </c>
      <c r="L50" s="9">
        <f>IF(K50="","",IF(H50=0,1,J50/H50))</f>
        <v>0.6989656249999997</v>
      </c>
      <c r="M50" s="16">
        <v>3</v>
      </c>
      <c r="O50" s="23"/>
      <c r="P50" s="23"/>
      <c r="Q50" s="23"/>
      <c r="R50" s="23"/>
      <c r="S50" s="23"/>
      <c r="T50" s="74"/>
    </row>
    <row r="51" spans="1:20" ht="25" customHeight="1">
      <c r="A51" s="38">
        <v>45744</v>
      </c>
      <c r="B51" s="15" t="s">
        <v>334</v>
      </c>
      <c r="C51" s="16" t="s">
        <v>169</v>
      </c>
      <c r="D51" s="5">
        <v>0.44791666666666669</v>
      </c>
      <c r="E51" s="5">
        <v>0.63541666666666663</v>
      </c>
      <c r="F51" s="6" t="s">
        <v>17</v>
      </c>
      <c r="G51" s="6">
        <f>IF(E51="","",IF(F51="Yes",(E51-D51)-TIME(0,30,0),E51-D51))</f>
        <v>0.1666666666666666</v>
      </c>
      <c r="H51" s="50">
        <v>570</v>
      </c>
      <c r="I51" s="8">
        <f>IF(F51="Yes",(E51-D51)*24-0.5,IF(F51="No",(E51-D51)*24,""))</f>
        <v>3.9999999999999982</v>
      </c>
      <c r="J51" s="50">
        <f>IF(G51="","",G51*24*HourlyRate*2*(1+Super))</f>
        <v>268.40279999999984</v>
      </c>
      <c r="K51" s="50">
        <f>IF(H51="","",IF(E51="","",IF(J51=0,0,H51-J51)))</f>
        <v>301.59720000000016</v>
      </c>
      <c r="L51" s="9">
        <f>IF(K51="","",IF(H51=0,1,J51/H51))</f>
        <v>0.4708821052631576</v>
      </c>
      <c r="M51" s="16">
        <v>3</v>
      </c>
      <c r="O51" s="23"/>
      <c r="P51" s="23"/>
      <c r="Q51" s="23"/>
      <c r="R51" s="23"/>
      <c r="S51" s="23"/>
      <c r="T51" s="74"/>
    </row>
    <row r="52" spans="1:20" ht="25" customHeight="1">
      <c r="B52" s="15"/>
      <c r="D52" s="5"/>
      <c r="E52" s="5"/>
      <c r="F52" s="6" t="str">
        <f t="shared" si="0"/>
        <v/>
      </c>
      <c r="G52" s="6" t="str">
        <f>IF(E52="","",IF(F52="Yes",(E52-D52)-TIME(0,30,0),E52-D52))</f>
        <v/>
      </c>
      <c r="H52" s="50" t="str">
        <f>_xlfn.IFNA(VLOOKUP(C:C,'Active Jobs'!B:K,8,0),"")</f>
        <v/>
      </c>
      <c r="I52" s="8" t="str">
        <f>IF(F52="Yes",(E52-D52)*24-0.5,IF(F52="No",(E52-D52)*24,""))</f>
        <v/>
      </c>
      <c r="J52" s="50" t="str">
        <f>IF(G52="","",G52*24*HourlyRate*2*(1+Super))</f>
        <v/>
      </c>
      <c r="K52" s="50" t="str">
        <f t="shared" si="1"/>
        <v/>
      </c>
      <c r="L52" s="9" t="str">
        <f>IF(K52="","",IF(H52=0,1,J52/H52))</f>
        <v/>
      </c>
      <c r="O52" s="23"/>
      <c r="P52" s="23"/>
      <c r="Q52" s="23"/>
      <c r="R52" s="23"/>
      <c r="S52" s="23"/>
      <c r="T52" s="74"/>
    </row>
    <row r="53" spans="1:20" ht="25" customHeight="1">
      <c r="B53" s="15"/>
      <c r="C53" s="49"/>
      <c r="D53" s="5"/>
      <c r="E53" s="5"/>
      <c r="F53" s="6" t="str">
        <f t="shared" si="0"/>
        <v/>
      </c>
      <c r="G53" s="6" t="str">
        <f t="shared" si="4"/>
        <v/>
      </c>
      <c r="H53" s="50" t="str">
        <f>_xlfn.IFNA(VLOOKUP(C:C,'Active Jobs'!B:K,8,0),"")</f>
        <v/>
      </c>
      <c r="I53" s="8" t="str">
        <f t="shared" si="5"/>
        <v/>
      </c>
      <c r="J53" s="50" t="str">
        <f t="shared" si="6"/>
        <v/>
      </c>
      <c r="K53" s="50" t="str">
        <f t="shared" si="1"/>
        <v/>
      </c>
      <c r="L53" s="9" t="str">
        <f t="shared" si="7"/>
        <v/>
      </c>
    </row>
    <row r="54" spans="1:20" ht="25" customHeight="1">
      <c r="A54" s="39"/>
      <c r="B54" s="29"/>
      <c r="C54" s="30"/>
      <c r="D54" s="1"/>
      <c r="E54" s="1"/>
      <c r="F54" s="31"/>
      <c r="G54" s="32"/>
      <c r="H54" s="53">
        <f>SUBTOTAL(109,Table2261210141636[Quoted])</f>
        <v>11935</v>
      </c>
      <c r="I54" s="34">
        <f>SUBTOTAL(109,Table2261210141636[Hours Payable])</f>
        <v>104.58333333333333</v>
      </c>
      <c r="J54" s="53">
        <f>SUBTOTAL(109,Table2261210141636[Wages (Incl. Super)])</f>
        <v>7017.6148749999984</v>
      </c>
      <c r="K54" s="53">
        <f>SUBTOTAL(109,Table2261210141636[Profit])</f>
        <v>5029.2196250000025</v>
      </c>
      <c r="L54" s="35">
        <f>IF(L2="","",SUBTOTAL(101,Table2261210141636[Quote/Wages]))</f>
        <v>0.59318226519279882</v>
      </c>
    </row>
  </sheetData>
  <conditionalFormatting sqref="B55:B275 B1:B25 B29:B53">
    <cfRule type="expression" dxfId="52" priority="1">
      <formula>AND(ROW()&gt;1, E1&lt;&gt;"", COUNTIFS(A:A, $A1, B:B, $B1, F:F, "Yes")=0)</formula>
    </cfRule>
  </conditionalFormatting>
  <conditionalFormatting sqref="F55:F275 F1:F53">
    <cfRule type="expression" dxfId="51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53" xr:uid="{5F425EFF-E4C7-4673-A052-D2B1B0A48AA1}">
      <formula1>"No, Yes"</formula1>
    </dataValidation>
    <dataValidation type="list" allowBlank="1" showErrorMessage="1" promptTitle="Select" sqref="B2:B25 B29:B53" xr:uid="{2D7549ED-0246-4A85-8AD9-9E7BA74364AC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58EB3CE-A666-4EB5-A15F-324AA7F363C5}">
          <x14:formula1>
            <xm:f>'Active Jobs'!$B$2:$B$154</xm:f>
          </x14:formula1>
          <xm:sqref>C2:C53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0534D-921F-455B-A4BA-818F8A595724}">
  <sheetPr codeName="Sheet20"/>
  <dimension ref="A1:W42"/>
  <sheetViews>
    <sheetView topLeftCell="A12" zoomScale="125" zoomScaleNormal="125" workbookViewId="0">
      <selection activeCell="C21" sqref="C21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IF(B2="","",TRANSPOSE(_xlfn._xlws.FILTER(_xlfn.UNIQUE(A2:A203), _xlfn.UNIQUE(A2:A203)&lt;&gt;"")))</f>
        <v>45733</v>
      </c>
      <c r="P1" s="63">
        <v>45734</v>
      </c>
      <c r="Q1" s="63">
        <v>45735</v>
      </c>
      <c r="R1" s="63">
        <v>45736</v>
      </c>
      <c r="S1" s="63">
        <v>45737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45733</v>
      </c>
      <c r="B2" s="15" t="s">
        <v>351</v>
      </c>
      <c r="C2" s="16" t="s">
        <v>29</v>
      </c>
      <c r="D2" s="5">
        <v>0.35416666666666669</v>
      </c>
      <c r="E2" s="5">
        <v>0.45833333333333331</v>
      </c>
      <c r="F2" s="6" t="str">
        <f t="shared" ref="F2:F31" si="0">IF(E2="","","No")</f>
        <v>No</v>
      </c>
      <c r="G2" s="6">
        <f>IF(E2="","",IF(F2="Yes",(E2-D2)-TIME(0,30,0),E2-D2))</f>
        <v>0.10416666666666663</v>
      </c>
      <c r="H2" s="50">
        <f>_xlfn.IFNA(VLOOKUP(C:C,'Active Jobs'!B:K,8,0),"")</f>
        <v>200</v>
      </c>
      <c r="I2" s="8">
        <f>IF(F2="Yes",(E2-D2)*24-0.5,IF(F2="No",(E2-D2)*24,""))</f>
        <v>2.4999999999999991</v>
      </c>
      <c r="J2" s="50">
        <f>IF(G2="","",G2*24*HourlyRate*2*(1+Super))</f>
        <v>167.75174999999993</v>
      </c>
      <c r="K2" s="50">
        <f t="shared" ref="K2:K31" si="1">IF(H2="","",IF(E2="","",IF(J2=0,0,H2-J2)))</f>
        <v>32.24825000000007</v>
      </c>
      <c r="L2" s="9">
        <f>IF(K2="","",IF(H2=0,1,J2/H2))</f>
        <v>0.83875874999999966</v>
      </c>
      <c r="M2" s="16">
        <v>2</v>
      </c>
      <c r="N2" s="41" t="str" cm="1">
        <f t="array" ref="N2:N5">IF(B2="","",_xlfn.UNIQUE(TRANSPOSE(_xlfn.TEXTSPLIT(_xlfn.TEXTJOIN(" &amp; ", TRUE, TRIM(B2:B203)), " &amp; "))))</f>
        <v>Julie Roccati</v>
      </c>
      <c r="O2" s="23">
        <f t="shared" ref="O2:S17" si="2">IF(N2="","",ROUND(SUMIFS($I:$I,$A:$A,O$1,$B:$B,"*"&amp;$N2&amp;"*"),2))</f>
        <v>6.92</v>
      </c>
      <c r="P2" s="23">
        <f t="shared" si="2"/>
        <v>7</v>
      </c>
      <c r="Q2" s="23">
        <f t="shared" si="2"/>
        <v>6</v>
      </c>
      <c r="R2" s="23">
        <f t="shared" si="2"/>
        <v>6.25</v>
      </c>
      <c r="S2" s="23">
        <f t="shared" si="2"/>
        <v>0</v>
      </c>
      <c r="T2" s="10">
        <f t="shared" ref="T2:T42" si="3">IF(N2="","",SUM(O2:S2))</f>
        <v>26.17</v>
      </c>
      <c r="U2" s="24"/>
      <c r="V2" s="24">
        <f>IF(N2="","",T2*HourlyRate)</f>
        <v>787.45530000000008</v>
      </c>
      <c r="W2" s="25">
        <f>IF(N2="","",V2*Super)</f>
        <v>90.557359500000018</v>
      </c>
    </row>
    <row r="3" spans="1:23" ht="25" customHeight="1">
      <c r="A3" s="37">
        <v>45733</v>
      </c>
      <c r="B3" s="15" t="s">
        <v>351</v>
      </c>
      <c r="C3" s="16" t="s">
        <v>170</v>
      </c>
      <c r="D3" s="5">
        <v>0.46875</v>
      </c>
      <c r="E3" s="5">
        <v>0.58333333333333337</v>
      </c>
      <c r="F3" s="6" t="s">
        <v>17</v>
      </c>
      <c r="G3" s="6">
        <f t="shared" ref="G3:G31" si="4">IF(E3="","",IF(F3="Yes",(E3-D3)-TIME(0,30,0),E3-D3))</f>
        <v>9.3750000000000042E-2</v>
      </c>
      <c r="H3" s="50">
        <v>380</v>
      </c>
      <c r="I3" s="8">
        <f t="shared" ref="I3:I31" si="5">IF(F3="Yes",(E3-D3)*24-0.5,IF(F3="No",(E3-D3)*24,""))</f>
        <v>2.2500000000000009</v>
      </c>
      <c r="J3" s="50">
        <f t="shared" ref="J3:J31" si="6">IF(G3="","",G3*24*HourlyRate*2*(1+Super))</f>
        <v>150.97657500000005</v>
      </c>
      <c r="K3" s="50">
        <f t="shared" si="1"/>
        <v>229.02342499999995</v>
      </c>
      <c r="L3" s="9">
        <f t="shared" ref="L3:L31" si="7">IF(K3="","",IF(H3=0,1,J3/H3))</f>
        <v>0.39730677631578959</v>
      </c>
      <c r="M3" s="16">
        <v>2</v>
      </c>
      <c r="N3" s="42" t="str">
        <v>Rose Bliszczak</v>
      </c>
      <c r="O3" s="23">
        <f t="shared" si="2"/>
        <v>6.92</v>
      </c>
      <c r="P3" s="23">
        <f t="shared" si="2"/>
        <v>8</v>
      </c>
      <c r="Q3" s="23">
        <f t="shared" si="2"/>
        <v>6</v>
      </c>
      <c r="R3" s="23">
        <f t="shared" si="2"/>
        <v>6.5</v>
      </c>
      <c r="S3" s="23">
        <f t="shared" si="2"/>
        <v>6</v>
      </c>
      <c r="T3" s="10">
        <f t="shared" si="3"/>
        <v>33.42</v>
      </c>
      <c r="U3" s="21"/>
      <c r="V3" s="24">
        <f>IF(N3="","",T3*HourlyRate)</f>
        <v>1005.6078</v>
      </c>
      <c r="W3" s="25">
        <f>IF(N3="","",V3*Super)</f>
        <v>115.644897</v>
      </c>
    </row>
    <row r="4" spans="1:23" ht="25" customHeight="1">
      <c r="A4" s="37">
        <v>45733</v>
      </c>
      <c r="B4" s="15" t="s">
        <v>351</v>
      </c>
      <c r="C4" s="16" t="s">
        <v>118</v>
      </c>
      <c r="D4" s="5">
        <v>0.58333333333333337</v>
      </c>
      <c r="E4" s="5">
        <v>0.67361111111111116</v>
      </c>
      <c r="F4" s="6" t="str">
        <f t="shared" si="0"/>
        <v>No</v>
      </c>
      <c r="G4" s="6">
        <f t="shared" si="4"/>
        <v>9.027777777777779E-2</v>
      </c>
      <c r="H4" s="50">
        <f>_xlfn.IFNA(VLOOKUP(C:C,'Active Jobs'!B:K,8,0),"")</f>
        <v>200</v>
      </c>
      <c r="I4" s="8">
        <f t="shared" si="5"/>
        <v>2.166666666666667</v>
      </c>
      <c r="J4" s="50">
        <f t="shared" si="6"/>
        <v>145.38485000000003</v>
      </c>
      <c r="K4" s="50">
        <f t="shared" si="1"/>
        <v>54.615149999999971</v>
      </c>
      <c r="L4" s="9">
        <f t="shared" si="7"/>
        <v>0.72692425000000016</v>
      </c>
      <c r="M4" s="16">
        <v>2</v>
      </c>
      <c r="N4" s="42" t="str">
        <v>Orla Shelly</v>
      </c>
      <c r="O4" s="23">
        <f t="shared" si="2"/>
        <v>0</v>
      </c>
      <c r="P4" s="23">
        <f t="shared" si="2"/>
        <v>7</v>
      </c>
      <c r="Q4" s="23">
        <f t="shared" si="2"/>
        <v>6</v>
      </c>
      <c r="R4" s="23">
        <f t="shared" si="2"/>
        <v>6.25</v>
      </c>
      <c r="S4" s="23">
        <f t="shared" si="2"/>
        <v>5.5</v>
      </c>
      <c r="T4" s="10">
        <f t="shared" si="3"/>
        <v>24.75</v>
      </c>
      <c r="U4" s="21"/>
      <c r="V4" s="24">
        <f>IF(N4="","",T4*HourlyRate)</f>
        <v>744.72749999999996</v>
      </c>
      <c r="W4" s="25">
        <f>IF(N4="","",V4*Super)</f>
        <v>85.643662500000005</v>
      </c>
    </row>
    <row r="5" spans="1:23" ht="25" customHeight="1">
      <c r="A5" s="37">
        <v>45734</v>
      </c>
      <c r="B5" s="15" t="s">
        <v>339</v>
      </c>
      <c r="C5" s="16" t="s">
        <v>21</v>
      </c>
      <c r="D5" s="5">
        <v>0.35416666666666669</v>
      </c>
      <c r="E5" s="5">
        <v>0.45833333333333331</v>
      </c>
      <c r="F5" s="6" t="str">
        <f t="shared" si="0"/>
        <v>No</v>
      </c>
      <c r="G5" s="6">
        <f t="shared" si="4"/>
        <v>0.10416666666666663</v>
      </c>
      <c r="H5" s="50">
        <f>_xlfn.IFNA(VLOOKUP(C:C,'Active Jobs'!B:K,8,0),"")</f>
        <v>220</v>
      </c>
      <c r="I5" s="8">
        <f t="shared" si="5"/>
        <v>2.4999999999999991</v>
      </c>
      <c r="J5" s="50">
        <f t="shared" si="6"/>
        <v>167.75174999999993</v>
      </c>
      <c r="K5" s="50">
        <f t="shared" si="1"/>
        <v>52.24825000000007</v>
      </c>
      <c r="L5" s="9">
        <f t="shared" si="7"/>
        <v>0.76250795454545428</v>
      </c>
      <c r="M5" s="16">
        <v>2</v>
      </c>
      <c r="N5" s="42" t="str">
        <v>Aoife O'Gorman</v>
      </c>
      <c r="O5" s="23">
        <f t="shared" si="2"/>
        <v>0</v>
      </c>
      <c r="P5" s="23">
        <f t="shared" si="2"/>
        <v>8</v>
      </c>
      <c r="Q5" s="23">
        <f t="shared" si="2"/>
        <v>6</v>
      </c>
      <c r="R5" s="23">
        <f t="shared" si="2"/>
        <v>6.5</v>
      </c>
      <c r="S5" s="23">
        <f t="shared" si="2"/>
        <v>6</v>
      </c>
      <c r="T5" s="10">
        <f t="shared" si="3"/>
        <v>26.5</v>
      </c>
      <c r="U5" s="21"/>
      <c r="V5" s="24">
        <f>IF(N5="","",T5*HourlyRate)</f>
        <v>797.38499999999999</v>
      </c>
      <c r="W5" s="25">
        <f>IF(N5="","",V5*Super)</f>
        <v>91.699275</v>
      </c>
    </row>
    <row r="6" spans="1:23" ht="25" customHeight="1">
      <c r="A6" s="37">
        <v>45734</v>
      </c>
      <c r="B6" s="15" t="s">
        <v>339</v>
      </c>
      <c r="C6" s="16" t="s">
        <v>120</v>
      </c>
      <c r="D6" s="5">
        <v>0.45833333333333331</v>
      </c>
      <c r="E6" s="5">
        <v>0.5625</v>
      </c>
      <c r="F6" s="6" t="s">
        <v>17</v>
      </c>
      <c r="G6" s="6">
        <f t="shared" si="4"/>
        <v>8.3333333333333356E-2</v>
      </c>
      <c r="H6" s="50">
        <f>_xlfn.IFNA(VLOOKUP(C:C,'Active Jobs'!B:K,8,0),"")</f>
        <v>230</v>
      </c>
      <c r="I6" s="8">
        <f t="shared" si="5"/>
        <v>2.0000000000000004</v>
      </c>
      <c r="J6" s="50">
        <f t="shared" si="6"/>
        <v>134.20140000000004</v>
      </c>
      <c r="K6" s="50">
        <f t="shared" si="1"/>
        <v>95.798599999999965</v>
      </c>
      <c r="L6" s="9">
        <f t="shared" si="7"/>
        <v>0.58348434782608716</v>
      </c>
      <c r="M6" s="16">
        <v>2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45734</v>
      </c>
      <c r="B7" s="15" t="s">
        <v>339</v>
      </c>
      <c r="C7" s="16" t="s">
        <v>22</v>
      </c>
      <c r="D7" s="5">
        <v>0.5625</v>
      </c>
      <c r="E7" s="5">
        <v>0.66666666666666663</v>
      </c>
      <c r="F7" s="6" t="str">
        <f t="shared" si="0"/>
        <v>No</v>
      </c>
      <c r="G7" s="6">
        <f t="shared" si="4"/>
        <v>0.10416666666666663</v>
      </c>
      <c r="H7" s="50">
        <f>_xlfn.IFNA(VLOOKUP(C:C,'Active Jobs'!B:K,8,0),"")</f>
        <v>380</v>
      </c>
      <c r="I7" s="8">
        <f t="shared" si="5"/>
        <v>2.4999999999999991</v>
      </c>
      <c r="J7" s="50">
        <f t="shared" si="6"/>
        <v>167.75174999999993</v>
      </c>
      <c r="K7" s="50">
        <f t="shared" si="1"/>
        <v>212.24825000000007</v>
      </c>
      <c r="L7" s="9">
        <f t="shared" si="7"/>
        <v>0.44145197368421035</v>
      </c>
      <c r="M7" s="16">
        <v>2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3335.1756000000005</v>
      </c>
      <c r="W7" s="26">
        <f>SUM(W2:W5)</f>
        <v>383.54519400000004</v>
      </c>
    </row>
    <row r="8" spans="1:23" ht="25" customHeight="1">
      <c r="A8" s="37">
        <v>45734</v>
      </c>
      <c r="B8" s="15" t="s">
        <v>350</v>
      </c>
      <c r="C8" s="49" t="s">
        <v>19</v>
      </c>
      <c r="D8" s="5">
        <v>0.35416666666666669</v>
      </c>
      <c r="E8" s="5">
        <v>0.45833333333333331</v>
      </c>
      <c r="F8" s="6" t="str">
        <f t="shared" si="0"/>
        <v>No</v>
      </c>
      <c r="G8" s="6">
        <f t="shared" si="4"/>
        <v>0.10416666666666663</v>
      </c>
      <c r="H8" s="50">
        <f>_xlfn.IFNA(VLOOKUP(C:C,'Active Jobs'!B:K,8,0),"")</f>
        <v>250</v>
      </c>
      <c r="I8" s="8">
        <f t="shared" si="5"/>
        <v>2.4999999999999991</v>
      </c>
      <c r="J8" s="50">
        <f t="shared" si="6"/>
        <v>167.75174999999993</v>
      </c>
      <c r="K8" s="50">
        <f t="shared" si="1"/>
        <v>82.24825000000007</v>
      </c>
      <c r="L8" s="9">
        <f t="shared" si="7"/>
        <v>0.67100699999999969</v>
      </c>
      <c r="M8" s="16">
        <v>1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7">
        <v>45734</v>
      </c>
      <c r="B9" s="15" t="s">
        <v>350</v>
      </c>
      <c r="C9" s="16" t="s">
        <v>31</v>
      </c>
      <c r="D9" s="5">
        <v>0.45833333333333331</v>
      </c>
      <c r="E9" s="5">
        <v>0.5625</v>
      </c>
      <c r="F9" s="6" t="s">
        <v>17</v>
      </c>
      <c r="G9" s="6">
        <f t="shared" si="4"/>
        <v>8.3333333333333356E-2</v>
      </c>
      <c r="H9" s="50">
        <f>_xlfn.IFNA(VLOOKUP(C:C,'Active Jobs'!B:K,8,0),"")</f>
        <v>220</v>
      </c>
      <c r="I9" s="8">
        <f t="shared" si="5"/>
        <v>2.0000000000000004</v>
      </c>
      <c r="J9" s="50">
        <f t="shared" si="6"/>
        <v>134.20140000000004</v>
      </c>
      <c r="K9" s="50">
        <f t="shared" si="1"/>
        <v>85.798599999999965</v>
      </c>
      <c r="L9" s="9">
        <f t="shared" si="7"/>
        <v>0.61000636363636385</v>
      </c>
      <c r="M9" s="16">
        <v>1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/>
      <c r="W9" s="25"/>
    </row>
    <row r="10" spans="1:23" ht="25" customHeight="1">
      <c r="A10" s="37">
        <v>45734</v>
      </c>
      <c r="B10" s="15" t="s">
        <v>350</v>
      </c>
      <c r="C10" s="16" t="s">
        <v>45</v>
      </c>
      <c r="D10" s="5">
        <v>0.5625</v>
      </c>
      <c r="E10" s="5">
        <v>0.64583333333333337</v>
      </c>
      <c r="F10" s="6" t="str">
        <f t="shared" si="0"/>
        <v>No</v>
      </c>
      <c r="G10" s="6">
        <f t="shared" si="4"/>
        <v>8.333333333333337E-2</v>
      </c>
      <c r="H10" s="50">
        <f>_xlfn.IFNA(VLOOKUP(C:C,'Active Jobs'!B:K,8,0),"")</f>
        <v>275</v>
      </c>
      <c r="I10" s="8">
        <f t="shared" si="5"/>
        <v>2.0000000000000009</v>
      </c>
      <c r="J10" s="50">
        <f t="shared" si="6"/>
        <v>134.20140000000006</v>
      </c>
      <c r="K10" s="50">
        <f t="shared" si="1"/>
        <v>140.79859999999994</v>
      </c>
      <c r="L10" s="9">
        <f t="shared" si="7"/>
        <v>0.48800509090909117</v>
      </c>
      <c r="M10" s="16">
        <v>1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7">
        <v>45734</v>
      </c>
      <c r="B11" s="15" t="s">
        <v>350</v>
      </c>
      <c r="C11" s="16" t="s">
        <v>95</v>
      </c>
      <c r="D11" s="5">
        <v>0.64583333333333337</v>
      </c>
      <c r="E11" s="5">
        <v>0.70833333333333337</v>
      </c>
      <c r="F11" s="6" t="str">
        <f t="shared" si="0"/>
        <v>No</v>
      </c>
      <c r="G11" s="6">
        <f t="shared" si="4"/>
        <v>6.25E-2</v>
      </c>
      <c r="H11" s="50">
        <f>_xlfn.IFNA(VLOOKUP(C:C,'Active Jobs'!B:K,8,0),"")</f>
        <v>210</v>
      </c>
      <c r="I11" s="8">
        <f t="shared" si="5"/>
        <v>1.5</v>
      </c>
      <c r="J11" s="50">
        <f t="shared" si="6"/>
        <v>100.65105</v>
      </c>
      <c r="K11" s="50">
        <f t="shared" si="1"/>
        <v>109.34895</v>
      </c>
      <c r="L11" s="9">
        <f t="shared" si="7"/>
        <v>0.47929071428571429</v>
      </c>
      <c r="M11" s="16">
        <v>1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45735</v>
      </c>
      <c r="B12" s="15" t="s">
        <v>350</v>
      </c>
      <c r="C12" s="16" t="s">
        <v>108</v>
      </c>
      <c r="D12" s="5">
        <v>0.35416666666666669</v>
      </c>
      <c r="E12" s="5">
        <v>0.45833333333333331</v>
      </c>
      <c r="F12" s="6" t="str">
        <f t="shared" si="0"/>
        <v>No</v>
      </c>
      <c r="G12" s="6">
        <f t="shared" si="4"/>
        <v>0.10416666666666663</v>
      </c>
      <c r="H12" s="50">
        <f>_xlfn.IFNA(VLOOKUP(C:C,'Active Jobs'!B:K,8,0),"")</f>
        <v>200</v>
      </c>
      <c r="I12" s="8">
        <f t="shared" si="5"/>
        <v>2.4999999999999991</v>
      </c>
      <c r="J12" s="50">
        <f t="shared" si="6"/>
        <v>167.75174999999993</v>
      </c>
      <c r="K12" s="50">
        <f t="shared" si="1"/>
        <v>32.24825000000007</v>
      </c>
      <c r="L12" s="9">
        <f t="shared" si="7"/>
        <v>0.83875874999999966</v>
      </c>
      <c r="M12" s="16">
        <v>1</v>
      </c>
      <c r="O12" s="23" t="str">
        <f t="shared" si="2"/>
        <v/>
      </c>
      <c r="P12" s="23" t="str">
        <f t="shared" si="2"/>
        <v/>
      </c>
      <c r="Q12" s="23" t="str">
        <f t="shared" si="2"/>
        <v/>
      </c>
      <c r="R12" s="23" t="str">
        <f t="shared" si="2"/>
        <v/>
      </c>
      <c r="S12" s="23" t="str">
        <f t="shared" si="2"/>
        <v/>
      </c>
      <c r="T12" s="10" t="str">
        <f t="shared" si="3"/>
        <v/>
      </c>
    </row>
    <row r="13" spans="1:23" ht="25" customHeight="1">
      <c r="A13" s="38">
        <v>45735</v>
      </c>
      <c r="B13" s="15" t="s">
        <v>350</v>
      </c>
      <c r="C13" s="16" t="s">
        <v>105</v>
      </c>
      <c r="D13" s="5">
        <v>0.45833333333333331</v>
      </c>
      <c r="E13" s="5">
        <v>0.5625</v>
      </c>
      <c r="F13" s="6" t="s">
        <v>17</v>
      </c>
      <c r="G13" s="6">
        <f t="shared" si="4"/>
        <v>8.3333333333333356E-2</v>
      </c>
      <c r="H13" s="50">
        <v>195</v>
      </c>
      <c r="I13" s="8">
        <f t="shared" si="5"/>
        <v>2.0000000000000004</v>
      </c>
      <c r="J13" s="50">
        <f t="shared" si="6"/>
        <v>134.20140000000004</v>
      </c>
      <c r="K13" s="50">
        <f t="shared" si="1"/>
        <v>60.798599999999965</v>
      </c>
      <c r="L13" s="9">
        <f t="shared" si="7"/>
        <v>0.6882123076923079</v>
      </c>
      <c r="M13" s="16">
        <v>1</v>
      </c>
      <c r="O13" s="23" t="str">
        <f t="shared" si="2"/>
        <v/>
      </c>
      <c r="P13" s="23" t="str">
        <f t="shared" si="2"/>
        <v/>
      </c>
      <c r="Q13" s="23" t="str">
        <f t="shared" si="2"/>
        <v/>
      </c>
      <c r="R13" s="23" t="str">
        <f t="shared" si="2"/>
        <v/>
      </c>
      <c r="S13" s="23" t="str">
        <f t="shared" si="2"/>
        <v/>
      </c>
      <c r="T13" s="10" t="str">
        <f t="shared" si="3"/>
        <v/>
      </c>
    </row>
    <row r="14" spans="1:23" ht="25" customHeight="1">
      <c r="A14" s="38">
        <v>45735</v>
      </c>
      <c r="B14" s="15" t="s">
        <v>350</v>
      </c>
      <c r="C14" s="16" t="s">
        <v>35</v>
      </c>
      <c r="D14" s="5">
        <v>0.5625</v>
      </c>
      <c r="E14" s="5">
        <v>0.625</v>
      </c>
      <c r="F14" s="6" t="str">
        <f t="shared" si="0"/>
        <v>No</v>
      </c>
      <c r="G14" s="6">
        <f t="shared" si="4"/>
        <v>6.25E-2</v>
      </c>
      <c r="H14" s="50">
        <v>215</v>
      </c>
      <c r="I14" s="8">
        <f t="shared" si="5"/>
        <v>1.5</v>
      </c>
      <c r="J14" s="50">
        <f t="shared" si="6"/>
        <v>100.65105</v>
      </c>
      <c r="K14" s="50">
        <f t="shared" si="1"/>
        <v>114.34895</v>
      </c>
      <c r="L14" s="9">
        <f t="shared" si="7"/>
        <v>0.46814441860465117</v>
      </c>
      <c r="M14" s="16">
        <v>1</v>
      </c>
      <c r="O14" s="23" t="str">
        <f t="shared" si="2"/>
        <v/>
      </c>
      <c r="P14" s="23" t="str">
        <f t="shared" si="2"/>
        <v/>
      </c>
      <c r="Q14" s="23" t="str">
        <f t="shared" si="2"/>
        <v/>
      </c>
      <c r="R14" s="23" t="str">
        <f t="shared" si="2"/>
        <v/>
      </c>
      <c r="S14" s="23" t="str">
        <f t="shared" si="2"/>
        <v/>
      </c>
      <c r="T14" s="10" t="str">
        <f t="shared" si="3"/>
        <v/>
      </c>
    </row>
    <row r="15" spans="1:23" ht="25" customHeight="1">
      <c r="A15" s="38">
        <v>45735</v>
      </c>
      <c r="B15" s="15" t="s">
        <v>339</v>
      </c>
      <c r="C15" s="16" t="s">
        <v>102</v>
      </c>
      <c r="D15" s="5">
        <v>0.35416666666666669</v>
      </c>
      <c r="E15" s="5">
        <v>0.45833333333333331</v>
      </c>
      <c r="F15" s="6" t="str">
        <f t="shared" si="0"/>
        <v>No</v>
      </c>
      <c r="G15" s="6">
        <f t="shared" si="4"/>
        <v>0.10416666666666663</v>
      </c>
      <c r="H15" s="50">
        <f>_xlfn.IFNA(VLOOKUP(C:C,'Active Jobs'!B:K,8,0),"")</f>
        <v>240</v>
      </c>
      <c r="I15" s="8">
        <f t="shared" si="5"/>
        <v>2.4999999999999991</v>
      </c>
      <c r="J15" s="50">
        <f t="shared" si="6"/>
        <v>167.75174999999993</v>
      </c>
      <c r="K15" s="50">
        <f t="shared" si="1"/>
        <v>72.24825000000007</v>
      </c>
      <c r="L15" s="9">
        <f t="shared" si="7"/>
        <v>0.6989656249999997</v>
      </c>
      <c r="M15" s="16">
        <v>2</v>
      </c>
      <c r="O15" s="23" t="str">
        <f t="shared" si="2"/>
        <v/>
      </c>
      <c r="P15" s="23" t="str">
        <f t="shared" si="2"/>
        <v/>
      </c>
      <c r="Q15" s="23" t="str">
        <f t="shared" si="2"/>
        <v/>
      </c>
      <c r="R15" s="23" t="str">
        <f t="shared" si="2"/>
        <v/>
      </c>
      <c r="S15" s="23" t="str">
        <f t="shared" si="2"/>
        <v/>
      </c>
      <c r="T15" s="74" t="str">
        <f t="shared" si="3"/>
        <v/>
      </c>
    </row>
    <row r="16" spans="1:23" ht="25" customHeight="1">
      <c r="A16" s="38">
        <v>45735</v>
      </c>
      <c r="B16" s="15" t="s">
        <v>339</v>
      </c>
      <c r="C16" s="16" t="s">
        <v>25</v>
      </c>
      <c r="D16" s="5">
        <v>0.45833333333333331</v>
      </c>
      <c r="E16" s="5">
        <v>0.58333333333333337</v>
      </c>
      <c r="F16" s="6" t="s">
        <v>17</v>
      </c>
      <c r="G16" s="6">
        <f t="shared" si="4"/>
        <v>0.10416666666666673</v>
      </c>
      <c r="H16" s="50">
        <f>_xlfn.IFNA(VLOOKUP(C:C,'Active Jobs'!B:K,8,0),"")</f>
        <v>220</v>
      </c>
      <c r="I16" s="8">
        <f t="shared" si="5"/>
        <v>2.5000000000000013</v>
      </c>
      <c r="J16" s="50">
        <f t="shared" si="6"/>
        <v>167.75175000000007</v>
      </c>
      <c r="K16" s="50">
        <f t="shared" si="1"/>
        <v>52.248249999999928</v>
      </c>
      <c r="L16" s="9">
        <f t="shared" si="7"/>
        <v>0.76250795454545484</v>
      </c>
      <c r="M16" s="16">
        <v>2</v>
      </c>
      <c r="O16" s="23" t="str">
        <f t="shared" si="2"/>
        <v/>
      </c>
      <c r="P16" s="23" t="str">
        <f t="shared" si="2"/>
        <v/>
      </c>
      <c r="Q16" s="23" t="str">
        <f t="shared" si="2"/>
        <v/>
      </c>
      <c r="R16" s="23" t="str">
        <f t="shared" si="2"/>
        <v/>
      </c>
      <c r="S16" s="23" t="str">
        <f t="shared" si="2"/>
        <v/>
      </c>
      <c r="T16" s="74" t="str">
        <f t="shared" si="3"/>
        <v/>
      </c>
    </row>
    <row r="17" spans="1:20" ht="25" customHeight="1">
      <c r="A17" s="38">
        <v>45735</v>
      </c>
      <c r="B17" s="15" t="s">
        <v>339</v>
      </c>
      <c r="C17" s="16" t="s">
        <v>104</v>
      </c>
      <c r="D17" s="5">
        <v>0.59722222222222221</v>
      </c>
      <c r="E17" s="5">
        <v>0.63888888888888884</v>
      </c>
      <c r="F17" s="6" t="str">
        <f t="shared" si="0"/>
        <v>No</v>
      </c>
      <c r="G17" s="6">
        <f t="shared" si="4"/>
        <v>4.166666666666663E-2</v>
      </c>
      <c r="H17" s="50">
        <f>_xlfn.IFNA(VLOOKUP(C:C,'Active Jobs'!B:K,8,0),"")</f>
        <v>250</v>
      </c>
      <c r="I17" s="8">
        <f t="shared" si="5"/>
        <v>0.99999999999999911</v>
      </c>
      <c r="J17" s="50">
        <f t="shared" si="6"/>
        <v>67.100699999999932</v>
      </c>
      <c r="K17" s="50">
        <f t="shared" si="1"/>
        <v>182.89930000000007</v>
      </c>
      <c r="L17" s="9">
        <f t="shared" si="7"/>
        <v>0.26840279999999972</v>
      </c>
      <c r="M17" s="16">
        <v>2</v>
      </c>
      <c r="O17" s="23" t="str">
        <f t="shared" si="2"/>
        <v/>
      </c>
      <c r="P17" s="23" t="str">
        <f t="shared" si="2"/>
        <v/>
      </c>
      <c r="Q17" s="23" t="str">
        <f t="shared" si="2"/>
        <v/>
      </c>
      <c r="R17" s="23" t="str">
        <f t="shared" si="2"/>
        <v/>
      </c>
      <c r="S17" s="23" t="str">
        <f t="shared" si="2"/>
        <v/>
      </c>
      <c r="T17" s="10" t="str">
        <f t="shared" si="3"/>
        <v/>
      </c>
    </row>
    <row r="18" spans="1:20" ht="25" customHeight="1">
      <c r="A18" s="38">
        <v>45736</v>
      </c>
      <c r="B18" s="15" t="s">
        <v>339</v>
      </c>
      <c r="C18" s="16" t="s">
        <v>38</v>
      </c>
      <c r="D18" s="5">
        <v>0.35416666666666669</v>
      </c>
      <c r="E18" s="5">
        <v>0.44791666666666669</v>
      </c>
      <c r="F18" s="6" t="str">
        <f t="shared" si="0"/>
        <v>No</v>
      </c>
      <c r="G18" s="6">
        <f t="shared" si="4"/>
        <v>9.375E-2</v>
      </c>
      <c r="H18" s="50">
        <f>_xlfn.IFNA(VLOOKUP(C:C,'Active Jobs'!B:K,8,0),"")</f>
        <v>200</v>
      </c>
      <c r="I18" s="8">
        <f t="shared" si="5"/>
        <v>2.25</v>
      </c>
      <c r="J18" s="50">
        <f t="shared" si="6"/>
        <v>150.976575</v>
      </c>
      <c r="K18" s="50">
        <f t="shared" si="1"/>
        <v>49.023425000000003</v>
      </c>
      <c r="L18" s="9">
        <f t="shared" si="7"/>
        <v>0.75488287499999995</v>
      </c>
      <c r="M18" s="16">
        <v>2</v>
      </c>
      <c r="O18" s="23" t="str">
        <f t="shared" ref="O18:S33" si="8">IF(N18="","",ROUND(SUMIFS($I:$I,$A:$A,O$1,$B:$B,"*"&amp;$N18&amp;"*"),2))</f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3"/>
        <v/>
      </c>
    </row>
    <row r="19" spans="1:20" ht="25" customHeight="1">
      <c r="A19" s="38">
        <v>45736</v>
      </c>
      <c r="B19" s="15" t="s">
        <v>339</v>
      </c>
      <c r="C19" s="16" t="s">
        <v>28</v>
      </c>
      <c r="D19" s="5">
        <v>0.44791666666666669</v>
      </c>
      <c r="E19" s="5">
        <v>0.55208333333333337</v>
      </c>
      <c r="F19" s="6" t="s">
        <v>17</v>
      </c>
      <c r="G19" s="6">
        <f t="shared" si="4"/>
        <v>8.3333333333333356E-2</v>
      </c>
      <c r="H19" s="50">
        <f>_xlfn.IFNA(VLOOKUP(C:C,'Active Jobs'!B:K,8,0),"")</f>
        <v>200</v>
      </c>
      <c r="I19" s="8">
        <f t="shared" si="5"/>
        <v>2.0000000000000004</v>
      </c>
      <c r="J19" s="50">
        <f t="shared" si="6"/>
        <v>134.20140000000004</v>
      </c>
      <c r="K19" s="50">
        <f t="shared" si="1"/>
        <v>65.798599999999965</v>
      </c>
      <c r="L19" s="9">
        <f t="shared" si="7"/>
        <v>0.67100700000000013</v>
      </c>
      <c r="M19" s="16">
        <v>2</v>
      </c>
      <c r="O19" s="23" t="str">
        <f t="shared" si="8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3"/>
        <v/>
      </c>
    </row>
    <row r="20" spans="1:20" ht="25" customHeight="1">
      <c r="A20" s="38">
        <v>45736</v>
      </c>
      <c r="B20" s="15" t="s">
        <v>339</v>
      </c>
      <c r="C20" s="16" t="s">
        <v>123</v>
      </c>
      <c r="D20" s="5">
        <v>0.55208333333333337</v>
      </c>
      <c r="E20" s="5">
        <v>0.63541666666666663</v>
      </c>
      <c r="F20" s="6" t="str">
        <f t="shared" si="0"/>
        <v>No</v>
      </c>
      <c r="G20" s="62">
        <f t="shared" si="4"/>
        <v>8.3333333333333259E-2</v>
      </c>
      <c r="H20" s="50">
        <f>_xlfn.IFNA(VLOOKUP(C:C,'Active Jobs'!B:K,8,0),"")</f>
        <v>220</v>
      </c>
      <c r="I20" s="8">
        <f t="shared" si="5"/>
        <v>1.9999999999999982</v>
      </c>
      <c r="J20" s="50">
        <f t="shared" si="6"/>
        <v>134.20139999999986</v>
      </c>
      <c r="K20" s="50">
        <f t="shared" si="1"/>
        <v>85.798600000000135</v>
      </c>
      <c r="L20" s="9">
        <f t="shared" si="7"/>
        <v>0.61000636363636307</v>
      </c>
      <c r="M20" s="16">
        <v>2</v>
      </c>
      <c r="O20" s="23" t="str">
        <f t="shared" si="8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3"/>
        <v/>
      </c>
    </row>
    <row r="21" spans="1:20" ht="25" customHeight="1">
      <c r="A21" s="38">
        <v>45736</v>
      </c>
      <c r="B21" s="15" t="s">
        <v>350</v>
      </c>
      <c r="C21" s="16" t="s">
        <v>112</v>
      </c>
      <c r="D21" s="5">
        <v>0.35416666666666669</v>
      </c>
      <c r="E21" s="5">
        <v>0.45833333333333331</v>
      </c>
      <c r="F21" s="6" t="str">
        <f t="shared" si="0"/>
        <v>No</v>
      </c>
      <c r="G21" s="6">
        <f t="shared" si="4"/>
        <v>0.10416666666666663</v>
      </c>
      <c r="H21" s="50">
        <f>_xlfn.IFNA(VLOOKUP(C:C,'Active Jobs'!B:K,8,0),"")</f>
        <v>200</v>
      </c>
      <c r="I21" s="8">
        <f t="shared" si="5"/>
        <v>2.4999999999999991</v>
      </c>
      <c r="J21" s="50">
        <f t="shared" si="6"/>
        <v>167.75174999999993</v>
      </c>
      <c r="K21" s="50">
        <f t="shared" si="1"/>
        <v>32.24825000000007</v>
      </c>
      <c r="L21" s="9">
        <f t="shared" si="7"/>
        <v>0.83875874999999966</v>
      </c>
      <c r="M21" s="16">
        <v>1</v>
      </c>
      <c r="O21" s="23" t="str">
        <f t="shared" si="8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3"/>
        <v/>
      </c>
    </row>
    <row r="22" spans="1:20" ht="25" customHeight="1">
      <c r="A22" s="38">
        <v>45736</v>
      </c>
      <c r="B22" s="15" t="s">
        <v>350</v>
      </c>
      <c r="C22" s="16" t="s">
        <v>113</v>
      </c>
      <c r="D22" s="5">
        <v>0.45833333333333331</v>
      </c>
      <c r="E22" s="5">
        <v>0.5625</v>
      </c>
      <c r="F22" s="6" t="s">
        <v>17</v>
      </c>
      <c r="G22" s="6">
        <f t="shared" si="4"/>
        <v>8.3333333333333356E-2</v>
      </c>
      <c r="H22" s="50">
        <f>_xlfn.IFNA(VLOOKUP(C:C,'Active Jobs'!B:K,8,0),"")</f>
        <v>230</v>
      </c>
      <c r="I22" s="8">
        <f t="shared" si="5"/>
        <v>2.0000000000000004</v>
      </c>
      <c r="J22" s="50">
        <f t="shared" si="6"/>
        <v>134.20140000000004</v>
      </c>
      <c r="K22" s="50">
        <f t="shared" si="1"/>
        <v>95.798599999999965</v>
      </c>
      <c r="L22" s="9">
        <f t="shared" si="7"/>
        <v>0.58348434782608716</v>
      </c>
      <c r="M22" s="16">
        <v>1</v>
      </c>
      <c r="O22" s="23" t="str">
        <f t="shared" si="8"/>
        <v/>
      </c>
      <c r="P22" s="23" t="str">
        <f t="shared" si="8"/>
        <v/>
      </c>
      <c r="Q22" s="23" t="str">
        <f t="shared" si="8"/>
        <v/>
      </c>
      <c r="R22" s="23" t="str">
        <f t="shared" si="8"/>
        <v/>
      </c>
      <c r="S22" s="23" t="str">
        <f t="shared" si="8"/>
        <v/>
      </c>
      <c r="T22" s="74" t="str">
        <f t="shared" si="3"/>
        <v/>
      </c>
    </row>
    <row r="23" spans="1:20" ht="25" customHeight="1">
      <c r="A23" s="38">
        <v>45736</v>
      </c>
      <c r="B23" s="15" t="s">
        <v>350</v>
      </c>
      <c r="C23" s="16" t="s">
        <v>27</v>
      </c>
      <c r="D23" s="5">
        <v>0.5625</v>
      </c>
      <c r="E23" s="5">
        <v>0.64583333333333337</v>
      </c>
      <c r="F23" s="6" t="str">
        <f t="shared" si="0"/>
        <v>No</v>
      </c>
      <c r="G23" s="6">
        <f t="shared" si="4"/>
        <v>8.333333333333337E-2</v>
      </c>
      <c r="H23" s="50">
        <f>_xlfn.IFNA(VLOOKUP(C:C,'Active Jobs'!B:K,8,0),"")</f>
        <v>240</v>
      </c>
      <c r="I23" s="8">
        <f t="shared" si="5"/>
        <v>2.0000000000000009</v>
      </c>
      <c r="J23" s="50">
        <f t="shared" si="6"/>
        <v>134.20140000000006</v>
      </c>
      <c r="K23" s="50">
        <f t="shared" si="1"/>
        <v>105.79859999999994</v>
      </c>
      <c r="L23" s="9">
        <f t="shared" si="7"/>
        <v>0.55917250000000029</v>
      </c>
      <c r="M23" s="16">
        <v>1</v>
      </c>
      <c r="O23" s="23" t="str">
        <f t="shared" si="8"/>
        <v/>
      </c>
      <c r="P23" s="23" t="str">
        <f t="shared" si="8"/>
        <v/>
      </c>
      <c r="Q23" s="23" t="str">
        <f t="shared" si="8"/>
        <v/>
      </c>
      <c r="R23" s="23" t="str">
        <f t="shared" si="8"/>
        <v/>
      </c>
      <c r="S23" s="23" t="str">
        <f t="shared" si="8"/>
        <v/>
      </c>
      <c r="T23" s="74" t="str">
        <f t="shared" si="3"/>
        <v/>
      </c>
    </row>
    <row r="24" spans="1:20" ht="25" customHeight="1">
      <c r="A24" s="38">
        <v>45737</v>
      </c>
      <c r="B24" s="15" t="s">
        <v>84</v>
      </c>
      <c r="C24" s="16" t="s">
        <v>126</v>
      </c>
      <c r="D24" s="5">
        <v>0.35416666666666669</v>
      </c>
      <c r="E24" s="5">
        <v>0.47916666666666669</v>
      </c>
      <c r="F24" s="6" t="s">
        <v>17</v>
      </c>
      <c r="G24" s="6">
        <f t="shared" si="4"/>
        <v>0.10416666666666667</v>
      </c>
      <c r="H24" s="50">
        <f>_xlfn.IFNA(VLOOKUP(C:C,'Active Jobs'!B:K,8,0),"")</f>
        <v>250</v>
      </c>
      <c r="I24" s="8">
        <f t="shared" si="5"/>
        <v>2.5</v>
      </c>
      <c r="J24" s="50">
        <f t="shared" si="6"/>
        <v>167.75174999999999</v>
      </c>
      <c r="K24" s="50">
        <f t="shared" si="1"/>
        <v>82.248250000000013</v>
      </c>
      <c r="L24" s="9">
        <f t="shared" si="7"/>
        <v>0.67100699999999991</v>
      </c>
      <c r="M24" s="16">
        <v>2</v>
      </c>
      <c r="O24" s="23" t="str">
        <f t="shared" si="8"/>
        <v/>
      </c>
      <c r="P24" s="23" t="str">
        <f t="shared" si="8"/>
        <v/>
      </c>
      <c r="Q24" s="23" t="str">
        <f t="shared" si="8"/>
        <v/>
      </c>
      <c r="R24" s="23" t="str">
        <f t="shared" si="8"/>
        <v/>
      </c>
      <c r="S24" s="23" t="str">
        <f t="shared" si="8"/>
        <v/>
      </c>
      <c r="T24" s="74" t="str">
        <f t="shared" si="3"/>
        <v/>
      </c>
    </row>
    <row r="25" spans="1:20" ht="25" customHeight="1">
      <c r="A25" s="38">
        <v>45737</v>
      </c>
      <c r="B25" s="15" t="s">
        <v>84</v>
      </c>
      <c r="C25" s="16" t="s">
        <v>153</v>
      </c>
      <c r="D25" s="5">
        <v>0.47916666666666669</v>
      </c>
      <c r="E25" s="5">
        <v>0.60416666666666663</v>
      </c>
      <c r="F25" s="6" t="s">
        <v>53</v>
      </c>
      <c r="G25" s="6">
        <f t="shared" si="4"/>
        <v>0.12499999999999994</v>
      </c>
      <c r="H25" s="50">
        <f>_xlfn.IFNA(VLOOKUP(C:C,'Active Jobs'!B:K,8,0),"")</f>
        <v>150</v>
      </c>
      <c r="I25" s="8">
        <f t="shared" si="5"/>
        <v>2.9999999999999987</v>
      </c>
      <c r="J25" s="50">
        <f t="shared" si="6"/>
        <v>201.30209999999988</v>
      </c>
      <c r="K25" s="50">
        <f t="shared" si="1"/>
        <v>-51.302099999999882</v>
      </c>
      <c r="L25" s="9">
        <f t="shared" si="7"/>
        <v>1.3420139999999992</v>
      </c>
      <c r="M25" s="16">
        <v>2</v>
      </c>
      <c r="O25" s="23" t="str">
        <f t="shared" si="8"/>
        <v/>
      </c>
      <c r="P25" s="23" t="str">
        <f t="shared" si="8"/>
        <v/>
      </c>
      <c r="Q25" s="23" t="str">
        <f t="shared" si="8"/>
        <v/>
      </c>
      <c r="R25" s="23" t="str">
        <f t="shared" si="8"/>
        <v/>
      </c>
      <c r="S25" s="23" t="str">
        <f t="shared" si="8"/>
        <v/>
      </c>
      <c r="T25" s="74" t="str">
        <f t="shared" si="3"/>
        <v/>
      </c>
    </row>
    <row r="26" spans="1:20" ht="25" customHeight="1">
      <c r="A26" s="38">
        <v>45737</v>
      </c>
      <c r="B26" s="15" t="s">
        <v>350</v>
      </c>
      <c r="C26" s="16" t="s">
        <v>126</v>
      </c>
      <c r="D26" s="5">
        <v>0.35416666666666669</v>
      </c>
      <c r="E26" s="5">
        <v>0.47916666666666669</v>
      </c>
      <c r="F26" s="6" t="str">
        <f t="shared" si="0"/>
        <v>No</v>
      </c>
      <c r="G26" s="6">
        <f t="shared" si="4"/>
        <v>0.125</v>
      </c>
      <c r="H26" s="50">
        <f>_xlfn.IFNA(VLOOKUP(C:C,'Active Jobs'!B:K,8,0),"")</f>
        <v>250</v>
      </c>
      <c r="I26" s="8">
        <f t="shared" si="5"/>
        <v>3</v>
      </c>
      <c r="J26" s="50">
        <f t="shared" si="6"/>
        <v>201.3021</v>
      </c>
      <c r="K26" s="50">
        <f t="shared" si="1"/>
        <v>48.697900000000004</v>
      </c>
      <c r="L26" s="9">
        <f t="shared" si="7"/>
        <v>0.80520839999999994</v>
      </c>
      <c r="M26" s="16">
        <v>1</v>
      </c>
      <c r="O26" s="23" t="str">
        <f t="shared" si="8"/>
        <v/>
      </c>
      <c r="P26" s="23" t="str">
        <f t="shared" si="8"/>
        <v/>
      </c>
      <c r="Q26" s="23" t="str">
        <f t="shared" si="8"/>
        <v/>
      </c>
      <c r="R26" s="23" t="str">
        <f t="shared" si="8"/>
        <v/>
      </c>
      <c r="S26" s="23" t="str">
        <f t="shared" si="8"/>
        <v/>
      </c>
      <c r="T26" s="74" t="str">
        <f t="shared" si="3"/>
        <v/>
      </c>
    </row>
    <row r="27" spans="1:20" ht="25" customHeight="1">
      <c r="A27" s="38">
        <v>45737</v>
      </c>
      <c r="B27" s="15" t="s">
        <v>350</v>
      </c>
      <c r="C27" s="16" t="s">
        <v>171</v>
      </c>
      <c r="D27" s="5">
        <v>0.47916666666666669</v>
      </c>
      <c r="E27" s="5">
        <v>0.55208333333333337</v>
      </c>
      <c r="F27" s="6" t="s">
        <v>17</v>
      </c>
      <c r="G27" s="6">
        <f t="shared" si="4"/>
        <v>5.2083333333333356E-2</v>
      </c>
      <c r="H27" s="50">
        <f>_xlfn.IFNA(VLOOKUP(C:C,'Active Jobs'!B:K,8,0),"")</f>
        <v>220</v>
      </c>
      <c r="I27" s="8">
        <f t="shared" si="5"/>
        <v>1.2500000000000004</v>
      </c>
      <c r="J27" s="50">
        <f t="shared" si="6"/>
        <v>83.875875000000022</v>
      </c>
      <c r="K27" s="50">
        <f t="shared" si="1"/>
        <v>136.12412499999999</v>
      </c>
      <c r="L27" s="9">
        <f t="shared" si="7"/>
        <v>0.38125397727272736</v>
      </c>
      <c r="M27" s="16">
        <v>1</v>
      </c>
      <c r="O27" s="23" t="str">
        <f t="shared" si="8"/>
        <v/>
      </c>
      <c r="P27" s="23" t="str">
        <f t="shared" si="8"/>
        <v/>
      </c>
      <c r="Q27" s="23" t="str">
        <f t="shared" si="8"/>
        <v/>
      </c>
      <c r="R27" s="23" t="str">
        <f t="shared" si="8"/>
        <v/>
      </c>
      <c r="S27" s="23" t="str">
        <f t="shared" si="8"/>
        <v/>
      </c>
      <c r="T27" s="74" t="str">
        <f t="shared" si="3"/>
        <v/>
      </c>
    </row>
    <row r="28" spans="1:20" ht="25" customHeight="1">
      <c r="A28" s="38">
        <v>45737</v>
      </c>
      <c r="B28" s="15" t="s">
        <v>350</v>
      </c>
      <c r="C28" s="16" t="s">
        <v>42</v>
      </c>
      <c r="D28" s="5">
        <v>0.55208333333333337</v>
      </c>
      <c r="E28" s="5">
        <v>0.625</v>
      </c>
      <c r="F28" s="6" t="str">
        <f t="shared" si="0"/>
        <v>No</v>
      </c>
      <c r="G28" s="6">
        <f t="shared" si="4"/>
        <v>7.291666666666663E-2</v>
      </c>
      <c r="H28" s="50">
        <f>_xlfn.IFNA(VLOOKUP(C:C,'Active Jobs'!B:K,8,0),"")</f>
        <v>200</v>
      </c>
      <c r="I28" s="8">
        <f t="shared" si="5"/>
        <v>1.7499999999999991</v>
      </c>
      <c r="J28" s="50">
        <f t="shared" si="6"/>
        <v>117.42622499999993</v>
      </c>
      <c r="K28" s="50">
        <f t="shared" si="1"/>
        <v>82.573775000000069</v>
      </c>
      <c r="L28" s="9">
        <f t="shared" si="7"/>
        <v>0.58713112499999964</v>
      </c>
      <c r="M28" s="16">
        <v>1</v>
      </c>
      <c r="O28" s="23" t="str">
        <f t="shared" si="8"/>
        <v/>
      </c>
      <c r="P28" s="23" t="str">
        <f t="shared" si="8"/>
        <v/>
      </c>
      <c r="Q28" s="23" t="str">
        <f t="shared" si="8"/>
        <v/>
      </c>
      <c r="R28" s="23" t="str">
        <f t="shared" si="8"/>
        <v/>
      </c>
      <c r="S28" s="23" t="str">
        <f t="shared" si="8"/>
        <v/>
      </c>
      <c r="T28" s="74" t="str">
        <f t="shared" si="3"/>
        <v/>
      </c>
    </row>
    <row r="29" spans="1:20" ht="25" customHeight="1">
      <c r="B29" s="15"/>
      <c r="D29" s="5"/>
      <c r="E29" s="5"/>
      <c r="F29" s="6" t="str">
        <f t="shared" si="0"/>
        <v/>
      </c>
      <c r="G29" s="6" t="str">
        <f t="shared" si="4"/>
        <v/>
      </c>
      <c r="H29" s="50" t="str">
        <f>_xlfn.IFNA(VLOOKUP(C:C,'Active Jobs'!B:K,8,0),"")</f>
        <v/>
      </c>
      <c r="I29" s="8" t="str">
        <f t="shared" si="5"/>
        <v/>
      </c>
      <c r="J29" s="50" t="str">
        <f t="shared" si="6"/>
        <v/>
      </c>
      <c r="K29" s="50" t="str">
        <f t="shared" si="1"/>
        <v/>
      </c>
      <c r="L29" s="9" t="str">
        <f t="shared" si="7"/>
        <v/>
      </c>
      <c r="O29" s="23" t="str">
        <f t="shared" si="8"/>
        <v/>
      </c>
      <c r="P29" s="23" t="str">
        <f t="shared" si="8"/>
        <v/>
      </c>
      <c r="Q29" s="23" t="str">
        <f t="shared" si="8"/>
        <v/>
      </c>
      <c r="R29" s="23" t="str">
        <f t="shared" si="8"/>
        <v/>
      </c>
      <c r="S29" s="23" t="str">
        <f t="shared" si="8"/>
        <v/>
      </c>
      <c r="T29" s="74" t="str">
        <f t="shared" si="3"/>
        <v/>
      </c>
    </row>
    <row r="30" spans="1:20" ht="25" customHeight="1">
      <c r="B30" s="15"/>
      <c r="D30" s="5"/>
      <c r="E30" s="5"/>
      <c r="F30" s="6" t="str">
        <f t="shared" si="0"/>
        <v/>
      </c>
      <c r="G30" s="6" t="str">
        <f>IF(E30="","",IF(F30="Yes",(E30-D30)-TIME(0,30,0),E30-D30))</f>
        <v/>
      </c>
      <c r="H30" s="50" t="str">
        <f>_xlfn.IFNA(VLOOKUP(C:C,'Active Jobs'!B:K,8,0),"")</f>
        <v/>
      </c>
      <c r="I30" s="8" t="str">
        <f>IF(F30="Yes",(E30-D30)*24-0.5,IF(F30="No",(E30-D30)*24,""))</f>
        <v/>
      </c>
      <c r="J30" s="50" t="str">
        <f>IF(G30="","",G30*24*HourlyRate*2*(1+Super))</f>
        <v/>
      </c>
      <c r="K30" s="50" t="str">
        <f t="shared" si="1"/>
        <v/>
      </c>
      <c r="L30" s="9" t="str">
        <f>IF(K30="","",IF(H30=0,1,J30/H30))</f>
        <v/>
      </c>
      <c r="O30" s="23" t="str">
        <f t="shared" si="8"/>
        <v/>
      </c>
      <c r="P30" s="23" t="str">
        <f t="shared" si="8"/>
        <v/>
      </c>
      <c r="Q30" s="23" t="str">
        <f t="shared" si="8"/>
        <v/>
      </c>
      <c r="R30" s="23" t="str">
        <f t="shared" si="8"/>
        <v/>
      </c>
      <c r="S30" s="23" t="str">
        <f t="shared" si="8"/>
        <v/>
      </c>
      <c r="T30" s="74" t="str">
        <f t="shared" si="3"/>
        <v/>
      </c>
    </row>
    <row r="31" spans="1:20" ht="25" customHeight="1">
      <c r="B31" s="15"/>
      <c r="C31" s="49"/>
      <c r="D31" s="5"/>
      <c r="E31" s="5"/>
      <c r="F31" s="6" t="str">
        <f t="shared" si="0"/>
        <v/>
      </c>
      <c r="G31" s="6" t="str">
        <f t="shared" si="4"/>
        <v/>
      </c>
      <c r="H31" s="50" t="str">
        <f>_xlfn.IFNA(VLOOKUP(C:C,'Active Jobs'!B:K,8,0),"")</f>
        <v/>
      </c>
      <c r="I31" s="8" t="str">
        <f t="shared" si="5"/>
        <v/>
      </c>
      <c r="J31" s="50" t="str">
        <f t="shared" si="6"/>
        <v/>
      </c>
      <c r="K31" s="50" t="str">
        <f t="shared" si="1"/>
        <v/>
      </c>
      <c r="L31" s="9" t="str">
        <f t="shared" si="7"/>
        <v/>
      </c>
      <c r="O31" s="23" t="str">
        <f t="shared" si="8"/>
        <v/>
      </c>
      <c r="P31" s="23" t="str">
        <f t="shared" si="8"/>
        <v/>
      </c>
      <c r="Q31" s="23" t="str">
        <f t="shared" si="8"/>
        <v/>
      </c>
      <c r="R31" s="23" t="str">
        <f t="shared" si="8"/>
        <v/>
      </c>
      <c r="S31" s="23" t="str">
        <f t="shared" si="8"/>
        <v/>
      </c>
      <c r="T31" s="74" t="str">
        <f t="shared" si="3"/>
        <v/>
      </c>
    </row>
    <row r="32" spans="1:20" ht="25" customHeight="1">
      <c r="A32" s="39"/>
      <c r="B32" s="29"/>
      <c r="C32" s="30"/>
      <c r="D32" s="1"/>
      <c r="E32" s="1"/>
      <c r="F32" s="31"/>
      <c r="G32" s="32"/>
      <c r="H32" s="53">
        <f>SUBTOTAL(109,Table2261210141634[Quoted])</f>
        <v>6245</v>
      </c>
      <c r="I32" s="34">
        <f>SUBTOTAL(109,Table2261210141634[Hours Payable])</f>
        <v>58.166666666666664</v>
      </c>
      <c r="J32" s="53">
        <f>SUBTOTAL(109,Table2261210141634[Wages (Incl. Super)])</f>
        <v>3903.0240499999991</v>
      </c>
      <c r="K32" s="53">
        <f>SUBTOTAL(109,Table2261210141634[Profit])</f>
        <v>2341.9759500000009</v>
      </c>
      <c r="L32" s="35">
        <f>IF(L2="","",SUBTOTAL(101,Table2261210141634[Quote/Wages]))</f>
        <v>0.64917264502889993</v>
      </c>
      <c r="O32" s="23" t="str">
        <f t="shared" si="8"/>
        <v/>
      </c>
      <c r="P32" s="23" t="str">
        <f t="shared" si="8"/>
        <v/>
      </c>
      <c r="Q32" s="23" t="str">
        <f t="shared" si="8"/>
        <v/>
      </c>
      <c r="R32" s="23" t="str">
        <f t="shared" si="8"/>
        <v/>
      </c>
      <c r="S32" s="23" t="str">
        <f t="shared" si="8"/>
        <v/>
      </c>
      <c r="T32" s="74" t="str">
        <f t="shared" si="3"/>
        <v/>
      </c>
    </row>
    <row r="33" spans="15:20" ht="25" customHeight="1">
      <c r="O33" s="23" t="str">
        <f t="shared" si="8"/>
        <v/>
      </c>
      <c r="P33" s="23" t="str">
        <f t="shared" si="8"/>
        <v/>
      </c>
      <c r="Q33" s="23" t="str">
        <f t="shared" si="8"/>
        <v/>
      </c>
      <c r="R33" s="23" t="str">
        <f t="shared" si="8"/>
        <v/>
      </c>
      <c r="S33" s="23" t="str">
        <f t="shared" si="8"/>
        <v/>
      </c>
      <c r="T33" s="74" t="str">
        <f t="shared" si="3"/>
        <v/>
      </c>
    </row>
    <row r="34" spans="15:20" ht="25" customHeight="1">
      <c r="O34" s="23" t="str">
        <f t="shared" ref="O34:S42" si="9">IF(N34="","",ROUND(SUMIFS($I:$I,$A:$A,O$1,$B:$B,"*"&amp;$N34&amp;"*"),2))</f>
        <v/>
      </c>
      <c r="P34" s="23" t="str">
        <f t="shared" si="9"/>
        <v/>
      </c>
      <c r="Q34" s="23" t="str">
        <f t="shared" si="9"/>
        <v/>
      </c>
      <c r="R34" s="23" t="str">
        <f t="shared" si="9"/>
        <v/>
      </c>
      <c r="S34" s="23" t="str">
        <f t="shared" si="9"/>
        <v/>
      </c>
      <c r="T34" s="74" t="str">
        <f t="shared" si="3"/>
        <v/>
      </c>
    </row>
    <row r="35" spans="15:20" ht="25" customHeight="1">
      <c r="O35" s="23" t="str">
        <f t="shared" si="9"/>
        <v/>
      </c>
      <c r="P35" s="23" t="str">
        <f t="shared" si="9"/>
        <v/>
      </c>
      <c r="Q35" s="23" t="str">
        <f t="shared" si="9"/>
        <v/>
      </c>
      <c r="R35" s="23" t="str">
        <f t="shared" si="9"/>
        <v/>
      </c>
      <c r="S35" s="23" t="str">
        <f t="shared" si="9"/>
        <v/>
      </c>
      <c r="T35" s="74" t="str">
        <f t="shared" si="3"/>
        <v/>
      </c>
    </row>
    <row r="36" spans="15:20" ht="25" customHeight="1">
      <c r="O36" s="23" t="str">
        <f t="shared" si="9"/>
        <v/>
      </c>
      <c r="P36" s="23" t="str">
        <f t="shared" si="9"/>
        <v/>
      </c>
      <c r="Q36" s="23" t="str">
        <f t="shared" si="9"/>
        <v/>
      </c>
      <c r="R36" s="23" t="str">
        <f t="shared" si="9"/>
        <v/>
      </c>
      <c r="S36" s="23" t="str">
        <f t="shared" si="9"/>
        <v/>
      </c>
      <c r="T36" s="74" t="str">
        <f t="shared" si="3"/>
        <v/>
      </c>
    </row>
    <row r="37" spans="15:20" ht="25" customHeight="1">
      <c r="O37" s="23" t="str">
        <f t="shared" si="9"/>
        <v/>
      </c>
      <c r="P37" s="23" t="str">
        <f t="shared" si="9"/>
        <v/>
      </c>
      <c r="Q37" s="23" t="str">
        <f t="shared" si="9"/>
        <v/>
      </c>
      <c r="R37" s="23" t="str">
        <f t="shared" si="9"/>
        <v/>
      </c>
      <c r="S37" s="23" t="str">
        <f t="shared" si="9"/>
        <v/>
      </c>
      <c r="T37" s="74" t="str">
        <f t="shared" si="3"/>
        <v/>
      </c>
    </row>
    <row r="38" spans="15:20" ht="25" customHeight="1">
      <c r="O38" s="23" t="str">
        <f t="shared" si="9"/>
        <v/>
      </c>
      <c r="P38" s="23" t="str">
        <f t="shared" si="9"/>
        <v/>
      </c>
      <c r="Q38" s="23" t="str">
        <f t="shared" si="9"/>
        <v/>
      </c>
      <c r="R38" s="23" t="str">
        <f t="shared" si="9"/>
        <v/>
      </c>
      <c r="S38" s="23" t="str">
        <f t="shared" si="9"/>
        <v/>
      </c>
      <c r="T38" s="74" t="str">
        <f t="shared" si="3"/>
        <v/>
      </c>
    </row>
    <row r="39" spans="15:20" ht="25" customHeight="1">
      <c r="O39" s="23" t="str">
        <f t="shared" si="9"/>
        <v/>
      </c>
      <c r="P39" s="23" t="str">
        <f t="shared" si="9"/>
        <v/>
      </c>
      <c r="Q39" s="23" t="str">
        <f t="shared" si="9"/>
        <v/>
      </c>
      <c r="R39" s="23" t="str">
        <f t="shared" si="9"/>
        <v/>
      </c>
      <c r="S39" s="23" t="str">
        <f t="shared" si="9"/>
        <v/>
      </c>
      <c r="T39" s="74" t="str">
        <f t="shared" si="3"/>
        <v/>
      </c>
    </row>
    <row r="40" spans="15:20" ht="25" customHeight="1">
      <c r="O40" s="23" t="str">
        <f t="shared" si="9"/>
        <v/>
      </c>
      <c r="P40" s="23" t="str">
        <f t="shared" si="9"/>
        <v/>
      </c>
      <c r="Q40" s="23" t="str">
        <f t="shared" si="9"/>
        <v/>
      </c>
      <c r="R40" s="23" t="str">
        <f t="shared" si="9"/>
        <v/>
      </c>
      <c r="S40" s="23" t="str">
        <f t="shared" si="9"/>
        <v/>
      </c>
      <c r="T40" s="74" t="str">
        <f t="shared" si="3"/>
        <v/>
      </c>
    </row>
    <row r="41" spans="15:20" ht="25" customHeight="1">
      <c r="O41" s="23" t="str">
        <f t="shared" si="9"/>
        <v/>
      </c>
      <c r="P41" s="23" t="str">
        <f t="shared" si="9"/>
        <v/>
      </c>
      <c r="Q41" s="23" t="str">
        <f t="shared" si="9"/>
        <v/>
      </c>
      <c r="R41" s="23" t="str">
        <f t="shared" si="9"/>
        <v/>
      </c>
      <c r="S41" s="23" t="str">
        <f t="shared" si="9"/>
        <v/>
      </c>
      <c r="T41" s="74" t="str">
        <f t="shared" si="3"/>
        <v/>
      </c>
    </row>
    <row r="42" spans="15:20" ht="25" customHeight="1">
      <c r="O42" s="23" t="str">
        <f t="shared" si="9"/>
        <v/>
      </c>
      <c r="P42" s="23" t="str">
        <f t="shared" si="9"/>
        <v/>
      </c>
      <c r="Q42" s="23" t="str">
        <f t="shared" si="9"/>
        <v/>
      </c>
      <c r="R42" s="23" t="str">
        <f t="shared" si="9"/>
        <v/>
      </c>
      <c r="S42" s="23" t="str">
        <f t="shared" si="9"/>
        <v/>
      </c>
      <c r="T42" s="74" t="str">
        <f t="shared" si="3"/>
        <v/>
      </c>
    </row>
  </sheetData>
  <conditionalFormatting sqref="B33:B253 B1:B31">
    <cfRule type="expression" dxfId="50" priority="1">
      <formula>AND(ROW()&gt;1, E1&lt;&gt;"", COUNTIFS(A:A, $A1, B:B, $B1, F:F, "Yes")=0)</formula>
    </cfRule>
  </conditionalFormatting>
  <conditionalFormatting sqref="F1:F31 F33:F253">
    <cfRule type="expression" dxfId="49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1" xr:uid="{EF085164-EA48-450A-8A69-2840DBDABC80}">
      <formula1>"No, Yes"</formula1>
    </dataValidation>
    <dataValidation type="list" allowBlank="1" showErrorMessage="1" promptTitle="Select" sqref="B2:B31" xr:uid="{3684AF58-54BE-420C-BF42-8FEE25A6036D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87BF5D7-09A5-49DA-A75A-4E4F5864C5D2}">
          <x14:formula1>
            <xm:f>'Active Jobs'!$B$2:$B$154</xm:f>
          </x14:formula1>
          <xm:sqref>C2:C31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3D18-5B4A-4BB6-9F48-BD4413423741}">
  <sheetPr codeName="Sheet19"/>
  <dimension ref="A1:W45"/>
  <sheetViews>
    <sheetView zoomScale="125" zoomScaleNormal="125" workbookViewId="0">
      <selection activeCell="C15" sqref="C15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R1">IF(B2="","",TRANSPOSE(_xlfn._xlws.FILTER(_xlfn.UNIQUE(A2:A206), _xlfn.UNIQUE(A2:A206)&lt;&gt;"")))</f>
        <v>45727</v>
      </c>
      <c r="P1" s="63">
        <v>45728</v>
      </c>
      <c r="Q1" s="63">
        <v>45729</v>
      </c>
      <c r="R1" s="63">
        <v>45730</v>
      </c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45727</v>
      </c>
      <c r="B2" s="15" t="s">
        <v>339</v>
      </c>
      <c r="C2" s="16" t="s">
        <v>134</v>
      </c>
      <c r="D2" s="5">
        <v>0.35416666666666669</v>
      </c>
      <c r="E2" s="5">
        <v>0.45833333333333331</v>
      </c>
      <c r="F2" s="6" t="str">
        <f t="shared" ref="F2:F34" si="0">IF(E2="","","No")</f>
        <v>No</v>
      </c>
      <c r="G2" s="6">
        <f>IF(E2="","",IF(F2="Yes",(E2-D2)-TIME(0,30,0),E2-D2))</f>
        <v>0.10416666666666663</v>
      </c>
      <c r="H2" s="50">
        <f>_xlfn.IFNA(VLOOKUP(C:C,'Active Jobs'!B:K,8,0),"")</f>
        <v>220</v>
      </c>
      <c r="I2" s="8">
        <f>IF(F2="Yes",(E2-D2)*24-0.5,IF(F2="No",(E2-D2)*24,""))</f>
        <v>2.4999999999999991</v>
      </c>
      <c r="J2" s="50">
        <f>IF(G2="","",G2*24*HourlyRate*2*(1+Super))</f>
        <v>167.75174999999993</v>
      </c>
      <c r="K2" s="50">
        <f t="shared" ref="K2:K34" si="1">IF(H2="","",IF(E2="","",IF(J2=0,0,H2-J2)))</f>
        <v>52.24825000000007</v>
      </c>
      <c r="L2" s="9">
        <f>IF(K2="","",IF(H2=0,1,J2/H2))</f>
        <v>0.76250795454545428</v>
      </c>
      <c r="M2" s="16">
        <v>2</v>
      </c>
      <c r="N2" s="41" t="str" cm="1">
        <f t="array" ref="N2:N5">IF(B2="","",_xlfn.UNIQUE(TRANSPOSE(_xlfn.TEXTSPLIT(_xlfn.TEXTJOIN(" &amp; ", TRUE, TRIM(B2:B206)), " &amp; "))))</f>
        <v>Orla Shelly</v>
      </c>
      <c r="O2" s="23">
        <f t="shared" ref="O2:S11" si="2">IF(N2="","",ROUND(SUMIFS($I:$I,$A:$A,O$1,$B:$B,"*"&amp;$N2&amp;"*"),2))</f>
        <v>8.5</v>
      </c>
      <c r="P2" s="23">
        <f t="shared" si="2"/>
        <v>7.95</v>
      </c>
      <c r="Q2" s="23">
        <f t="shared" si="2"/>
        <v>8.25</v>
      </c>
      <c r="R2" s="23">
        <f t="shared" si="2"/>
        <v>8.33</v>
      </c>
      <c r="S2" s="23">
        <f t="shared" si="2"/>
        <v>0</v>
      </c>
      <c r="T2" s="10">
        <f t="shared" ref="T2:T45" si="3">IF(N2="","",SUM(O2:S2))</f>
        <v>33.03</v>
      </c>
      <c r="U2" s="24"/>
      <c r="V2" s="24">
        <f>IF(N2="","",T2*HourlyRate)</f>
        <v>993.87270000000001</v>
      </c>
      <c r="W2" s="25">
        <f>IF(N2="","",V2*Super)</f>
        <v>114.2953605</v>
      </c>
    </row>
    <row r="3" spans="1:23" ht="25" customHeight="1">
      <c r="A3" s="37">
        <v>45727</v>
      </c>
      <c r="B3" s="15" t="s">
        <v>339</v>
      </c>
      <c r="C3" s="16" t="s">
        <v>20</v>
      </c>
      <c r="D3" s="5">
        <v>0.45833333333333331</v>
      </c>
      <c r="E3" s="5">
        <v>0.5625</v>
      </c>
      <c r="F3" s="6" t="s">
        <v>17</v>
      </c>
      <c r="G3" s="6">
        <f t="shared" ref="G3:G34" si="4">IF(E3="","",IF(F3="Yes",(E3-D3)-TIME(0,30,0),E3-D3))</f>
        <v>8.3333333333333356E-2</v>
      </c>
      <c r="H3" s="50">
        <f>_xlfn.IFNA(VLOOKUP(C:C,'Active Jobs'!B:K,8,0),"")</f>
        <v>250</v>
      </c>
      <c r="I3" s="8">
        <f t="shared" ref="I3:I34" si="5">IF(F3="Yes",(E3-D3)*24-0.5,IF(F3="No",(E3-D3)*24,""))</f>
        <v>2.0000000000000004</v>
      </c>
      <c r="J3" s="50">
        <f t="shared" ref="J3:J34" si="6">IF(G3="","",G3*24*HourlyRate*2*(1+Super))</f>
        <v>134.20140000000004</v>
      </c>
      <c r="K3" s="50">
        <f t="shared" si="1"/>
        <v>115.79859999999996</v>
      </c>
      <c r="L3" s="9">
        <f t="shared" ref="L3:L34" si="7">IF(K3="","",IF(H3=0,1,J3/H3))</f>
        <v>0.5368056000000001</v>
      </c>
      <c r="M3" s="16">
        <v>2</v>
      </c>
      <c r="N3" s="42" t="str">
        <v>Julie Roccati</v>
      </c>
      <c r="O3" s="23">
        <f t="shared" si="2"/>
        <v>8.5</v>
      </c>
      <c r="P3" s="23">
        <f t="shared" si="2"/>
        <v>7.95</v>
      </c>
      <c r="Q3" s="23">
        <f t="shared" si="2"/>
        <v>8.25</v>
      </c>
      <c r="R3" s="23">
        <f t="shared" si="2"/>
        <v>8.33</v>
      </c>
      <c r="S3" s="23">
        <f t="shared" si="2"/>
        <v>0</v>
      </c>
      <c r="T3" s="10">
        <f t="shared" si="3"/>
        <v>33.03</v>
      </c>
      <c r="U3" s="21"/>
      <c r="V3" s="24">
        <f>IF(N3="","",T3*HourlyRate)</f>
        <v>993.87270000000001</v>
      </c>
      <c r="W3" s="25">
        <f>IF(N3="","",V3*Super)</f>
        <v>114.2953605</v>
      </c>
    </row>
    <row r="4" spans="1:23" ht="25" customHeight="1">
      <c r="A4" s="37">
        <v>45727</v>
      </c>
      <c r="B4" s="15" t="s">
        <v>339</v>
      </c>
      <c r="C4" s="16" t="s">
        <v>136</v>
      </c>
      <c r="D4" s="5">
        <v>0.5625</v>
      </c>
      <c r="E4" s="5">
        <v>0.64583333333333337</v>
      </c>
      <c r="F4" s="6" t="str">
        <f t="shared" si="0"/>
        <v>No</v>
      </c>
      <c r="G4" s="6">
        <f t="shared" si="4"/>
        <v>8.333333333333337E-2</v>
      </c>
      <c r="H4" s="50">
        <f>_xlfn.IFNA(VLOOKUP(C:C,'Active Jobs'!B:K,8,0),"")</f>
        <v>220</v>
      </c>
      <c r="I4" s="8">
        <f t="shared" si="5"/>
        <v>2.0000000000000009</v>
      </c>
      <c r="J4" s="50">
        <f t="shared" si="6"/>
        <v>134.20140000000006</v>
      </c>
      <c r="K4" s="50">
        <f t="shared" si="1"/>
        <v>85.798599999999936</v>
      </c>
      <c r="L4" s="9">
        <f t="shared" si="7"/>
        <v>0.61000636363636396</v>
      </c>
      <c r="M4" s="16">
        <v>2</v>
      </c>
      <c r="N4" s="42" t="str">
        <v>Aoife O'Gorman</v>
      </c>
      <c r="O4" s="23">
        <f t="shared" si="2"/>
        <v>8.25</v>
      </c>
      <c r="P4" s="23">
        <f t="shared" si="2"/>
        <v>8.33</v>
      </c>
      <c r="Q4" s="23">
        <f t="shared" si="2"/>
        <v>8</v>
      </c>
      <c r="R4" s="23">
        <f t="shared" si="2"/>
        <v>8</v>
      </c>
      <c r="S4" s="23">
        <f t="shared" si="2"/>
        <v>0</v>
      </c>
      <c r="T4" s="10">
        <f t="shared" si="3"/>
        <v>32.58</v>
      </c>
      <c r="U4" s="21"/>
      <c r="V4" s="24">
        <f>IF(N4="","",T4*HourlyRate)</f>
        <v>980.33219999999994</v>
      </c>
      <c r="W4" s="25">
        <f>IF(N4="","",V4*Super)</f>
        <v>112.738203</v>
      </c>
    </row>
    <row r="5" spans="1:23" ht="25" customHeight="1">
      <c r="A5" s="37">
        <v>45727</v>
      </c>
      <c r="B5" s="15" t="s">
        <v>339</v>
      </c>
      <c r="C5" s="16" t="s">
        <v>133</v>
      </c>
      <c r="D5" s="5">
        <v>0.64583333333333337</v>
      </c>
      <c r="E5" s="5">
        <v>0.72916666666666663</v>
      </c>
      <c r="F5" s="6" t="str">
        <f t="shared" si="0"/>
        <v>No</v>
      </c>
      <c r="G5" s="6">
        <f t="shared" si="4"/>
        <v>8.3333333333333259E-2</v>
      </c>
      <c r="H5" s="50">
        <f>_xlfn.IFNA(VLOOKUP(C:C,'Active Jobs'!B:K,8,0),"")</f>
        <v>250</v>
      </c>
      <c r="I5" s="8">
        <f t="shared" si="5"/>
        <v>1.9999999999999982</v>
      </c>
      <c r="J5" s="50">
        <f t="shared" si="6"/>
        <v>134.20139999999986</v>
      </c>
      <c r="K5" s="50">
        <f t="shared" si="1"/>
        <v>115.79860000000014</v>
      </c>
      <c r="L5" s="9">
        <f t="shared" si="7"/>
        <v>0.53680559999999944</v>
      </c>
      <c r="M5" s="16">
        <v>2</v>
      </c>
      <c r="N5" s="42" t="str">
        <v>Rose Bliszczak</v>
      </c>
      <c r="O5" s="23">
        <f t="shared" si="2"/>
        <v>8.25</v>
      </c>
      <c r="P5" s="23">
        <f t="shared" si="2"/>
        <v>8.33</v>
      </c>
      <c r="Q5" s="23">
        <f t="shared" si="2"/>
        <v>8</v>
      </c>
      <c r="R5" s="23">
        <f t="shared" si="2"/>
        <v>8</v>
      </c>
      <c r="S5" s="23">
        <f t="shared" si="2"/>
        <v>0</v>
      </c>
      <c r="T5" s="10">
        <f t="shared" si="3"/>
        <v>32.58</v>
      </c>
      <c r="U5" s="21"/>
      <c r="V5" s="24">
        <f>IF(N5="","",T5*HourlyRate)</f>
        <v>980.33219999999994</v>
      </c>
      <c r="W5" s="25">
        <f>IF(N5="","",V5*Super)</f>
        <v>112.738203</v>
      </c>
    </row>
    <row r="6" spans="1:23" ht="25" customHeight="1">
      <c r="A6" s="37">
        <v>45727</v>
      </c>
      <c r="B6" s="15" t="s">
        <v>350</v>
      </c>
      <c r="C6" s="16" t="s">
        <v>44</v>
      </c>
      <c r="D6" s="5">
        <v>0.35416666666666669</v>
      </c>
      <c r="E6" s="5">
        <v>0.44791666666666669</v>
      </c>
      <c r="F6" s="6" t="str">
        <f t="shared" si="0"/>
        <v>No</v>
      </c>
      <c r="G6" s="6">
        <f t="shared" si="4"/>
        <v>9.375E-2</v>
      </c>
      <c r="H6" s="50">
        <f>_xlfn.IFNA(VLOOKUP(C:C,'Active Jobs'!B:K,8,0),"")</f>
        <v>200</v>
      </c>
      <c r="I6" s="8">
        <f t="shared" si="5"/>
        <v>2.25</v>
      </c>
      <c r="J6" s="50">
        <f t="shared" si="6"/>
        <v>150.976575</v>
      </c>
      <c r="K6" s="50">
        <f t="shared" si="1"/>
        <v>49.023425000000003</v>
      </c>
      <c r="L6" s="9">
        <f t="shared" si="7"/>
        <v>0.75488287499999995</v>
      </c>
      <c r="M6" s="16">
        <v>1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45727</v>
      </c>
      <c r="B7" s="15" t="s">
        <v>350</v>
      </c>
      <c r="C7" s="16" t="s">
        <v>132</v>
      </c>
      <c r="D7" s="5">
        <v>0.44791666666666669</v>
      </c>
      <c r="E7" s="5">
        <v>0.5625</v>
      </c>
      <c r="F7" s="6" t="s">
        <v>17</v>
      </c>
      <c r="G7" s="6">
        <f t="shared" si="4"/>
        <v>9.3749999999999986E-2</v>
      </c>
      <c r="H7" s="50">
        <f>_xlfn.IFNA(VLOOKUP(C:C,'Active Jobs'!B:K,8,0),"")</f>
        <v>220</v>
      </c>
      <c r="I7" s="8">
        <f t="shared" si="5"/>
        <v>2.2499999999999996</v>
      </c>
      <c r="J7" s="50">
        <f t="shared" si="6"/>
        <v>150.97657499999997</v>
      </c>
      <c r="K7" s="50">
        <f t="shared" si="1"/>
        <v>69.023425000000032</v>
      </c>
      <c r="L7" s="9">
        <f t="shared" si="7"/>
        <v>0.6862571590909089</v>
      </c>
      <c r="M7" s="16">
        <v>1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3948.4097999999999</v>
      </c>
      <c r="W7" s="26">
        <f>SUM(W2:W5)</f>
        <v>454.06712700000003</v>
      </c>
    </row>
    <row r="8" spans="1:23" ht="25" customHeight="1">
      <c r="A8" s="37">
        <v>45727</v>
      </c>
      <c r="B8" s="15" t="s">
        <v>350</v>
      </c>
      <c r="C8" s="49" t="s">
        <v>45</v>
      </c>
      <c r="D8" s="5">
        <v>0.5625</v>
      </c>
      <c r="E8" s="5">
        <v>0.65625</v>
      </c>
      <c r="F8" s="6" t="str">
        <f t="shared" si="0"/>
        <v>No</v>
      </c>
      <c r="G8" s="6">
        <f t="shared" si="4"/>
        <v>9.375E-2</v>
      </c>
      <c r="H8" s="50">
        <f>_xlfn.IFNA(VLOOKUP(C:C,'Active Jobs'!B:K,8,0),"")</f>
        <v>275</v>
      </c>
      <c r="I8" s="8">
        <f t="shared" si="5"/>
        <v>2.25</v>
      </c>
      <c r="J8" s="50">
        <f t="shared" si="6"/>
        <v>150.976575</v>
      </c>
      <c r="K8" s="50">
        <f t="shared" si="1"/>
        <v>124.023425</v>
      </c>
      <c r="L8" s="9">
        <f t="shared" si="7"/>
        <v>0.54900572727272723</v>
      </c>
      <c r="M8" s="16">
        <v>1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7">
        <v>45727</v>
      </c>
      <c r="B9" s="15" t="s">
        <v>350</v>
      </c>
      <c r="C9" s="16" t="s">
        <v>140</v>
      </c>
      <c r="D9" s="5">
        <v>0.65625</v>
      </c>
      <c r="E9" s="5">
        <v>0.71875</v>
      </c>
      <c r="F9" s="6" t="str">
        <f t="shared" si="0"/>
        <v>No</v>
      </c>
      <c r="G9" s="6">
        <f t="shared" si="4"/>
        <v>6.25E-2</v>
      </c>
      <c r="H9" s="50">
        <f>_xlfn.IFNA(VLOOKUP(C:C,'Active Jobs'!B:K,8,0),"")</f>
        <v>215</v>
      </c>
      <c r="I9" s="8">
        <f t="shared" si="5"/>
        <v>1.5</v>
      </c>
      <c r="J9" s="50">
        <f t="shared" si="6"/>
        <v>100.65105</v>
      </c>
      <c r="K9" s="50">
        <f t="shared" si="1"/>
        <v>114.34895</v>
      </c>
      <c r="L9" s="9">
        <f t="shared" si="7"/>
        <v>0.46814441860465117</v>
      </c>
      <c r="M9" s="16">
        <v>1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/>
      <c r="W9" s="25"/>
    </row>
    <row r="10" spans="1:23" ht="25" customHeight="1">
      <c r="A10" s="38">
        <v>45728</v>
      </c>
      <c r="B10" s="15" t="s">
        <v>339</v>
      </c>
      <c r="C10" s="16" t="s">
        <v>102</v>
      </c>
      <c r="D10" s="5">
        <v>0.35416666666666669</v>
      </c>
      <c r="E10" s="5">
        <v>0.45833333333333331</v>
      </c>
      <c r="F10" s="6" t="str">
        <f t="shared" si="0"/>
        <v>No</v>
      </c>
      <c r="G10" s="6">
        <f t="shared" si="4"/>
        <v>0.10416666666666663</v>
      </c>
      <c r="H10" s="50">
        <f>_xlfn.IFNA(VLOOKUP(C:C,'Active Jobs'!B:K,8,0),"")</f>
        <v>240</v>
      </c>
      <c r="I10" s="8">
        <f t="shared" si="5"/>
        <v>2.4999999999999991</v>
      </c>
      <c r="J10" s="50">
        <f t="shared" si="6"/>
        <v>167.75174999999993</v>
      </c>
      <c r="K10" s="50">
        <f t="shared" si="1"/>
        <v>72.24825000000007</v>
      </c>
      <c r="L10" s="9">
        <f t="shared" si="7"/>
        <v>0.6989656249999997</v>
      </c>
      <c r="M10" s="16">
        <v>2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8">
        <v>45728</v>
      </c>
      <c r="B11" s="15" t="s">
        <v>339</v>
      </c>
      <c r="C11" s="16" t="s">
        <v>146</v>
      </c>
      <c r="D11" s="5">
        <v>0.45833333333333331</v>
      </c>
      <c r="E11" s="5">
        <v>0.5625</v>
      </c>
      <c r="F11" s="6" t="s">
        <v>17</v>
      </c>
      <c r="G11" s="6">
        <f t="shared" si="4"/>
        <v>8.3333333333333356E-2</v>
      </c>
      <c r="H11" s="50">
        <f>_xlfn.IFNA(VLOOKUP(C:C,'Active Jobs'!B:K,8,0),"")</f>
        <v>250</v>
      </c>
      <c r="I11" s="8">
        <f t="shared" si="5"/>
        <v>2.0000000000000004</v>
      </c>
      <c r="J11" s="50">
        <f t="shared" si="6"/>
        <v>134.20140000000004</v>
      </c>
      <c r="K11" s="50">
        <f t="shared" si="1"/>
        <v>115.79859999999996</v>
      </c>
      <c r="L11" s="9">
        <f t="shared" si="7"/>
        <v>0.5368056000000001</v>
      </c>
      <c r="M11" s="16">
        <v>2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45728</v>
      </c>
      <c r="B12" s="15" t="s">
        <v>339</v>
      </c>
      <c r="C12" s="16" t="s">
        <v>25</v>
      </c>
      <c r="D12" s="5">
        <v>0.5625</v>
      </c>
      <c r="E12" s="5">
        <v>0.64583333333333337</v>
      </c>
      <c r="F12" s="6" t="str">
        <f t="shared" si="0"/>
        <v>No</v>
      </c>
      <c r="G12" s="6">
        <f t="shared" si="4"/>
        <v>8.333333333333337E-2</v>
      </c>
      <c r="H12" s="50">
        <f>_xlfn.IFNA(VLOOKUP(C:C,'Active Jobs'!B:K,8,0),"")</f>
        <v>220</v>
      </c>
      <c r="I12" s="8">
        <f t="shared" si="5"/>
        <v>2.0000000000000009</v>
      </c>
      <c r="J12" s="50">
        <f t="shared" si="6"/>
        <v>134.20140000000006</v>
      </c>
      <c r="K12" s="50">
        <f t="shared" si="1"/>
        <v>85.798599999999936</v>
      </c>
      <c r="L12" s="9">
        <f t="shared" si="7"/>
        <v>0.61000636363636396</v>
      </c>
      <c r="M12" s="16">
        <v>2</v>
      </c>
      <c r="O12" s="23" t="str">
        <f t="shared" ref="O12:S21" si="8">IF(N12="","",ROUND(SUMIFS($I:$I,$A:$A,O$1,$B:$B,"*"&amp;$N12&amp;"*"),2))</f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3"/>
        <v/>
      </c>
    </row>
    <row r="13" spans="1:23" ht="25" customHeight="1">
      <c r="A13" s="38">
        <v>45728</v>
      </c>
      <c r="B13" s="15" t="s">
        <v>339</v>
      </c>
      <c r="C13" s="16" t="s">
        <v>147</v>
      </c>
      <c r="D13" s="5">
        <v>0.64583333333333337</v>
      </c>
      <c r="E13" s="5">
        <v>0.70625000000000004</v>
      </c>
      <c r="F13" s="6" t="str">
        <f t="shared" si="0"/>
        <v>No</v>
      </c>
      <c r="G13" s="6">
        <f t="shared" si="4"/>
        <v>6.0416666666666674E-2</v>
      </c>
      <c r="H13" s="50">
        <f>_xlfn.IFNA(VLOOKUP(C:C,'Active Jobs'!B:K,8,0),"")</f>
        <v>200</v>
      </c>
      <c r="I13" s="8">
        <f t="shared" si="5"/>
        <v>1.4500000000000002</v>
      </c>
      <c r="J13" s="50">
        <f t="shared" si="6"/>
        <v>97.296015000000011</v>
      </c>
      <c r="K13" s="50">
        <f t="shared" si="1"/>
        <v>102.70398499999999</v>
      </c>
      <c r="L13" s="9">
        <f t="shared" si="7"/>
        <v>0.48648007500000007</v>
      </c>
      <c r="M13" s="16">
        <v>2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3"/>
        <v/>
      </c>
    </row>
    <row r="14" spans="1:23" ht="25" customHeight="1">
      <c r="A14" s="38">
        <v>45728</v>
      </c>
      <c r="B14" s="15" t="s">
        <v>350</v>
      </c>
      <c r="C14" s="16" t="s">
        <v>143</v>
      </c>
      <c r="D14" s="5">
        <v>0.35416666666666669</v>
      </c>
      <c r="E14" s="5">
        <v>0.44791666666666669</v>
      </c>
      <c r="F14" s="6" t="str">
        <f t="shared" si="0"/>
        <v>No</v>
      </c>
      <c r="G14" s="6">
        <f t="shared" si="4"/>
        <v>9.375E-2</v>
      </c>
      <c r="H14" s="50">
        <f>_xlfn.IFNA(VLOOKUP(C:C,'Active Jobs'!B:K,8,0),"")</f>
        <v>220</v>
      </c>
      <c r="I14" s="8">
        <f t="shared" si="5"/>
        <v>2.25</v>
      </c>
      <c r="J14" s="50">
        <f t="shared" si="6"/>
        <v>150.976575</v>
      </c>
      <c r="K14" s="50">
        <f t="shared" si="1"/>
        <v>69.023425000000003</v>
      </c>
      <c r="L14" s="9">
        <f t="shared" si="7"/>
        <v>0.68625715909090912</v>
      </c>
      <c r="M14" s="16">
        <v>1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3"/>
        <v/>
      </c>
    </row>
    <row r="15" spans="1:23" ht="25" customHeight="1">
      <c r="A15" s="38">
        <v>45728</v>
      </c>
      <c r="B15" s="15" t="s">
        <v>350</v>
      </c>
      <c r="C15" s="16" t="s">
        <v>172</v>
      </c>
      <c r="D15" s="5">
        <v>0.44791666666666669</v>
      </c>
      <c r="E15" s="5">
        <v>0.5625</v>
      </c>
      <c r="F15" s="6" t="s">
        <v>17</v>
      </c>
      <c r="G15" s="6">
        <f t="shared" si="4"/>
        <v>9.3749999999999986E-2</v>
      </c>
      <c r="H15" s="50">
        <v>215</v>
      </c>
      <c r="I15" s="8">
        <f t="shared" si="5"/>
        <v>2.2499999999999996</v>
      </c>
      <c r="J15" s="50">
        <f t="shared" si="6"/>
        <v>150.97657499999997</v>
      </c>
      <c r="K15" s="50">
        <f t="shared" si="1"/>
        <v>64.023425000000032</v>
      </c>
      <c r="L15" s="9">
        <f t="shared" si="7"/>
        <v>0.70221662790697659</v>
      </c>
      <c r="M15" s="16">
        <v>1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74" t="str">
        <f t="shared" si="3"/>
        <v/>
      </c>
    </row>
    <row r="16" spans="1:23" ht="25" customHeight="1">
      <c r="A16" s="38">
        <v>45728</v>
      </c>
      <c r="B16" s="15" t="s">
        <v>350</v>
      </c>
      <c r="C16" s="16" t="s">
        <v>144</v>
      </c>
      <c r="D16" s="5">
        <v>0.5625</v>
      </c>
      <c r="E16" s="5">
        <v>0.64583333333333337</v>
      </c>
      <c r="F16" s="6" t="str">
        <f t="shared" si="0"/>
        <v>No</v>
      </c>
      <c r="G16" s="6">
        <f t="shared" si="4"/>
        <v>8.333333333333337E-2</v>
      </c>
      <c r="H16" s="50">
        <f>_xlfn.IFNA(VLOOKUP(C:C,'Active Jobs'!B:K,8,0),"")</f>
        <v>250</v>
      </c>
      <c r="I16" s="8">
        <f t="shared" si="5"/>
        <v>2.0000000000000009</v>
      </c>
      <c r="J16" s="50">
        <f t="shared" si="6"/>
        <v>134.20140000000006</v>
      </c>
      <c r="K16" s="50">
        <f t="shared" si="1"/>
        <v>115.79859999999994</v>
      </c>
      <c r="L16" s="9">
        <f t="shared" si="7"/>
        <v>0.53680560000000022</v>
      </c>
      <c r="M16" s="16">
        <v>1</v>
      </c>
      <c r="O16" s="23" t="str">
        <f t="shared" si="8"/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74" t="str">
        <f t="shared" si="3"/>
        <v/>
      </c>
    </row>
    <row r="17" spans="1:20" ht="25" customHeight="1">
      <c r="A17" s="38">
        <v>45728</v>
      </c>
      <c r="B17" s="15" t="s">
        <v>350</v>
      </c>
      <c r="C17" s="16" t="s">
        <v>173</v>
      </c>
      <c r="D17" s="5">
        <v>0.64583333333333337</v>
      </c>
      <c r="E17" s="5">
        <v>0.72222222222222221</v>
      </c>
      <c r="F17" s="6" t="str">
        <f t="shared" si="0"/>
        <v>No</v>
      </c>
      <c r="G17" s="6">
        <f t="shared" si="4"/>
        <v>7.638888888888884E-2</v>
      </c>
      <c r="H17" s="50">
        <f>_xlfn.IFNA(VLOOKUP(C:C,'Active Jobs'!B:K,8,0),"")</f>
        <v>240</v>
      </c>
      <c r="I17" s="8">
        <f t="shared" si="5"/>
        <v>1.8333333333333321</v>
      </c>
      <c r="J17" s="50">
        <f t="shared" si="6"/>
        <v>123.01794999999991</v>
      </c>
      <c r="K17" s="50">
        <f t="shared" si="1"/>
        <v>116.98205000000009</v>
      </c>
      <c r="L17" s="9">
        <f t="shared" si="7"/>
        <v>0.51257479166666631</v>
      </c>
      <c r="M17" s="16">
        <v>1</v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3"/>
        <v/>
      </c>
    </row>
    <row r="18" spans="1:20" ht="25" customHeight="1">
      <c r="A18" s="38">
        <v>45729</v>
      </c>
      <c r="B18" s="15" t="s">
        <v>350</v>
      </c>
      <c r="C18" s="16" t="s">
        <v>148</v>
      </c>
      <c r="D18" s="5">
        <v>0.35416666666666669</v>
      </c>
      <c r="E18" s="5">
        <v>0.45833333333333331</v>
      </c>
      <c r="F18" s="6" t="str">
        <f t="shared" si="0"/>
        <v>No</v>
      </c>
      <c r="G18" s="6">
        <f t="shared" si="4"/>
        <v>0.10416666666666663</v>
      </c>
      <c r="H18" s="50">
        <f>_xlfn.IFNA(VLOOKUP(C:C,'Active Jobs'!B:K,8,0),"")</f>
        <v>200</v>
      </c>
      <c r="I18" s="8">
        <f t="shared" si="5"/>
        <v>2.4999999999999991</v>
      </c>
      <c r="J18" s="50">
        <f t="shared" si="6"/>
        <v>167.75174999999993</v>
      </c>
      <c r="K18" s="50">
        <f t="shared" si="1"/>
        <v>32.24825000000007</v>
      </c>
      <c r="L18" s="9">
        <f t="shared" si="7"/>
        <v>0.83875874999999966</v>
      </c>
      <c r="M18" s="16">
        <v>1</v>
      </c>
      <c r="O18" s="23" t="str">
        <f t="shared" si="8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3"/>
        <v/>
      </c>
    </row>
    <row r="19" spans="1:20" ht="25" customHeight="1">
      <c r="A19" s="38">
        <v>45729</v>
      </c>
      <c r="B19" s="15" t="s">
        <v>350</v>
      </c>
      <c r="C19" s="16" t="s">
        <v>113</v>
      </c>
      <c r="D19" s="5">
        <v>0.45833333333333331</v>
      </c>
      <c r="E19" s="5">
        <v>0.5625</v>
      </c>
      <c r="F19" s="6" t="s">
        <v>17</v>
      </c>
      <c r="G19" s="6">
        <f t="shared" si="4"/>
        <v>8.3333333333333356E-2</v>
      </c>
      <c r="H19" s="50">
        <f>_xlfn.IFNA(VLOOKUP(C:C,'Active Jobs'!B:K,8,0),"")</f>
        <v>230</v>
      </c>
      <c r="I19" s="8">
        <f t="shared" si="5"/>
        <v>2.0000000000000004</v>
      </c>
      <c r="J19" s="50">
        <f t="shared" si="6"/>
        <v>134.20140000000004</v>
      </c>
      <c r="K19" s="50">
        <f t="shared" si="1"/>
        <v>95.798599999999965</v>
      </c>
      <c r="L19" s="9">
        <f t="shared" si="7"/>
        <v>0.58348434782608716</v>
      </c>
      <c r="M19" s="16">
        <v>1</v>
      </c>
      <c r="O19" s="23" t="str">
        <f t="shared" si="8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3"/>
        <v/>
      </c>
    </row>
    <row r="20" spans="1:20" ht="25" customHeight="1">
      <c r="A20" s="38">
        <v>45729</v>
      </c>
      <c r="B20" s="15" t="s">
        <v>350</v>
      </c>
      <c r="C20" s="16" t="s">
        <v>27</v>
      </c>
      <c r="D20" s="5">
        <v>0.5625</v>
      </c>
      <c r="E20" s="5">
        <v>0.64583333333333337</v>
      </c>
      <c r="F20" s="6" t="str">
        <f t="shared" si="0"/>
        <v>No</v>
      </c>
      <c r="G20" s="62">
        <f t="shared" si="4"/>
        <v>8.333333333333337E-2</v>
      </c>
      <c r="H20" s="50">
        <f>_xlfn.IFNA(VLOOKUP(C:C,'Active Jobs'!B:K,8,0),"")</f>
        <v>240</v>
      </c>
      <c r="I20" s="8">
        <f t="shared" si="5"/>
        <v>2.0000000000000009</v>
      </c>
      <c r="J20" s="50">
        <f t="shared" si="6"/>
        <v>134.20140000000006</v>
      </c>
      <c r="K20" s="50">
        <f t="shared" si="1"/>
        <v>105.79859999999994</v>
      </c>
      <c r="L20" s="9">
        <f t="shared" si="7"/>
        <v>0.55917250000000029</v>
      </c>
      <c r="M20" s="16">
        <v>1</v>
      </c>
      <c r="O20" s="23" t="str">
        <f t="shared" si="8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3"/>
        <v/>
      </c>
    </row>
    <row r="21" spans="1:20" ht="25" customHeight="1">
      <c r="A21" s="38">
        <v>45729</v>
      </c>
      <c r="B21" s="15" t="s">
        <v>350</v>
      </c>
      <c r="C21" s="16" t="s">
        <v>51</v>
      </c>
      <c r="D21" s="5">
        <v>0.64583333333333337</v>
      </c>
      <c r="E21" s="5">
        <v>0.70833333333333337</v>
      </c>
      <c r="F21" s="6" t="str">
        <f t="shared" si="0"/>
        <v>No</v>
      </c>
      <c r="G21" s="6">
        <f t="shared" si="4"/>
        <v>6.25E-2</v>
      </c>
      <c r="H21" s="50">
        <f>_xlfn.IFNA(VLOOKUP(C:C,'Active Jobs'!B:K,8,0),"")</f>
        <v>250</v>
      </c>
      <c r="I21" s="8">
        <f t="shared" si="5"/>
        <v>1.5</v>
      </c>
      <c r="J21" s="50">
        <f t="shared" si="6"/>
        <v>100.65105</v>
      </c>
      <c r="K21" s="50">
        <f t="shared" si="1"/>
        <v>149.34895</v>
      </c>
      <c r="L21" s="9">
        <f t="shared" si="7"/>
        <v>0.40260419999999997</v>
      </c>
      <c r="M21" s="16">
        <v>1</v>
      </c>
      <c r="O21" s="23" t="str">
        <f t="shared" si="8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3"/>
        <v/>
      </c>
    </row>
    <row r="22" spans="1:20" ht="25" customHeight="1">
      <c r="A22" s="38">
        <v>45729</v>
      </c>
      <c r="B22" s="15" t="s">
        <v>339</v>
      </c>
      <c r="C22" s="16" t="s">
        <v>151</v>
      </c>
      <c r="D22" s="5">
        <v>0.35416666666666669</v>
      </c>
      <c r="E22" s="5">
        <v>0.45833333333333331</v>
      </c>
      <c r="F22" s="6" t="str">
        <f t="shared" si="0"/>
        <v>No</v>
      </c>
      <c r="G22" s="6">
        <f t="shared" si="4"/>
        <v>0.10416666666666663</v>
      </c>
      <c r="H22" s="50">
        <f>_xlfn.IFNA(VLOOKUP(C:C,'Active Jobs'!B:K,8,0),"")</f>
        <v>250</v>
      </c>
      <c r="I22" s="8">
        <f t="shared" si="5"/>
        <v>2.4999999999999991</v>
      </c>
      <c r="J22" s="50">
        <f t="shared" si="6"/>
        <v>167.75174999999993</v>
      </c>
      <c r="K22" s="50">
        <f t="shared" si="1"/>
        <v>82.24825000000007</v>
      </c>
      <c r="L22" s="9">
        <f t="shared" si="7"/>
        <v>0.67100699999999969</v>
      </c>
      <c r="M22" s="16">
        <v>2</v>
      </c>
      <c r="O22" s="23" t="str">
        <f t="shared" ref="O22:S30" si="9">IF(N22="","",ROUND(SUMIFS($I:$I,$A:$A,O$1,$B:$B,"*"&amp;$N22&amp;"*"),2))</f>
        <v/>
      </c>
      <c r="P22" s="23" t="str">
        <f t="shared" si="9"/>
        <v/>
      </c>
      <c r="Q22" s="23" t="str">
        <f t="shared" si="9"/>
        <v/>
      </c>
      <c r="R22" s="23" t="str">
        <f t="shared" si="9"/>
        <v/>
      </c>
      <c r="S22" s="23" t="str">
        <f t="shared" si="9"/>
        <v/>
      </c>
      <c r="T22" s="74" t="str">
        <f t="shared" si="3"/>
        <v/>
      </c>
    </row>
    <row r="23" spans="1:20" ht="25" customHeight="1">
      <c r="A23" s="38">
        <v>45729</v>
      </c>
      <c r="B23" s="15" t="s">
        <v>339</v>
      </c>
      <c r="C23" s="16" t="s">
        <v>174</v>
      </c>
      <c r="D23" s="5">
        <v>0.45833333333333331</v>
      </c>
      <c r="E23" s="5">
        <v>0.5625</v>
      </c>
      <c r="F23" s="6" t="s">
        <v>17</v>
      </c>
      <c r="G23" s="6">
        <f t="shared" si="4"/>
        <v>8.3333333333333356E-2</v>
      </c>
      <c r="H23" s="50">
        <f>_xlfn.IFNA(VLOOKUP(C:C,'Active Jobs'!B:K,8,0),"")</f>
        <v>220</v>
      </c>
      <c r="I23" s="8">
        <f t="shared" si="5"/>
        <v>2.0000000000000004</v>
      </c>
      <c r="J23" s="50">
        <f t="shared" si="6"/>
        <v>134.20140000000004</v>
      </c>
      <c r="K23" s="50">
        <f t="shared" si="1"/>
        <v>85.798599999999965</v>
      </c>
      <c r="L23" s="9">
        <f t="shared" si="7"/>
        <v>0.61000636363636385</v>
      </c>
      <c r="M23" s="16">
        <v>2</v>
      </c>
      <c r="O23" s="23" t="str">
        <f t="shared" si="9"/>
        <v/>
      </c>
      <c r="P23" s="23" t="str">
        <f t="shared" si="9"/>
        <v/>
      </c>
      <c r="Q23" s="23" t="str">
        <f t="shared" si="9"/>
        <v/>
      </c>
      <c r="R23" s="23" t="str">
        <f t="shared" si="9"/>
        <v/>
      </c>
      <c r="S23" s="23" t="str">
        <f t="shared" si="9"/>
        <v/>
      </c>
      <c r="T23" s="74" t="str">
        <f t="shared" si="3"/>
        <v/>
      </c>
    </row>
    <row r="24" spans="1:20" ht="25" customHeight="1">
      <c r="A24" s="38">
        <v>45729</v>
      </c>
      <c r="B24" s="15" t="s">
        <v>339</v>
      </c>
      <c r="C24" s="16" t="s">
        <v>48</v>
      </c>
      <c r="D24" s="5">
        <v>0.5625</v>
      </c>
      <c r="E24" s="5">
        <v>0.64583333333333337</v>
      </c>
      <c r="F24" s="6" t="str">
        <f t="shared" si="0"/>
        <v>No</v>
      </c>
      <c r="G24" s="6">
        <f t="shared" si="4"/>
        <v>8.333333333333337E-2</v>
      </c>
      <c r="H24" s="50">
        <f>_xlfn.IFNA(VLOOKUP(C:C,'Active Jobs'!B:K,8,0),"")</f>
        <v>215</v>
      </c>
      <c r="I24" s="8">
        <f t="shared" si="5"/>
        <v>2.0000000000000009</v>
      </c>
      <c r="J24" s="50">
        <f t="shared" si="6"/>
        <v>134.20140000000006</v>
      </c>
      <c r="K24" s="50">
        <f t="shared" si="1"/>
        <v>80.798599999999936</v>
      </c>
      <c r="L24" s="9">
        <f t="shared" si="7"/>
        <v>0.62419255813953523</v>
      </c>
      <c r="M24" s="16">
        <v>2</v>
      </c>
      <c r="O24" s="23" t="str">
        <f t="shared" si="9"/>
        <v/>
      </c>
      <c r="P24" s="23" t="str">
        <f t="shared" si="9"/>
        <v/>
      </c>
      <c r="Q24" s="23" t="str">
        <f t="shared" si="9"/>
        <v/>
      </c>
      <c r="R24" s="23" t="str">
        <f t="shared" si="9"/>
        <v/>
      </c>
      <c r="S24" s="23" t="str">
        <f t="shared" si="9"/>
        <v/>
      </c>
      <c r="T24" s="74" t="str">
        <f t="shared" si="3"/>
        <v/>
      </c>
    </row>
    <row r="25" spans="1:20" ht="25" customHeight="1">
      <c r="A25" s="38">
        <v>45729</v>
      </c>
      <c r="B25" s="15" t="s">
        <v>339</v>
      </c>
      <c r="C25" s="16" t="s">
        <v>152</v>
      </c>
      <c r="D25" s="5">
        <v>0.64583333333333337</v>
      </c>
      <c r="E25" s="5">
        <v>0.71875</v>
      </c>
      <c r="F25" s="6" t="str">
        <f t="shared" si="0"/>
        <v>No</v>
      </c>
      <c r="G25" s="6">
        <f t="shared" si="4"/>
        <v>7.291666666666663E-2</v>
      </c>
      <c r="H25" s="50">
        <f>_xlfn.IFNA(VLOOKUP(C:C,'Active Jobs'!B:K,8,0),"")</f>
        <v>220</v>
      </c>
      <c r="I25" s="8">
        <f t="shared" si="5"/>
        <v>1.7499999999999991</v>
      </c>
      <c r="J25" s="50">
        <f t="shared" si="6"/>
        <v>117.42622499999993</v>
      </c>
      <c r="K25" s="50">
        <f t="shared" si="1"/>
        <v>102.57377500000007</v>
      </c>
      <c r="L25" s="9">
        <f t="shared" si="7"/>
        <v>0.53375556818181791</v>
      </c>
      <c r="M25" s="16">
        <v>2</v>
      </c>
      <c r="O25" s="23" t="str">
        <f t="shared" si="9"/>
        <v/>
      </c>
      <c r="P25" s="23" t="str">
        <f t="shared" si="9"/>
        <v/>
      </c>
      <c r="Q25" s="23" t="str">
        <f t="shared" si="9"/>
        <v/>
      </c>
      <c r="R25" s="23" t="str">
        <f t="shared" si="9"/>
        <v/>
      </c>
      <c r="S25" s="23" t="str">
        <f t="shared" si="9"/>
        <v/>
      </c>
      <c r="T25" s="74" t="str">
        <f t="shared" si="3"/>
        <v/>
      </c>
    </row>
    <row r="26" spans="1:20" ht="25" customHeight="1">
      <c r="A26" s="38">
        <v>45730</v>
      </c>
      <c r="B26" s="15" t="s">
        <v>350</v>
      </c>
      <c r="C26" s="16" t="s">
        <v>52</v>
      </c>
      <c r="D26" s="5">
        <v>0.35416666666666669</v>
      </c>
      <c r="E26" s="5">
        <v>0.45833333333333331</v>
      </c>
      <c r="F26" s="6" t="str">
        <f t="shared" si="0"/>
        <v>No</v>
      </c>
      <c r="G26" s="6">
        <f t="shared" si="4"/>
        <v>0.10416666666666663</v>
      </c>
      <c r="H26" s="50">
        <f>_xlfn.IFNA(VLOOKUP(C:C,'Active Jobs'!B:K,8,0),"")</f>
        <v>220</v>
      </c>
      <c r="I26" s="8">
        <f t="shared" si="5"/>
        <v>2.4999999999999991</v>
      </c>
      <c r="J26" s="50">
        <f t="shared" si="6"/>
        <v>167.75174999999993</v>
      </c>
      <c r="K26" s="50">
        <f t="shared" si="1"/>
        <v>52.24825000000007</v>
      </c>
      <c r="L26" s="9">
        <f t="shared" si="7"/>
        <v>0.76250795454545428</v>
      </c>
      <c r="M26" s="16">
        <v>1</v>
      </c>
      <c r="O26" s="23" t="str">
        <f t="shared" si="9"/>
        <v/>
      </c>
      <c r="P26" s="23" t="str">
        <f t="shared" si="9"/>
        <v/>
      </c>
      <c r="Q26" s="23" t="str">
        <f t="shared" si="9"/>
        <v/>
      </c>
      <c r="R26" s="23" t="str">
        <f t="shared" si="9"/>
        <v/>
      </c>
      <c r="S26" s="23" t="str">
        <f t="shared" si="9"/>
        <v/>
      </c>
      <c r="T26" s="74" t="str">
        <f t="shared" si="3"/>
        <v/>
      </c>
    </row>
    <row r="27" spans="1:20" ht="25" customHeight="1">
      <c r="A27" s="38">
        <v>45730</v>
      </c>
      <c r="B27" s="15" t="s">
        <v>350</v>
      </c>
      <c r="C27" s="16" t="s">
        <v>47</v>
      </c>
      <c r="D27" s="5">
        <v>0.45833333333333331</v>
      </c>
      <c r="E27" s="5">
        <v>0.5625</v>
      </c>
      <c r="F27" s="6" t="s">
        <v>17</v>
      </c>
      <c r="G27" s="6">
        <f t="shared" si="4"/>
        <v>8.3333333333333356E-2</v>
      </c>
      <c r="H27" s="50">
        <f>_xlfn.IFNA(VLOOKUP(C:C,'Active Jobs'!B:K,8,0),"")</f>
        <v>200</v>
      </c>
      <c r="I27" s="8">
        <f t="shared" si="5"/>
        <v>2.0000000000000004</v>
      </c>
      <c r="J27" s="50">
        <f t="shared" si="6"/>
        <v>134.20140000000004</v>
      </c>
      <c r="K27" s="50">
        <f t="shared" si="1"/>
        <v>65.798599999999965</v>
      </c>
      <c r="L27" s="9">
        <f t="shared" si="7"/>
        <v>0.67100700000000013</v>
      </c>
      <c r="M27" s="16">
        <v>1</v>
      </c>
      <c r="O27" s="23" t="str">
        <f t="shared" si="9"/>
        <v/>
      </c>
      <c r="P27" s="23" t="str">
        <f t="shared" si="9"/>
        <v/>
      </c>
      <c r="Q27" s="23" t="str">
        <f t="shared" si="9"/>
        <v/>
      </c>
      <c r="R27" s="23" t="str">
        <f t="shared" si="9"/>
        <v/>
      </c>
      <c r="S27" s="23" t="str">
        <f t="shared" si="9"/>
        <v/>
      </c>
      <c r="T27" s="74" t="str">
        <f t="shared" si="3"/>
        <v/>
      </c>
    </row>
    <row r="28" spans="1:20" ht="25" customHeight="1">
      <c r="A28" s="38">
        <v>45730</v>
      </c>
      <c r="B28" s="15" t="s">
        <v>350</v>
      </c>
      <c r="C28" s="16" t="s">
        <v>55</v>
      </c>
      <c r="D28" s="5">
        <v>0.5625</v>
      </c>
      <c r="E28" s="5">
        <v>0.64583333333333337</v>
      </c>
      <c r="F28" s="6" t="str">
        <f t="shared" si="0"/>
        <v>No</v>
      </c>
      <c r="G28" s="6">
        <f t="shared" si="4"/>
        <v>8.333333333333337E-2</v>
      </c>
      <c r="H28" s="50">
        <f>_xlfn.IFNA(VLOOKUP(C:C,'Active Jobs'!B:K,8,0),"")</f>
        <v>220</v>
      </c>
      <c r="I28" s="8">
        <f t="shared" si="5"/>
        <v>2.0000000000000009</v>
      </c>
      <c r="J28" s="50">
        <f t="shared" si="6"/>
        <v>134.20140000000006</v>
      </c>
      <c r="K28" s="50">
        <f t="shared" si="1"/>
        <v>85.798599999999936</v>
      </c>
      <c r="L28" s="9">
        <f t="shared" si="7"/>
        <v>0.61000636363636396</v>
      </c>
      <c r="M28" s="16">
        <v>1</v>
      </c>
      <c r="O28" s="23" t="str">
        <f t="shared" si="9"/>
        <v/>
      </c>
      <c r="P28" s="23" t="str">
        <f t="shared" si="9"/>
        <v/>
      </c>
      <c r="Q28" s="23" t="str">
        <f t="shared" si="9"/>
        <v/>
      </c>
      <c r="R28" s="23" t="str">
        <f t="shared" si="9"/>
        <v/>
      </c>
      <c r="S28" s="23" t="str">
        <f t="shared" si="9"/>
        <v/>
      </c>
      <c r="T28" s="74" t="str">
        <f t="shared" si="3"/>
        <v/>
      </c>
    </row>
    <row r="29" spans="1:20" ht="25" customHeight="1">
      <c r="A29" s="38">
        <v>45730</v>
      </c>
      <c r="B29" s="15" t="s">
        <v>350</v>
      </c>
      <c r="C29" s="16" t="s">
        <v>54</v>
      </c>
      <c r="D29" s="5">
        <v>0.64583333333333337</v>
      </c>
      <c r="E29" s="5">
        <v>0.70833333333333337</v>
      </c>
      <c r="F29" s="6" t="str">
        <f t="shared" si="0"/>
        <v>No</v>
      </c>
      <c r="G29" s="6">
        <f t="shared" si="4"/>
        <v>6.25E-2</v>
      </c>
      <c r="H29" s="50">
        <f>_xlfn.IFNA(VLOOKUP(C:C,'Active Jobs'!B:K,8,0),"")</f>
        <v>200</v>
      </c>
      <c r="I29" s="8">
        <f t="shared" si="5"/>
        <v>1.5</v>
      </c>
      <c r="J29" s="50">
        <f t="shared" si="6"/>
        <v>100.65105</v>
      </c>
      <c r="K29" s="50">
        <f t="shared" si="1"/>
        <v>99.348950000000002</v>
      </c>
      <c r="L29" s="9">
        <f t="shared" si="7"/>
        <v>0.50325525000000004</v>
      </c>
      <c r="M29" s="16">
        <v>1</v>
      </c>
      <c r="O29" s="23" t="str">
        <f t="shared" si="9"/>
        <v/>
      </c>
      <c r="P29" s="23" t="str">
        <f t="shared" si="9"/>
        <v/>
      </c>
      <c r="Q29" s="23" t="str">
        <f t="shared" si="9"/>
        <v/>
      </c>
      <c r="R29" s="23" t="str">
        <f t="shared" si="9"/>
        <v/>
      </c>
      <c r="S29" s="23" t="str">
        <f t="shared" si="9"/>
        <v/>
      </c>
      <c r="T29" s="74" t="str">
        <f t="shared" si="3"/>
        <v/>
      </c>
    </row>
    <row r="30" spans="1:20" ht="25" customHeight="1">
      <c r="A30" s="38">
        <v>45730</v>
      </c>
      <c r="B30" s="15" t="s">
        <v>339</v>
      </c>
      <c r="C30" s="16" t="s">
        <v>126</v>
      </c>
      <c r="D30" s="5">
        <v>0.35416666666666669</v>
      </c>
      <c r="E30" s="5">
        <v>0.45833333333333331</v>
      </c>
      <c r="F30" s="6" t="str">
        <f t="shared" si="0"/>
        <v>No</v>
      </c>
      <c r="G30" s="6">
        <f>IF(E30="","",IF(F30="Yes",(E30-D30)-TIME(0,30,0),E30-D30))</f>
        <v>0.10416666666666663</v>
      </c>
      <c r="H30" s="50">
        <f>_xlfn.IFNA(VLOOKUP(C:C,'Active Jobs'!B:K,8,0),"")</f>
        <v>250</v>
      </c>
      <c r="I30" s="8">
        <f>IF(F30="Yes",(E30-D30)*24-0.5,IF(F30="No",(E30-D30)*24,""))</f>
        <v>2.4999999999999991</v>
      </c>
      <c r="J30" s="50">
        <f>IF(G30="","",G30*24*HourlyRate*2*(1+Super))</f>
        <v>167.75174999999993</v>
      </c>
      <c r="K30" s="50">
        <f t="shared" si="1"/>
        <v>82.24825000000007</v>
      </c>
      <c r="L30" s="9">
        <f>IF(K30="","",IF(H30=0,1,J30/H30))</f>
        <v>0.67100699999999969</v>
      </c>
      <c r="M30" s="16">
        <v>2</v>
      </c>
      <c r="O30" s="23" t="str">
        <f t="shared" si="9"/>
        <v/>
      </c>
      <c r="P30" s="23" t="str">
        <f t="shared" si="9"/>
        <v/>
      </c>
      <c r="Q30" s="23" t="str">
        <f t="shared" si="9"/>
        <v/>
      </c>
      <c r="R30" s="23" t="str">
        <f t="shared" si="9"/>
        <v/>
      </c>
      <c r="S30" s="23" t="str">
        <f t="shared" si="9"/>
        <v/>
      </c>
      <c r="T30" s="74" t="str">
        <f t="shared" si="3"/>
        <v/>
      </c>
    </row>
    <row r="31" spans="1:20" ht="25" customHeight="1">
      <c r="A31" s="38">
        <v>45730</v>
      </c>
      <c r="B31" s="15" t="s">
        <v>339</v>
      </c>
      <c r="C31" s="16" t="s">
        <v>168</v>
      </c>
      <c r="D31" s="5">
        <v>0.45833333333333331</v>
      </c>
      <c r="E31" s="5">
        <v>0.5625</v>
      </c>
      <c r="F31" s="6" t="s">
        <v>17</v>
      </c>
      <c r="G31" s="6">
        <f t="shared" ref="G31:G32" si="10">IF(E31="","",IF(F31="Yes",(E31-D31)-TIME(0,30,0),E31-D31))</f>
        <v>8.3333333333333356E-2</v>
      </c>
      <c r="H31" s="50">
        <v>250</v>
      </c>
      <c r="I31" s="8">
        <f t="shared" ref="I31:I32" si="11">IF(F31="Yes",(E31-D31)*24-0.5,IF(F31="No",(E31-D31)*24,""))</f>
        <v>2.0000000000000004</v>
      </c>
      <c r="J31" s="50">
        <f>IF(G31="","",G31*24*HourlyRate*2*(1+Super))</f>
        <v>134.20140000000004</v>
      </c>
      <c r="K31" s="50">
        <f t="shared" ref="K31:K32" si="12">IF(H31="","",IF(E31="","",IF(J31=0,0,H31-J31)))</f>
        <v>115.79859999999996</v>
      </c>
      <c r="L31" s="9">
        <f t="shared" ref="L31:L32" si="13">IF(K31="","",IF(H31=0,1,J31/H31))</f>
        <v>0.5368056000000001</v>
      </c>
      <c r="M31" s="16">
        <v>2</v>
      </c>
      <c r="O31" s="23"/>
      <c r="P31" s="23"/>
      <c r="Q31" s="23"/>
      <c r="R31" s="23"/>
      <c r="S31" s="23"/>
      <c r="T31" s="74"/>
    </row>
    <row r="32" spans="1:20" ht="25" customHeight="1">
      <c r="A32" s="38">
        <v>45730</v>
      </c>
      <c r="B32" s="15" t="s">
        <v>339</v>
      </c>
      <c r="C32" s="16" t="s">
        <v>127</v>
      </c>
      <c r="D32" s="5">
        <v>0.5625</v>
      </c>
      <c r="E32" s="5">
        <v>0.64583333333333337</v>
      </c>
      <c r="F32" s="6" t="str">
        <f t="shared" ref="F32" si="14">IF(E32="","","No")</f>
        <v>No</v>
      </c>
      <c r="G32" s="6">
        <f t="shared" si="10"/>
        <v>8.333333333333337E-2</v>
      </c>
      <c r="H32" s="50">
        <f>_xlfn.IFNA(VLOOKUP(C:C,'Active Jobs'!B:K,8,0),"")</f>
        <v>200</v>
      </c>
      <c r="I32" s="8">
        <f t="shared" si="11"/>
        <v>2.0000000000000009</v>
      </c>
      <c r="J32" s="50">
        <f>IF(G32="","",G32*24*HourlyRate*2*(1+Super))</f>
        <v>134.20140000000006</v>
      </c>
      <c r="K32" s="50">
        <f t="shared" si="12"/>
        <v>65.798599999999936</v>
      </c>
      <c r="L32" s="9">
        <f t="shared" si="13"/>
        <v>0.67100700000000035</v>
      </c>
      <c r="M32" s="16">
        <v>2</v>
      </c>
      <c r="O32" s="23"/>
      <c r="P32" s="23"/>
      <c r="Q32" s="23"/>
      <c r="R32" s="23"/>
      <c r="S32" s="23"/>
      <c r="T32" s="74"/>
    </row>
    <row r="33" spans="1:20" ht="25" customHeight="1">
      <c r="A33" s="38">
        <v>45730</v>
      </c>
      <c r="B33" s="15" t="s">
        <v>339</v>
      </c>
      <c r="C33" s="16" t="s">
        <v>155</v>
      </c>
      <c r="D33" s="5">
        <v>0.64583333333333337</v>
      </c>
      <c r="E33" s="5">
        <v>0.72222222222222221</v>
      </c>
      <c r="F33" s="6" t="str">
        <f>IF(E33="","","No")</f>
        <v>No</v>
      </c>
      <c r="G33" s="6">
        <f>IF(E33="","",IF(F33="Yes",(E33-D33)-TIME(0,30,0),E33-D33))</f>
        <v>7.638888888888884E-2</v>
      </c>
      <c r="H33" s="50">
        <f>_xlfn.IFNA(VLOOKUP(C:C,'Active Jobs'!B:K,8,0),"")</f>
        <v>220</v>
      </c>
      <c r="I33" s="8">
        <f>IF(F33="Yes",(E33-D33)*24-0.5,IF(F33="No",(E33-D33)*24,""))</f>
        <v>1.8333333333333321</v>
      </c>
      <c r="J33" s="50">
        <f>IF(G33="","",G33*24*HourlyRate*2*(1+Super))</f>
        <v>123.01794999999991</v>
      </c>
      <c r="K33" s="50">
        <f>IF(H33="","",IF(E33="","",IF(J33=0,0,H33-J33)))</f>
        <v>96.982050000000086</v>
      </c>
      <c r="L33" s="9">
        <f>IF(K33="","",IF(H33=0,1,J33/H33))</f>
        <v>0.55917249999999963</v>
      </c>
      <c r="M33" s="16">
        <v>2</v>
      </c>
      <c r="O33" s="23"/>
      <c r="P33" s="23"/>
      <c r="Q33" s="23"/>
      <c r="R33" s="23"/>
      <c r="S33" s="23"/>
      <c r="T33" s="74"/>
    </row>
    <row r="34" spans="1:20" ht="25" customHeight="1">
      <c r="B34" s="15"/>
      <c r="C34" s="49"/>
      <c r="D34" s="5"/>
      <c r="E34" s="5"/>
      <c r="F34" s="6" t="str">
        <f t="shared" si="0"/>
        <v/>
      </c>
      <c r="G34" s="6" t="str">
        <f t="shared" si="4"/>
        <v/>
      </c>
      <c r="H34" s="50" t="str">
        <f>_xlfn.IFNA(VLOOKUP(C:C,'Active Jobs'!B:K,8,0),"")</f>
        <v/>
      </c>
      <c r="I34" s="8" t="str">
        <f t="shared" si="5"/>
        <v/>
      </c>
      <c r="J34" s="50" t="str">
        <f t="shared" si="6"/>
        <v/>
      </c>
      <c r="K34" s="50" t="str">
        <f t="shared" si="1"/>
        <v/>
      </c>
      <c r="L34" s="9" t="str">
        <f t="shared" si="7"/>
        <v/>
      </c>
      <c r="O34" s="23" t="str">
        <f t="shared" ref="O34:S45" si="15">IF(N34="","",ROUND(SUMIFS($I:$I,$A:$A,O$1,$B:$B,"*"&amp;$N34&amp;"*"),2))</f>
        <v/>
      </c>
      <c r="P34" s="23" t="str">
        <f t="shared" si="15"/>
        <v/>
      </c>
      <c r="Q34" s="23" t="str">
        <f t="shared" si="15"/>
        <v/>
      </c>
      <c r="R34" s="23" t="str">
        <f t="shared" si="15"/>
        <v/>
      </c>
      <c r="S34" s="23" t="str">
        <f t="shared" si="15"/>
        <v/>
      </c>
      <c r="T34" s="74" t="str">
        <f t="shared" si="3"/>
        <v/>
      </c>
    </row>
    <row r="35" spans="1:20" ht="25" customHeight="1">
      <c r="A35" s="39"/>
      <c r="B35" s="29"/>
      <c r="C35" s="30"/>
      <c r="D35" s="1"/>
      <c r="E35" s="1"/>
      <c r="F35" s="31"/>
      <c r="G35" s="32"/>
      <c r="H35" s="53">
        <f>SUBTOTAL(109,Table2261210141632[Quoted])</f>
        <v>7270</v>
      </c>
      <c r="I35" s="34">
        <f>SUBTOTAL(109,Table2261210141632[Hours Payable])</f>
        <v>65.61666666666666</v>
      </c>
      <c r="J35" s="53">
        <f>SUBTOTAL(109,Table2261210141632[Wages (Incl. Super)])</f>
        <v>4402.9242649999987</v>
      </c>
      <c r="K35" s="53">
        <f>SUBTOTAL(109,Table2261210141632[Profit])</f>
        <v>2867.0757350000013</v>
      </c>
      <c r="L35" s="35">
        <f>IF(L2="","",SUBTOTAL(101,Table2261210141632[Quote/Wages]))</f>
        <v>0.60882117176301997</v>
      </c>
      <c r="O35" s="23" t="str">
        <f t="shared" si="15"/>
        <v/>
      </c>
      <c r="P35" s="23" t="str">
        <f t="shared" si="15"/>
        <v/>
      </c>
      <c r="Q35" s="23" t="str">
        <f t="shared" si="15"/>
        <v/>
      </c>
      <c r="R35" s="23" t="str">
        <f t="shared" si="15"/>
        <v/>
      </c>
      <c r="S35" s="23" t="str">
        <f t="shared" si="15"/>
        <v/>
      </c>
      <c r="T35" s="74" t="str">
        <f t="shared" si="3"/>
        <v/>
      </c>
    </row>
    <row r="36" spans="1:20" ht="25" customHeight="1">
      <c r="O36" s="23" t="str">
        <f t="shared" si="15"/>
        <v/>
      </c>
      <c r="P36" s="23" t="str">
        <f t="shared" si="15"/>
        <v/>
      </c>
      <c r="Q36" s="23" t="str">
        <f t="shared" si="15"/>
        <v/>
      </c>
      <c r="R36" s="23" t="str">
        <f t="shared" si="15"/>
        <v/>
      </c>
      <c r="S36" s="23" t="str">
        <f t="shared" si="15"/>
        <v/>
      </c>
      <c r="T36" s="74" t="str">
        <f t="shared" si="3"/>
        <v/>
      </c>
    </row>
    <row r="37" spans="1:20" ht="25" customHeight="1">
      <c r="O37" s="23" t="str">
        <f t="shared" si="15"/>
        <v/>
      </c>
      <c r="P37" s="23" t="str">
        <f t="shared" si="15"/>
        <v/>
      </c>
      <c r="Q37" s="23" t="str">
        <f t="shared" si="15"/>
        <v/>
      </c>
      <c r="R37" s="23" t="str">
        <f t="shared" si="15"/>
        <v/>
      </c>
      <c r="S37" s="23" t="str">
        <f t="shared" si="15"/>
        <v/>
      </c>
      <c r="T37" s="74" t="str">
        <f t="shared" si="3"/>
        <v/>
      </c>
    </row>
    <row r="38" spans="1:20" ht="25" customHeight="1">
      <c r="O38" s="23" t="str">
        <f t="shared" si="15"/>
        <v/>
      </c>
      <c r="P38" s="23" t="str">
        <f t="shared" si="15"/>
        <v/>
      </c>
      <c r="Q38" s="23" t="str">
        <f t="shared" si="15"/>
        <v/>
      </c>
      <c r="R38" s="23" t="str">
        <f t="shared" si="15"/>
        <v/>
      </c>
      <c r="S38" s="23" t="str">
        <f t="shared" si="15"/>
        <v/>
      </c>
      <c r="T38" s="74" t="str">
        <f t="shared" si="3"/>
        <v/>
      </c>
    </row>
    <row r="39" spans="1:20" ht="25" customHeight="1">
      <c r="O39" s="23" t="str">
        <f t="shared" si="15"/>
        <v/>
      </c>
      <c r="P39" s="23" t="str">
        <f t="shared" si="15"/>
        <v/>
      </c>
      <c r="Q39" s="23" t="str">
        <f t="shared" si="15"/>
        <v/>
      </c>
      <c r="R39" s="23" t="str">
        <f t="shared" si="15"/>
        <v/>
      </c>
      <c r="S39" s="23" t="str">
        <f t="shared" si="15"/>
        <v/>
      </c>
      <c r="T39" s="74" t="str">
        <f t="shared" si="3"/>
        <v/>
      </c>
    </row>
    <row r="40" spans="1:20" ht="25" customHeight="1">
      <c r="O40" s="23" t="str">
        <f t="shared" si="15"/>
        <v/>
      </c>
      <c r="P40" s="23" t="str">
        <f t="shared" si="15"/>
        <v/>
      </c>
      <c r="Q40" s="23" t="str">
        <f t="shared" si="15"/>
        <v/>
      </c>
      <c r="R40" s="23" t="str">
        <f t="shared" si="15"/>
        <v/>
      </c>
      <c r="S40" s="23" t="str">
        <f t="shared" si="15"/>
        <v/>
      </c>
      <c r="T40" s="74" t="str">
        <f t="shared" si="3"/>
        <v/>
      </c>
    </row>
    <row r="41" spans="1:20" ht="25" customHeight="1">
      <c r="O41" s="23" t="str">
        <f t="shared" si="15"/>
        <v/>
      </c>
      <c r="P41" s="23" t="str">
        <f t="shared" si="15"/>
        <v/>
      </c>
      <c r="Q41" s="23" t="str">
        <f t="shared" si="15"/>
        <v/>
      </c>
      <c r="R41" s="23" t="str">
        <f t="shared" si="15"/>
        <v/>
      </c>
      <c r="S41" s="23" t="str">
        <f t="shared" si="15"/>
        <v/>
      </c>
      <c r="T41" s="74" t="str">
        <f t="shared" si="3"/>
        <v/>
      </c>
    </row>
    <row r="42" spans="1:20" ht="25" customHeight="1">
      <c r="O42" s="23" t="str">
        <f t="shared" si="15"/>
        <v/>
      </c>
      <c r="P42" s="23" t="str">
        <f t="shared" si="15"/>
        <v/>
      </c>
      <c r="Q42" s="23" t="str">
        <f t="shared" si="15"/>
        <v/>
      </c>
      <c r="R42" s="23" t="str">
        <f t="shared" si="15"/>
        <v/>
      </c>
      <c r="S42" s="23" t="str">
        <f t="shared" si="15"/>
        <v/>
      </c>
      <c r="T42" s="74" t="str">
        <f t="shared" si="3"/>
        <v/>
      </c>
    </row>
    <row r="43" spans="1:20" ht="25" customHeight="1">
      <c r="O43" s="23" t="str">
        <f t="shared" si="15"/>
        <v/>
      </c>
      <c r="P43" s="23" t="str">
        <f t="shared" si="15"/>
        <v/>
      </c>
      <c r="Q43" s="23" t="str">
        <f t="shared" si="15"/>
        <v/>
      </c>
      <c r="R43" s="23" t="str">
        <f t="shared" si="15"/>
        <v/>
      </c>
      <c r="S43" s="23" t="str">
        <f t="shared" si="15"/>
        <v/>
      </c>
      <c r="T43" s="74" t="str">
        <f t="shared" si="3"/>
        <v/>
      </c>
    </row>
    <row r="44" spans="1:20" ht="25" customHeight="1">
      <c r="O44" s="23" t="str">
        <f t="shared" si="15"/>
        <v/>
      </c>
      <c r="P44" s="23" t="str">
        <f t="shared" si="15"/>
        <v/>
      </c>
      <c r="Q44" s="23" t="str">
        <f t="shared" si="15"/>
        <v/>
      </c>
      <c r="R44" s="23" t="str">
        <f t="shared" si="15"/>
        <v/>
      </c>
      <c r="S44" s="23" t="str">
        <f t="shared" si="15"/>
        <v/>
      </c>
      <c r="T44" s="74" t="str">
        <f t="shared" si="3"/>
        <v/>
      </c>
    </row>
    <row r="45" spans="1:20" ht="25" customHeight="1">
      <c r="O45" s="23" t="str">
        <f t="shared" si="15"/>
        <v/>
      </c>
      <c r="P45" s="23" t="str">
        <f t="shared" si="15"/>
        <v/>
      </c>
      <c r="Q45" s="23" t="str">
        <f t="shared" si="15"/>
        <v/>
      </c>
      <c r="R45" s="23" t="str">
        <f t="shared" si="15"/>
        <v/>
      </c>
      <c r="S45" s="23" t="str">
        <f t="shared" si="15"/>
        <v/>
      </c>
      <c r="T45" s="74" t="str">
        <f t="shared" si="3"/>
        <v/>
      </c>
    </row>
  </sheetData>
  <conditionalFormatting sqref="B36:B256 B1:B34">
    <cfRule type="expression" dxfId="48" priority="1">
      <formula>AND(ROW()&gt;1, E1&lt;&gt;"", COUNTIFS(A:A, $A1, B:B, $B1, F:F, "Yes")=0)</formula>
    </cfRule>
  </conditionalFormatting>
  <conditionalFormatting sqref="F1:F34 F36:F256">
    <cfRule type="expression" dxfId="47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4" xr:uid="{420AA380-6D4A-42D4-800E-CD26FB6D551F}">
      <formula1>"No, Yes"</formula1>
    </dataValidation>
    <dataValidation type="list" allowBlank="1" showErrorMessage="1" promptTitle="Select" sqref="B2:B34" xr:uid="{261CC370-35D2-4AD2-9EF0-F9FD2BF1962E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AD0DABA-8E96-4E8E-934E-08FCB37ACB5F}">
          <x14:formula1>
            <xm:f>'Active Jobs'!$B$2:$B$154</xm:f>
          </x14:formula1>
          <xm:sqref>C2:C34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A0CB-640F-4710-95F7-88B9DF5AB3CA}">
  <sheetPr codeName="Sheet17"/>
  <dimension ref="A1:W42"/>
  <sheetViews>
    <sheetView topLeftCell="B1" zoomScale="125" zoomScaleNormal="125" workbookViewId="0">
      <selection activeCell="C12" sqref="C1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IF(B2="","",TRANSPOSE(_xlfn._xlws.FILTER(_xlfn.UNIQUE(A2:A206), _xlfn.UNIQUE(A2:A206)&lt;&gt;"")))</f>
        <v>45719</v>
      </c>
      <c r="P1" s="63">
        <v>45720</v>
      </c>
      <c r="Q1" s="63">
        <v>45721</v>
      </c>
      <c r="R1" s="63">
        <v>45722</v>
      </c>
      <c r="S1" s="63">
        <v>45723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45719</v>
      </c>
      <c r="B2" s="15" t="s">
        <v>350</v>
      </c>
      <c r="C2" s="16" t="s">
        <v>93</v>
      </c>
      <c r="D2" s="5">
        <v>0.35416666666666669</v>
      </c>
      <c r="E2" s="5">
        <v>0.45833333333333331</v>
      </c>
      <c r="F2" s="6" t="str">
        <f t="shared" ref="F2:F34" si="0">IF(E2="","","No")</f>
        <v>No</v>
      </c>
      <c r="G2" s="6">
        <f>IF(E2="","",IF(F2="Yes",(E2-D2)-TIME(0,30,0),E2-D2))</f>
        <v>0.10416666666666663</v>
      </c>
      <c r="H2" s="50">
        <v>230</v>
      </c>
      <c r="I2" s="8">
        <f>IF(F2="Yes",(E2-D2)*24-0.5,IF(F2="No",(E2-D2)*24,""))</f>
        <v>2.4999999999999991</v>
      </c>
      <c r="J2" s="50">
        <f>IF(G2="","",G2*24*HourlyRate*2*(1+Super))</f>
        <v>167.75174999999993</v>
      </c>
      <c r="K2" s="50">
        <f t="shared" ref="K2:K34" si="1">IF(H2="","",IF(E2="","",IF(J2=0,0,H2-J2)))</f>
        <v>62.24825000000007</v>
      </c>
      <c r="L2" s="9">
        <f>IF(K2="","",IF(H2=0,1,J2/H2))</f>
        <v>0.72935543478260845</v>
      </c>
      <c r="M2" s="16">
        <v>1</v>
      </c>
      <c r="N2" s="41" t="str" cm="1">
        <f t="array" ref="N2:N5">IF(B2="","",_xlfn.UNIQUE(TRANSPOSE(_xlfn.TEXTSPLIT(_xlfn.TEXTJOIN(" &amp; ", TRUE, TRIM(B2:B206)), " &amp; "))))</f>
        <v>Aoife O'Gorman</v>
      </c>
      <c r="O2" s="23">
        <f t="shared" ref="O2:S11" si="2">IF(N2="","",ROUND(SUMIFS($I:$I,$A:$A,O$1,$B:$B,"*"&amp;$N2&amp;"*"),2))</f>
        <v>6.67</v>
      </c>
      <c r="P2" s="23">
        <f t="shared" si="2"/>
        <v>8.5</v>
      </c>
      <c r="Q2" s="23">
        <f t="shared" si="2"/>
        <v>6.42</v>
      </c>
      <c r="R2" s="23">
        <f t="shared" si="2"/>
        <v>5.92</v>
      </c>
      <c r="S2" s="23">
        <f t="shared" si="2"/>
        <v>6.5</v>
      </c>
      <c r="T2" s="10">
        <f t="shared" ref="T2:T42" si="3">IF(N2="","",SUM(O2:S2))</f>
        <v>34.01</v>
      </c>
      <c r="U2" s="24"/>
      <c r="V2" s="24">
        <f>IF(N2="","",T2*HourlyRate)</f>
        <v>1023.3608999999999</v>
      </c>
      <c r="W2" s="25">
        <f>IF(N2="","",V2*Super)</f>
        <v>117.6865035</v>
      </c>
    </row>
    <row r="3" spans="1:23" ht="25" customHeight="1">
      <c r="A3" s="37">
        <v>45719</v>
      </c>
      <c r="B3" s="15" t="s">
        <v>350</v>
      </c>
      <c r="C3" s="16" t="s">
        <v>50</v>
      </c>
      <c r="D3" s="5">
        <v>0.45833333333333331</v>
      </c>
      <c r="E3" s="5">
        <v>0.57291666666666663</v>
      </c>
      <c r="F3" s="6" t="s">
        <v>17</v>
      </c>
      <c r="G3" s="6">
        <f t="shared" ref="G3:G34" si="4">IF(E3="","",IF(F3="Yes",(E3-D3)-TIME(0,30,0),E3-D3))</f>
        <v>9.3749999999999986E-2</v>
      </c>
      <c r="H3" s="50">
        <f>_xlfn.IFNA(VLOOKUP(C:C,'Active Jobs'!B:K,8,0),"")</f>
        <v>250</v>
      </c>
      <c r="I3" s="8">
        <f t="shared" ref="I3:I34" si="5">IF(F3="Yes",(E3-D3)*24-0.5,IF(F3="No",(E3-D3)*24,""))</f>
        <v>2.2499999999999996</v>
      </c>
      <c r="J3" s="50">
        <f t="shared" ref="J3:J34" si="6">IF(G3="","",G3*24*HourlyRate*2*(1+Super))</f>
        <v>150.97657499999997</v>
      </c>
      <c r="K3" s="50">
        <f t="shared" si="1"/>
        <v>99.023425000000032</v>
      </c>
      <c r="L3" s="9">
        <f t="shared" ref="L3:L34" si="7">IF(K3="","",IF(H3=0,1,J3/H3))</f>
        <v>0.6039062999999999</v>
      </c>
      <c r="M3" s="16">
        <v>1</v>
      </c>
      <c r="N3" s="42" t="str">
        <v>Rose Bliszczak</v>
      </c>
      <c r="O3" s="23">
        <f t="shared" si="2"/>
        <v>6.67</v>
      </c>
      <c r="P3" s="23">
        <f t="shared" si="2"/>
        <v>8.5</v>
      </c>
      <c r="Q3" s="23">
        <f t="shared" si="2"/>
        <v>6.42</v>
      </c>
      <c r="R3" s="23">
        <f t="shared" si="2"/>
        <v>5.92</v>
      </c>
      <c r="S3" s="23">
        <f t="shared" si="2"/>
        <v>6.5</v>
      </c>
      <c r="T3" s="10">
        <f t="shared" si="3"/>
        <v>34.01</v>
      </c>
      <c r="U3" s="21"/>
      <c r="V3" s="24">
        <f>IF(N3="","",T3*HourlyRate)</f>
        <v>1023.3608999999999</v>
      </c>
      <c r="W3" s="25">
        <f>IF(N3="","",V3*Super)</f>
        <v>117.6865035</v>
      </c>
    </row>
    <row r="4" spans="1:23" ht="25" customHeight="1">
      <c r="A4" s="37">
        <v>45719</v>
      </c>
      <c r="B4" s="15" t="s">
        <v>350</v>
      </c>
      <c r="C4" s="16" t="s">
        <v>49</v>
      </c>
      <c r="D4" s="5">
        <v>0.57291666666666663</v>
      </c>
      <c r="E4" s="5">
        <v>0.65277777777777779</v>
      </c>
      <c r="F4" s="6" t="str">
        <f t="shared" si="0"/>
        <v>No</v>
      </c>
      <c r="G4" s="6">
        <f t="shared" si="4"/>
        <v>7.986111111111116E-2</v>
      </c>
      <c r="H4" s="50">
        <f>_xlfn.IFNA(VLOOKUP(C:C,'Active Jobs'!B:K,8,0),"")</f>
        <v>240</v>
      </c>
      <c r="I4" s="8">
        <f t="shared" si="5"/>
        <v>1.9166666666666679</v>
      </c>
      <c r="J4" s="50">
        <f t="shared" si="6"/>
        <v>128.60967500000007</v>
      </c>
      <c r="K4" s="50">
        <f t="shared" si="1"/>
        <v>111.39032499999993</v>
      </c>
      <c r="L4" s="9">
        <f t="shared" si="7"/>
        <v>0.53587364583333363</v>
      </c>
      <c r="M4" s="16">
        <v>1</v>
      </c>
      <c r="N4" s="42" t="str">
        <v>Orla Shelly</v>
      </c>
      <c r="O4" s="23">
        <f t="shared" si="2"/>
        <v>6.67</v>
      </c>
      <c r="P4" s="23">
        <f t="shared" si="2"/>
        <v>9.83</v>
      </c>
      <c r="Q4" s="23">
        <f t="shared" si="2"/>
        <v>6.25</v>
      </c>
      <c r="R4" s="23">
        <f t="shared" si="2"/>
        <v>6.17</v>
      </c>
      <c r="S4" s="23">
        <f t="shared" si="2"/>
        <v>7.75</v>
      </c>
      <c r="T4" s="10">
        <f t="shared" si="3"/>
        <v>36.67</v>
      </c>
      <c r="U4" s="21"/>
      <c r="V4" s="24">
        <f>IF(N4="","",T4*HourlyRate)</f>
        <v>1103.4003</v>
      </c>
      <c r="W4" s="25">
        <f>IF(N4="","",V4*Super)</f>
        <v>126.8910345</v>
      </c>
    </row>
    <row r="5" spans="1:23" ht="25" customHeight="1">
      <c r="A5" s="37">
        <v>45719</v>
      </c>
      <c r="B5" s="15" t="s">
        <v>84</v>
      </c>
      <c r="C5" s="16" t="s">
        <v>93</v>
      </c>
      <c r="D5" s="5">
        <v>0.35416666666666669</v>
      </c>
      <c r="E5" s="5">
        <v>0.45833333333333331</v>
      </c>
      <c r="F5" s="6" t="str">
        <f t="shared" ref="F5" si="8">IF(E5="","","No")</f>
        <v>No</v>
      </c>
      <c r="G5" s="6">
        <f>IF(E5="","",IF(F5="Yes",(E5-D5)-TIME(0,30,0),E5-D5))</f>
        <v>0.10416666666666663</v>
      </c>
      <c r="H5" s="50">
        <v>230</v>
      </c>
      <c r="I5" s="8">
        <f>IF(F5="Yes",(E5-D5)*24-0.5,IF(F5="No",(E5-D5)*24,""))</f>
        <v>2.4999999999999991</v>
      </c>
      <c r="J5" s="50">
        <f>IF(G5="","",G5*24*HourlyRate*2*(1+Super))</f>
        <v>167.75174999999993</v>
      </c>
      <c r="K5" s="50">
        <f t="shared" ref="K5:K7" si="9">IF(H5="","",IF(E5="","",IF(J5=0,0,H5-J5)))</f>
        <v>62.24825000000007</v>
      </c>
      <c r="L5" s="9">
        <f>IF(K5="","",IF(H5=0,1,J5/H5))</f>
        <v>0.72935543478260845</v>
      </c>
      <c r="N5" s="42" t="str">
        <v>Julie Roccati</v>
      </c>
      <c r="O5" s="23">
        <f t="shared" si="2"/>
        <v>0</v>
      </c>
      <c r="P5" s="23">
        <f t="shared" si="2"/>
        <v>9.83</v>
      </c>
      <c r="Q5" s="23">
        <f t="shared" si="2"/>
        <v>6.25</v>
      </c>
      <c r="R5" s="23">
        <f t="shared" si="2"/>
        <v>6.17</v>
      </c>
      <c r="S5" s="23">
        <f t="shared" si="2"/>
        <v>7.75</v>
      </c>
      <c r="T5" s="10">
        <f t="shared" si="3"/>
        <v>30</v>
      </c>
      <c r="U5" s="21"/>
      <c r="V5" s="24">
        <f>IF(N5="","",T5*HourlyRate)</f>
        <v>902.7</v>
      </c>
      <c r="W5" s="25">
        <f>IF(N5="","",V5*Super)</f>
        <v>103.8105</v>
      </c>
    </row>
    <row r="6" spans="1:23" ht="25" customHeight="1">
      <c r="A6" s="37">
        <v>45719</v>
      </c>
      <c r="B6" s="15" t="s">
        <v>84</v>
      </c>
      <c r="C6" s="16" t="s">
        <v>50</v>
      </c>
      <c r="D6" s="5">
        <v>0.45833333333333331</v>
      </c>
      <c r="E6" s="5">
        <v>0.57291666666666663</v>
      </c>
      <c r="F6" s="6" t="s">
        <v>17</v>
      </c>
      <c r="G6" s="6">
        <f t="shared" ref="G6:G7" si="10">IF(E6="","",IF(F6="Yes",(E6-D6)-TIME(0,30,0),E6-D6))</f>
        <v>9.3749999999999986E-2</v>
      </c>
      <c r="H6" s="50">
        <f>_xlfn.IFNA(VLOOKUP(C:C,'Active Jobs'!B:K,8,0),"")</f>
        <v>250</v>
      </c>
      <c r="I6" s="8">
        <f t="shared" ref="I6:I7" si="11">IF(F6="Yes",(E6-D6)*24-0.5,IF(F6="No",(E6-D6)*24,""))</f>
        <v>2.2499999999999996</v>
      </c>
      <c r="J6" s="50">
        <f t="shared" ref="J6:J7" si="12">IF(G6="","",G6*24*HourlyRate*2*(1+Super))</f>
        <v>150.97657499999997</v>
      </c>
      <c r="K6" s="50">
        <f t="shared" si="9"/>
        <v>99.023425000000032</v>
      </c>
      <c r="L6" s="9">
        <f t="shared" ref="L6:L7" si="13">IF(K6="","",IF(H6=0,1,J6/H6))</f>
        <v>0.6039062999999999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45719</v>
      </c>
      <c r="B7" s="15" t="s">
        <v>84</v>
      </c>
      <c r="C7" s="16" t="s">
        <v>49</v>
      </c>
      <c r="D7" s="5">
        <v>0.57291666666666663</v>
      </c>
      <c r="E7" s="5">
        <v>0.65277777777777779</v>
      </c>
      <c r="F7" s="6" t="str">
        <f t="shared" ref="F7" si="14">IF(E7="","","No")</f>
        <v>No</v>
      </c>
      <c r="G7" s="6">
        <f t="shared" si="10"/>
        <v>7.986111111111116E-2</v>
      </c>
      <c r="H7" s="50">
        <f>_xlfn.IFNA(VLOOKUP(C:C,'Active Jobs'!B:K,8,0),"")</f>
        <v>240</v>
      </c>
      <c r="I7" s="8">
        <f t="shared" si="11"/>
        <v>1.9166666666666679</v>
      </c>
      <c r="J7" s="50">
        <f t="shared" si="12"/>
        <v>128.60967500000007</v>
      </c>
      <c r="K7" s="50">
        <f t="shared" si="9"/>
        <v>111.39032499999993</v>
      </c>
      <c r="L7" s="9">
        <f t="shared" si="13"/>
        <v>0.53587364583333363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4052.8220999999994</v>
      </c>
      <c r="W7" s="26">
        <f>SUM(W2:W5)</f>
        <v>466.07454150000001</v>
      </c>
    </row>
    <row r="8" spans="1:23" ht="25" customHeight="1">
      <c r="A8" s="37">
        <v>45720</v>
      </c>
      <c r="B8" s="15" t="s">
        <v>339</v>
      </c>
      <c r="C8" s="16" t="s">
        <v>102</v>
      </c>
      <c r="D8" s="5">
        <v>0.3611111111111111</v>
      </c>
      <c r="E8" s="5">
        <v>0.79166666666666663</v>
      </c>
      <c r="F8" s="6" t="s">
        <v>17</v>
      </c>
      <c r="G8" s="6">
        <f t="shared" si="4"/>
        <v>0.40972222222222221</v>
      </c>
      <c r="H8" s="50">
        <v>895</v>
      </c>
      <c r="I8" s="8">
        <f t="shared" si="5"/>
        <v>9.8333333333333321</v>
      </c>
      <c r="J8" s="50">
        <f t="shared" si="6"/>
        <v>659.82354999999995</v>
      </c>
      <c r="K8" s="50">
        <f t="shared" si="1"/>
        <v>235.17645000000005</v>
      </c>
      <c r="L8" s="9">
        <f t="shared" si="7"/>
        <v>0.73723301675977648</v>
      </c>
      <c r="M8" s="16">
        <v>2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7">
        <v>45720</v>
      </c>
      <c r="B9" s="15" t="s">
        <v>350</v>
      </c>
      <c r="C9" s="16" t="s">
        <v>19</v>
      </c>
      <c r="D9" s="5">
        <v>0.35416666666666669</v>
      </c>
      <c r="E9" s="5">
        <v>0.45833333333333331</v>
      </c>
      <c r="F9" s="6" t="str">
        <f t="shared" si="0"/>
        <v>No</v>
      </c>
      <c r="G9" s="6">
        <f t="shared" si="4"/>
        <v>0.10416666666666663</v>
      </c>
      <c r="H9" s="50">
        <f>_xlfn.IFNA(VLOOKUP(C:C,'Active Jobs'!B:K,8,0),"")</f>
        <v>250</v>
      </c>
      <c r="I9" s="8">
        <f t="shared" si="5"/>
        <v>2.4999999999999991</v>
      </c>
      <c r="J9" s="50">
        <f t="shared" si="6"/>
        <v>167.75174999999993</v>
      </c>
      <c r="K9" s="50">
        <f t="shared" si="1"/>
        <v>82.24825000000007</v>
      </c>
      <c r="L9" s="9">
        <f t="shared" si="7"/>
        <v>0.67100699999999969</v>
      </c>
      <c r="M9" s="16">
        <v>1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/>
      <c r="W9" s="25"/>
    </row>
    <row r="10" spans="1:23" ht="25" customHeight="1">
      <c r="A10" s="37">
        <v>45720</v>
      </c>
      <c r="B10" s="15" t="s">
        <v>350</v>
      </c>
      <c r="C10" s="16" t="s">
        <v>31</v>
      </c>
      <c r="D10" s="5">
        <v>0.45833333333333331</v>
      </c>
      <c r="E10" s="5">
        <v>0.5625</v>
      </c>
      <c r="F10" s="6" t="s">
        <v>17</v>
      </c>
      <c r="G10" s="6">
        <f t="shared" si="4"/>
        <v>8.3333333333333356E-2</v>
      </c>
      <c r="H10" s="50">
        <f>_xlfn.IFNA(VLOOKUP(C:C,'Active Jobs'!B:K,8,0),"")</f>
        <v>220</v>
      </c>
      <c r="I10" s="8">
        <f t="shared" si="5"/>
        <v>2.0000000000000004</v>
      </c>
      <c r="J10" s="50">
        <f t="shared" si="6"/>
        <v>134.20140000000004</v>
      </c>
      <c r="K10" s="50">
        <f t="shared" si="1"/>
        <v>85.798599999999965</v>
      </c>
      <c r="L10" s="9">
        <f t="shared" si="7"/>
        <v>0.61000636363636385</v>
      </c>
      <c r="M10" s="16">
        <v>1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7">
        <v>45720</v>
      </c>
      <c r="B11" s="15" t="s">
        <v>350</v>
      </c>
      <c r="C11" s="49" t="s">
        <v>45</v>
      </c>
      <c r="D11" s="5">
        <v>0.5625</v>
      </c>
      <c r="E11" s="5">
        <v>0.64583333333333337</v>
      </c>
      <c r="F11" s="6" t="str">
        <f t="shared" si="0"/>
        <v>No</v>
      </c>
      <c r="G11" s="6">
        <f t="shared" si="4"/>
        <v>8.333333333333337E-2</v>
      </c>
      <c r="H11" s="50">
        <f>_xlfn.IFNA(VLOOKUP(C:C,'Active Jobs'!B:K,8,0),"")</f>
        <v>275</v>
      </c>
      <c r="I11" s="8">
        <f t="shared" si="5"/>
        <v>2.0000000000000009</v>
      </c>
      <c r="J11" s="50">
        <f t="shared" si="6"/>
        <v>134.20140000000006</v>
      </c>
      <c r="K11" s="50">
        <f t="shared" si="1"/>
        <v>140.79859999999994</v>
      </c>
      <c r="L11" s="9">
        <f t="shared" si="7"/>
        <v>0.48800509090909117</v>
      </c>
      <c r="M11" s="16">
        <v>1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7">
        <v>45720</v>
      </c>
      <c r="B12" s="15" t="s">
        <v>350</v>
      </c>
      <c r="C12" s="16" t="s">
        <v>175</v>
      </c>
      <c r="D12" s="5">
        <v>0.64583333333333337</v>
      </c>
      <c r="E12" s="5">
        <v>0.72916666666666663</v>
      </c>
      <c r="F12" s="6" t="str">
        <f t="shared" si="0"/>
        <v>No</v>
      </c>
      <c r="G12" s="6">
        <f t="shared" si="4"/>
        <v>8.3333333333333259E-2</v>
      </c>
      <c r="H12" s="50">
        <f>_xlfn.IFNA(VLOOKUP(C:C,'Active Jobs'!B:K,8,0),"")</f>
        <v>275</v>
      </c>
      <c r="I12" s="8">
        <f t="shared" si="5"/>
        <v>1.9999999999999982</v>
      </c>
      <c r="J12" s="50">
        <f t="shared" si="6"/>
        <v>134.20139999999986</v>
      </c>
      <c r="K12" s="50">
        <f t="shared" si="1"/>
        <v>140.79860000000014</v>
      </c>
      <c r="L12" s="9">
        <f t="shared" si="7"/>
        <v>0.48800509090909044</v>
      </c>
      <c r="M12" s="16">
        <v>1</v>
      </c>
      <c r="O12" s="23" t="str">
        <f t="shared" ref="O12:S21" si="15">IF(N12="","",ROUND(SUMIFS($I:$I,$A:$A,O$1,$B:$B,"*"&amp;$N12&amp;"*"),2))</f>
        <v/>
      </c>
      <c r="P12" s="23" t="str">
        <f t="shared" si="15"/>
        <v/>
      </c>
      <c r="Q12" s="23" t="str">
        <f t="shared" si="15"/>
        <v/>
      </c>
      <c r="R12" s="23" t="str">
        <f t="shared" si="15"/>
        <v/>
      </c>
      <c r="S12" s="23" t="str">
        <f t="shared" si="15"/>
        <v/>
      </c>
      <c r="T12" s="10" t="str">
        <f t="shared" si="3"/>
        <v/>
      </c>
    </row>
    <row r="13" spans="1:23" ht="25" customHeight="1">
      <c r="A13" s="38">
        <v>45721</v>
      </c>
      <c r="B13" s="15" t="s">
        <v>339</v>
      </c>
      <c r="C13" s="16" t="s">
        <v>23</v>
      </c>
      <c r="D13" s="5">
        <v>0.35416666666666669</v>
      </c>
      <c r="E13" s="5">
        <v>0.48958333333333331</v>
      </c>
      <c r="F13" s="6" t="str">
        <f t="shared" si="0"/>
        <v>No</v>
      </c>
      <c r="G13" s="6">
        <f t="shared" si="4"/>
        <v>0.13541666666666663</v>
      </c>
      <c r="H13" s="50">
        <f>_xlfn.IFNA(VLOOKUP(C:C,'Active Jobs'!B:K,8,0),"")</f>
        <v>380</v>
      </c>
      <c r="I13" s="8">
        <f t="shared" si="5"/>
        <v>3.2499999999999991</v>
      </c>
      <c r="J13" s="50">
        <f t="shared" si="6"/>
        <v>218.07727499999996</v>
      </c>
      <c r="K13" s="50">
        <f t="shared" si="1"/>
        <v>161.92272500000004</v>
      </c>
      <c r="L13" s="9">
        <f t="shared" si="7"/>
        <v>0.57388756578947353</v>
      </c>
      <c r="M13" s="16">
        <v>2</v>
      </c>
      <c r="O13" s="23" t="str">
        <f t="shared" si="15"/>
        <v/>
      </c>
      <c r="P13" s="23" t="str">
        <f t="shared" si="15"/>
        <v/>
      </c>
      <c r="Q13" s="23" t="str">
        <f t="shared" si="15"/>
        <v/>
      </c>
      <c r="R13" s="23" t="str">
        <f t="shared" si="15"/>
        <v/>
      </c>
      <c r="S13" s="23" t="str">
        <f t="shared" si="15"/>
        <v/>
      </c>
      <c r="T13" s="10" t="str">
        <f t="shared" si="3"/>
        <v/>
      </c>
    </row>
    <row r="14" spans="1:23" ht="25" customHeight="1">
      <c r="A14" s="38">
        <v>45721</v>
      </c>
      <c r="B14" s="15" t="s">
        <v>339</v>
      </c>
      <c r="C14" s="16" t="s">
        <v>25</v>
      </c>
      <c r="D14" s="5">
        <v>0.5</v>
      </c>
      <c r="E14" s="5">
        <v>0.60416666666666663</v>
      </c>
      <c r="F14" s="6" t="s">
        <v>17</v>
      </c>
      <c r="G14" s="6">
        <f t="shared" si="4"/>
        <v>8.3333333333333301E-2</v>
      </c>
      <c r="H14" s="50">
        <f>_xlfn.IFNA(VLOOKUP(C:C,'Active Jobs'!B:K,8,0),"")</f>
        <v>220</v>
      </c>
      <c r="I14" s="8">
        <f t="shared" si="5"/>
        <v>1.9999999999999991</v>
      </c>
      <c r="J14" s="50">
        <f t="shared" si="6"/>
        <v>134.20139999999992</v>
      </c>
      <c r="K14" s="50">
        <f t="shared" si="1"/>
        <v>85.798600000000079</v>
      </c>
      <c r="L14" s="9">
        <f t="shared" si="7"/>
        <v>0.61000636363636329</v>
      </c>
      <c r="M14" s="16">
        <v>2</v>
      </c>
      <c r="O14" s="23" t="str">
        <f t="shared" si="15"/>
        <v/>
      </c>
      <c r="P14" s="23" t="str">
        <f t="shared" si="15"/>
        <v/>
      </c>
      <c r="Q14" s="23" t="str">
        <f t="shared" si="15"/>
        <v/>
      </c>
      <c r="R14" s="23" t="str">
        <f t="shared" si="15"/>
        <v/>
      </c>
      <c r="S14" s="23" t="str">
        <f t="shared" si="15"/>
        <v/>
      </c>
      <c r="T14" s="10" t="str">
        <f t="shared" si="3"/>
        <v/>
      </c>
    </row>
    <row r="15" spans="1:23" ht="25" customHeight="1">
      <c r="A15" s="38">
        <v>45721</v>
      </c>
      <c r="B15" s="15" t="s">
        <v>339</v>
      </c>
      <c r="C15" s="16" t="s">
        <v>153</v>
      </c>
      <c r="D15" s="5">
        <v>0.60416666666666663</v>
      </c>
      <c r="E15" s="5">
        <v>0.64583333333333337</v>
      </c>
      <c r="F15" s="6" t="str">
        <f t="shared" si="0"/>
        <v>No</v>
      </c>
      <c r="G15" s="6">
        <f t="shared" si="4"/>
        <v>4.1666666666666741E-2</v>
      </c>
      <c r="H15" s="50">
        <f>_xlfn.IFNA(VLOOKUP(C:C,'Active Jobs'!B:K,8,0),"")</f>
        <v>150</v>
      </c>
      <c r="I15" s="8">
        <f t="shared" si="5"/>
        <v>1.0000000000000018</v>
      </c>
      <c r="J15" s="50">
        <f t="shared" si="6"/>
        <v>67.100700000000117</v>
      </c>
      <c r="K15" s="50">
        <f t="shared" si="1"/>
        <v>82.899299999999883</v>
      </c>
      <c r="L15" s="9">
        <f t="shared" si="7"/>
        <v>0.44733800000000079</v>
      </c>
      <c r="M15" s="16">
        <v>2</v>
      </c>
      <c r="O15" s="23" t="str">
        <f t="shared" si="15"/>
        <v/>
      </c>
      <c r="P15" s="23" t="str">
        <f t="shared" si="15"/>
        <v/>
      </c>
      <c r="Q15" s="23" t="str">
        <f t="shared" si="15"/>
        <v/>
      </c>
      <c r="R15" s="23" t="str">
        <f t="shared" si="15"/>
        <v/>
      </c>
      <c r="S15" s="23" t="str">
        <f t="shared" si="15"/>
        <v/>
      </c>
      <c r="T15" s="74" t="str">
        <f t="shared" si="3"/>
        <v/>
      </c>
    </row>
    <row r="16" spans="1:23" ht="25" customHeight="1">
      <c r="A16" s="38">
        <v>45721</v>
      </c>
      <c r="B16" s="15" t="s">
        <v>350</v>
      </c>
      <c r="C16" s="16" t="s">
        <v>139</v>
      </c>
      <c r="D16" s="5">
        <v>0.35416666666666669</v>
      </c>
      <c r="E16" s="5">
        <v>0.44444444444444442</v>
      </c>
      <c r="F16" s="6" t="str">
        <f t="shared" si="0"/>
        <v>No</v>
      </c>
      <c r="G16" s="6">
        <f t="shared" si="4"/>
        <v>9.0277777777777735E-2</v>
      </c>
      <c r="H16" s="50">
        <f>_xlfn.IFNA(VLOOKUP(C:C,'Active Jobs'!B:K,8,0),"")</f>
        <v>200</v>
      </c>
      <c r="I16" s="8">
        <f t="shared" si="5"/>
        <v>2.1666666666666656</v>
      </c>
      <c r="J16" s="50">
        <f t="shared" si="6"/>
        <v>145.38484999999991</v>
      </c>
      <c r="K16" s="50">
        <f t="shared" si="1"/>
        <v>54.615150000000085</v>
      </c>
      <c r="L16" s="9">
        <f t="shared" si="7"/>
        <v>0.72692424999999961</v>
      </c>
      <c r="M16" s="16">
        <v>1</v>
      </c>
      <c r="O16" s="23" t="str">
        <f t="shared" si="15"/>
        <v/>
      </c>
      <c r="P16" s="23" t="str">
        <f t="shared" si="15"/>
        <v/>
      </c>
      <c r="Q16" s="23" t="str">
        <f t="shared" si="15"/>
        <v/>
      </c>
      <c r="R16" s="23" t="str">
        <f t="shared" si="15"/>
        <v/>
      </c>
      <c r="S16" s="23" t="str">
        <f t="shared" si="15"/>
        <v/>
      </c>
      <c r="T16" s="74" t="str">
        <f t="shared" si="3"/>
        <v/>
      </c>
    </row>
    <row r="17" spans="1:20" ht="25" customHeight="1">
      <c r="A17" s="38">
        <v>45721</v>
      </c>
      <c r="B17" s="15" t="s">
        <v>350</v>
      </c>
      <c r="C17" s="16" t="s">
        <v>104</v>
      </c>
      <c r="D17" s="5">
        <v>0.44791666666666669</v>
      </c>
      <c r="E17" s="5">
        <v>0.52083333333333337</v>
      </c>
      <c r="F17" s="6" t="str">
        <f t="shared" si="0"/>
        <v>No</v>
      </c>
      <c r="G17" s="6">
        <f t="shared" si="4"/>
        <v>7.2916666666666685E-2</v>
      </c>
      <c r="H17" s="50">
        <f>_xlfn.IFNA(VLOOKUP(C:C,'Active Jobs'!B:K,8,0),"")</f>
        <v>250</v>
      </c>
      <c r="I17" s="8">
        <f t="shared" si="5"/>
        <v>1.7500000000000004</v>
      </c>
      <c r="J17" s="50">
        <f t="shared" si="6"/>
        <v>117.42622500000003</v>
      </c>
      <c r="K17" s="50">
        <f t="shared" si="1"/>
        <v>132.57377499999996</v>
      </c>
      <c r="L17" s="9">
        <f t="shared" si="7"/>
        <v>0.46970490000000015</v>
      </c>
      <c r="M17" s="16">
        <v>1</v>
      </c>
      <c r="O17" s="23" t="str">
        <f t="shared" si="15"/>
        <v/>
      </c>
      <c r="P17" s="23" t="str">
        <f t="shared" si="15"/>
        <v/>
      </c>
      <c r="Q17" s="23" t="str">
        <f t="shared" si="15"/>
        <v/>
      </c>
      <c r="R17" s="23" t="str">
        <f t="shared" si="15"/>
        <v/>
      </c>
      <c r="S17" s="23" t="str">
        <f t="shared" si="15"/>
        <v/>
      </c>
      <c r="T17" s="10" t="str">
        <f t="shared" si="3"/>
        <v/>
      </c>
    </row>
    <row r="18" spans="1:20" ht="25" customHeight="1">
      <c r="A18" s="38">
        <v>45721</v>
      </c>
      <c r="B18" s="15" t="s">
        <v>350</v>
      </c>
      <c r="C18" s="16" t="s">
        <v>34</v>
      </c>
      <c r="D18" s="5">
        <v>0.52083333333333337</v>
      </c>
      <c r="E18" s="5">
        <v>0.61458333333333337</v>
      </c>
      <c r="F18" s="6" t="s">
        <v>17</v>
      </c>
      <c r="G18" s="6">
        <f t="shared" si="4"/>
        <v>7.2916666666666671E-2</v>
      </c>
      <c r="H18" s="50">
        <f>_xlfn.IFNA(VLOOKUP(C:C,'Active Jobs'!B:K,8,0),"")</f>
        <v>250</v>
      </c>
      <c r="I18" s="8">
        <f t="shared" si="5"/>
        <v>1.75</v>
      </c>
      <c r="J18" s="50">
        <f t="shared" si="6"/>
        <v>117.426225</v>
      </c>
      <c r="K18" s="50">
        <f t="shared" si="1"/>
        <v>132.57377500000001</v>
      </c>
      <c r="L18" s="9">
        <f t="shared" si="7"/>
        <v>0.46970490000000004</v>
      </c>
      <c r="M18" s="16">
        <v>1</v>
      </c>
      <c r="O18" s="23" t="str">
        <f t="shared" si="15"/>
        <v/>
      </c>
      <c r="P18" s="23" t="str">
        <f t="shared" si="15"/>
        <v/>
      </c>
      <c r="Q18" s="23" t="str">
        <f t="shared" si="15"/>
        <v/>
      </c>
      <c r="R18" s="23" t="str">
        <f t="shared" si="15"/>
        <v/>
      </c>
      <c r="S18" s="23" t="str">
        <f t="shared" si="15"/>
        <v/>
      </c>
      <c r="T18" s="74" t="str">
        <f t="shared" si="3"/>
        <v/>
      </c>
    </row>
    <row r="19" spans="1:20" ht="25" customHeight="1">
      <c r="A19" s="38">
        <v>45721</v>
      </c>
      <c r="B19" s="15" t="s">
        <v>350</v>
      </c>
      <c r="C19" s="16" t="s">
        <v>21</v>
      </c>
      <c r="D19" s="5">
        <v>0.61458333333333337</v>
      </c>
      <c r="E19" s="5">
        <v>0.64583333333333337</v>
      </c>
      <c r="F19" s="6" t="str">
        <f t="shared" si="0"/>
        <v>No</v>
      </c>
      <c r="G19" s="6">
        <f t="shared" si="4"/>
        <v>3.125E-2</v>
      </c>
      <c r="H19" s="50">
        <v>0</v>
      </c>
      <c r="I19" s="8">
        <f t="shared" si="5"/>
        <v>0.75</v>
      </c>
      <c r="J19" s="50">
        <f t="shared" si="6"/>
        <v>50.325524999999999</v>
      </c>
      <c r="K19" s="50">
        <f t="shared" si="1"/>
        <v>-50.325524999999999</v>
      </c>
      <c r="L19" s="9">
        <f t="shared" si="7"/>
        <v>1</v>
      </c>
      <c r="M19" s="16">
        <v>1</v>
      </c>
      <c r="O19" s="23" t="str">
        <f t="shared" si="15"/>
        <v/>
      </c>
      <c r="P19" s="23" t="str">
        <f t="shared" si="15"/>
        <v/>
      </c>
      <c r="Q19" s="23" t="str">
        <f t="shared" si="15"/>
        <v/>
      </c>
      <c r="R19" s="23" t="str">
        <f t="shared" si="15"/>
        <v/>
      </c>
      <c r="S19" s="23" t="str">
        <f t="shared" si="15"/>
        <v/>
      </c>
      <c r="T19" s="74" t="str">
        <f t="shared" si="3"/>
        <v/>
      </c>
    </row>
    <row r="20" spans="1:20" ht="25" customHeight="1">
      <c r="A20" s="38">
        <v>45722</v>
      </c>
      <c r="B20" s="15" t="s">
        <v>350</v>
      </c>
      <c r="C20" s="16" t="s">
        <v>112</v>
      </c>
      <c r="D20" s="5">
        <v>0.35416666666666669</v>
      </c>
      <c r="E20" s="5">
        <v>0.44444444444444442</v>
      </c>
      <c r="F20" s="6" t="str">
        <f t="shared" si="0"/>
        <v>No</v>
      </c>
      <c r="G20" s="6">
        <f t="shared" si="4"/>
        <v>9.0277777777777735E-2</v>
      </c>
      <c r="H20" s="50">
        <f>_xlfn.IFNA(VLOOKUP(C:C,'Active Jobs'!B:K,8,0),"")</f>
        <v>200</v>
      </c>
      <c r="I20" s="8">
        <f t="shared" si="5"/>
        <v>2.1666666666666656</v>
      </c>
      <c r="J20" s="50">
        <f t="shared" si="6"/>
        <v>145.38484999999991</v>
      </c>
      <c r="K20" s="50">
        <f t="shared" si="1"/>
        <v>54.615150000000085</v>
      </c>
      <c r="L20" s="9">
        <f t="shared" si="7"/>
        <v>0.72692424999999961</v>
      </c>
      <c r="M20" s="16">
        <v>1</v>
      </c>
      <c r="O20" s="23" t="str">
        <f t="shared" si="15"/>
        <v/>
      </c>
      <c r="P20" s="23" t="str">
        <f t="shared" si="15"/>
        <v/>
      </c>
      <c r="Q20" s="23" t="str">
        <f t="shared" si="15"/>
        <v/>
      </c>
      <c r="R20" s="23" t="str">
        <f t="shared" si="15"/>
        <v/>
      </c>
      <c r="S20" s="23" t="str">
        <f t="shared" si="15"/>
        <v/>
      </c>
      <c r="T20" s="74" t="str">
        <f t="shared" si="3"/>
        <v/>
      </c>
    </row>
    <row r="21" spans="1:20" ht="25" customHeight="1">
      <c r="A21" s="38">
        <v>45722</v>
      </c>
      <c r="B21" s="15" t="s">
        <v>350</v>
      </c>
      <c r="C21" s="16" t="s">
        <v>113</v>
      </c>
      <c r="D21" s="5">
        <v>0.44791666666666669</v>
      </c>
      <c r="E21" s="5">
        <v>0.5625</v>
      </c>
      <c r="F21" s="6" t="s">
        <v>17</v>
      </c>
      <c r="G21" s="6">
        <f t="shared" si="4"/>
        <v>9.3749999999999986E-2</v>
      </c>
      <c r="H21" s="50">
        <f>_xlfn.IFNA(VLOOKUP(C:C,'Active Jobs'!B:K,8,0),"")</f>
        <v>230</v>
      </c>
      <c r="I21" s="8">
        <f t="shared" si="5"/>
        <v>2.2499999999999996</v>
      </c>
      <c r="J21" s="50">
        <f t="shared" si="6"/>
        <v>150.97657499999997</v>
      </c>
      <c r="K21" s="50">
        <f t="shared" si="1"/>
        <v>79.023425000000032</v>
      </c>
      <c r="L21" s="9">
        <f t="shared" si="7"/>
        <v>0.65641989130434764</v>
      </c>
      <c r="M21" s="16">
        <v>1</v>
      </c>
      <c r="O21" s="23" t="str">
        <f t="shared" si="15"/>
        <v/>
      </c>
      <c r="P21" s="23" t="str">
        <f t="shared" si="15"/>
        <v/>
      </c>
      <c r="Q21" s="23" t="str">
        <f t="shared" si="15"/>
        <v/>
      </c>
      <c r="R21" s="23" t="str">
        <f t="shared" si="15"/>
        <v/>
      </c>
      <c r="S21" s="23" t="str">
        <f t="shared" si="15"/>
        <v/>
      </c>
      <c r="T21" s="74" t="str">
        <f t="shared" si="3"/>
        <v/>
      </c>
    </row>
    <row r="22" spans="1:20" ht="25" customHeight="1">
      <c r="A22" s="38">
        <v>45722</v>
      </c>
      <c r="B22" s="15" t="s">
        <v>350</v>
      </c>
      <c r="C22" s="16" t="s">
        <v>166</v>
      </c>
      <c r="D22" s="5">
        <v>0.5625</v>
      </c>
      <c r="E22" s="5">
        <v>0.625</v>
      </c>
      <c r="F22" s="6" t="str">
        <f t="shared" si="0"/>
        <v>No</v>
      </c>
      <c r="G22" s="6">
        <f t="shared" si="4"/>
        <v>6.25E-2</v>
      </c>
      <c r="H22" s="50">
        <v>200</v>
      </c>
      <c r="I22" s="8">
        <f t="shared" si="5"/>
        <v>1.5</v>
      </c>
      <c r="J22" s="50">
        <f t="shared" si="6"/>
        <v>100.65105</v>
      </c>
      <c r="K22" s="50">
        <f t="shared" si="1"/>
        <v>99.348950000000002</v>
      </c>
      <c r="L22" s="9">
        <f t="shared" si="7"/>
        <v>0.50325525000000004</v>
      </c>
      <c r="M22" s="16">
        <v>1</v>
      </c>
      <c r="O22" s="23" t="str">
        <f t="shared" ref="O22:S31" si="16">IF(N22="","",ROUND(SUMIFS($I:$I,$A:$A,O$1,$B:$B,"*"&amp;$N22&amp;"*"),2))</f>
        <v/>
      </c>
      <c r="P22" s="23" t="str">
        <f t="shared" si="16"/>
        <v/>
      </c>
      <c r="Q22" s="23" t="str">
        <f t="shared" si="16"/>
        <v/>
      </c>
      <c r="R22" s="23" t="str">
        <f t="shared" si="16"/>
        <v/>
      </c>
      <c r="S22" s="23" t="str">
        <f t="shared" si="16"/>
        <v/>
      </c>
      <c r="T22" s="74" t="str">
        <f t="shared" si="3"/>
        <v/>
      </c>
    </row>
    <row r="23" spans="1:20" ht="25" customHeight="1">
      <c r="A23" s="38">
        <v>45722</v>
      </c>
      <c r="B23" s="15" t="s">
        <v>339</v>
      </c>
      <c r="C23" s="16" t="s">
        <v>123</v>
      </c>
      <c r="D23" s="5">
        <v>0.35416666666666669</v>
      </c>
      <c r="E23" s="5">
        <v>0.45833333333333331</v>
      </c>
      <c r="F23" s="6" t="str">
        <f t="shared" si="0"/>
        <v>No</v>
      </c>
      <c r="G23" s="62">
        <f t="shared" si="4"/>
        <v>0.10416666666666663</v>
      </c>
      <c r="H23" s="50">
        <f>_xlfn.IFNA(VLOOKUP(C:C,'Active Jobs'!B:K,8,0),"")</f>
        <v>220</v>
      </c>
      <c r="I23" s="8">
        <f t="shared" si="5"/>
        <v>2.4999999999999991</v>
      </c>
      <c r="J23" s="50">
        <f t="shared" si="6"/>
        <v>167.75174999999993</v>
      </c>
      <c r="K23" s="50">
        <f t="shared" si="1"/>
        <v>52.24825000000007</v>
      </c>
      <c r="L23" s="9">
        <f t="shared" si="7"/>
        <v>0.76250795454545428</v>
      </c>
      <c r="M23" s="16">
        <v>2</v>
      </c>
      <c r="O23" s="23" t="str">
        <f t="shared" si="16"/>
        <v/>
      </c>
      <c r="P23" s="23" t="str">
        <f t="shared" si="16"/>
        <v/>
      </c>
      <c r="Q23" s="23" t="str">
        <f t="shared" si="16"/>
        <v/>
      </c>
      <c r="R23" s="23" t="str">
        <f t="shared" si="16"/>
        <v/>
      </c>
      <c r="S23" s="23" t="str">
        <f t="shared" si="16"/>
        <v/>
      </c>
      <c r="T23" s="74" t="str">
        <f t="shared" si="3"/>
        <v/>
      </c>
    </row>
    <row r="24" spans="1:20" ht="25" customHeight="1">
      <c r="A24" s="38">
        <v>45722</v>
      </c>
      <c r="B24" s="15" t="s">
        <v>339</v>
      </c>
      <c r="C24" s="16" t="s">
        <v>28</v>
      </c>
      <c r="D24" s="5">
        <v>0.45833333333333331</v>
      </c>
      <c r="E24" s="5">
        <v>0.5625</v>
      </c>
      <c r="F24" s="6" t="s">
        <v>17</v>
      </c>
      <c r="G24" s="6">
        <f t="shared" si="4"/>
        <v>8.3333333333333356E-2</v>
      </c>
      <c r="H24" s="50">
        <f>_xlfn.IFNA(VLOOKUP(C:C,'Active Jobs'!B:K,8,0),"")</f>
        <v>200</v>
      </c>
      <c r="I24" s="8">
        <f t="shared" si="5"/>
        <v>2.0000000000000004</v>
      </c>
      <c r="J24" s="50">
        <f t="shared" si="6"/>
        <v>134.20140000000004</v>
      </c>
      <c r="K24" s="50">
        <f t="shared" si="1"/>
        <v>65.798599999999965</v>
      </c>
      <c r="L24" s="9">
        <f t="shared" si="7"/>
        <v>0.67100700000000013</v>
      </c>
      <c r="M24" s="16">
        <v>2</v>
      </c>
      <c r="O24" s="23" t="str">
        <f t="shared" si="16"/>
        <v/>
      </c>
      <c r="P24" s="23" t="str">
        <f t="shared" si="16"/>
        <v/>
      </c>
      <c r="Q24" s="23" t="str">
        <f t="shared" si="16"/>
        <v/>
      </c>
      <c r="R24" s="23" t="str">
        <f t="shared" si="16"/>
        <v/>
      </c>
      <c r="S24" s="23" t="str">
        <f t="shared" si="16"/>
        <v/>
      </c>
      <c r="T24" s="74" t="str">
        <f t="shared" si="3"/>
        <v/>
      </c>
    </row>
    <row r="25" spans="1:20" ht="25" customHeight="1">
      <c r="A25" s="38">
        <v>45722</v>
      </c>
      <c r="B25" s="15" t="s">
        <v>339</v>
      </c>
      <c r="C25" s="16" t="s">
        <v>38</v>
      </c>
      <c r="D25" s="5">
        <v>0.5625</v>
      </c>
      <c r="E25" s="5">
        <v>0.63194444444444442</v>
      </c>
      <c r="F25" s="6" t="str">
        <f t="shared" si="0"/>
        <v>No</v>
      </c>
      <c r="G25" s="6">
        <f t="shared" si="4"/>
        <v>6.944444444444442E-2</v>
      </c>
      <c r="H25" s="50">
        <f>_xlfn.IFNA(VLOOKUP(C:C,'Active Jobs'!B:K,8,0),"")</f>
        <v>200</v>
      </c>
      <c r="I25" s="8">
        <f t="shared" si="5"/>
        <v>1.6666666666666661</v>
      </c>
      <c r="J25" s="50">
        <f t="shared" si="6"/>
        <v>111.83449999999996</v>
      </c>
      <c r="K25" s="50">
        <f t="shared" si="1"/>
        <v>88.165500000000037</v>
      </c>
      <c r="L25" s="9">
        <f t="shared" si="7"/>
        <v>0.55917249999999985</v>
      </c>
      <c r="M25" s="16">
        <v>2</v>
      </c>
      <c r="O25" s="23" t="str">
        <f t="shared" si="16"/>
        <v/>
      </c>
      <c r="P25" s="23" t="str">
        <f t="shared" si="16"/>
        <v/>
      </c>
      <c r="Q25" s="23" t="str">
        <f t="shared" si="16"/>
        <v/>
      </c>
      <c r="R25" s="23" t="str">
        <f t="shared" si="16"/>
        <v/>
      </c>
      <c r="S25" s="23" t="str">
        <f t="shared" si="16"/>
        <v/>
      </c>
      <c r="T25" s="74" t="str">
        <f t="shared" si="3"/>
        <v/>
      </c>
    </row>
    <row r="26" spans="1:20" ht="25" customHeight="1">
      <c r="A26" s="38">
        <v>45723</v>
      </c>
      <c r="B26" s="15" t="s">
        <v>339</v>
      </c>
      <c r="C26" s="16" t="s">
        <v>126</v>
      </c>
      <c r="D26" s="5">
        <v>0.35416666666666669</v>
      </c>
      <c r="E26" s="5">
        <v>0.5</v>
      </c>
      <c r="F26" s="6" t="str">
        <f t="shared" si="0"/>
        <v>No</v>
      </c>
      <c r="G26" s="6">
        <f t="shared" si="4"/>
        <v>0.14583333333333331</v>
      </c>
      <c r="H26" s="50">
        <v>380</v>
      </c>
      <c r="I26" s="8">
        <f t="shared" si="5"/>
        <v>3.4999999999999996</v>
      </c>
      <c r="J26" s="50">
        <f t="shared" si="6"/>
        <v>234.85244999999995</v>
      </c>
      <c r="K26" s="50">
        <f t="shared" si="1"/>
        <v>145.14755000000005</v>
      </c>
      <c r="L26" s="9">
        <f t="shared" si="7"/>
        <v>0.61803276315789457</v>
      </c>
      <c r="M26" s="16">
        <v>2</v>
      </c>
      <c r="O26" s="23" t="str">
        <f t="shared" si="16"/>
        <v/>
      </c>
      <c r="P26" s="23" t="str">
        <f t="shared" si="16"/>
        <v/>
      </c>
      <c r="Q26" s="23" t="str">
        <f t="shared" si="16"/>
        <v/>
      </c>
      <c r="R26" s="23" t="str">
        <f t="shared" si="16"/>
        <v/>
      </c>
      <c r="S26" s="23" t="str">
        <f t="shared" si="16"/>
        <v/>
      </c>
      <c r="T26" s="74" t="str">
        <f t="shared" si="3"/>
        <v/>
      </c>
    </row>
    <row r="27" spans="1:20" ht="25" customHeight="1">
      <c r="A27" s="38">
        <v>45723</v>
      </c>
      <c r="B27" s="15" t="s">
        <v>339</v>
      </c>
      <c r="C27" s="16" t="s">
        <v>127</v>
      </c>
      <c r="D27" s="5">
        <v>0.5</v>
      </c>
      <c r="E27" s="5">
        <v>0.58333333333333337</v>
      </c>
      <c r="F27" s="6" t="s">
        <v>17</v>
      </c>
      <c r="G27" s="6">
        <f t="shared" si="4"/>
        <v>6.2500000000000042E-2</v>
      </c>
      <c r="H27" s="50">
        <f>_xlfn.IFNA(VLOOKUP(C:C,'Active Jobs'!B:K,8,0),"")</f>
        <v>200</v>
      </c>
      <c r="I27" s="8">
        <f t="shared" si="5"/>
        <v>1.5000000000000009</v>
      </c>
      <c r="J27" s="50">
        <f t="shared" si="6"/>
        <v>100.65105000000005</v>
      </c>
      <c r="K27" s="50">
        <f t="shared" si="1"/>
        <v>99.348949999999945</v>
      </c>
      <c r="L27" s="9">
        <f t="shared" si="7"/>
        <v>0.50325525000000026</v>
      </c>
      <c r="M27" s="16">
        <v>2</v>
      </c>
      <c r="O27" s="23" t="str">
        <f t="shared" si="16"/>
        <v/>
      </c>
      <c r="P27" s="23" t="str">
        <f t="shared" si="16"/>
        <v/>
      </c>
      <c r="Q27" s="23" t="str">
        <f t="shared" si="16"/>
        <v/>
      </c>
      <c r="R27" s="23" t="str">
        <f t="shared" si="16"/>
        <v/>
      </c>
      <c r="S27" s="23" t="str">
        <f t="shared" si="16"/>
        <v/>
      </c>
      <c r="T27" s="74" t="str">
        <f t="shared" si="3"/>
        <v/>
      </c>
    </row>
    <row r="28" spans="1:20" ht="25" customHeight="1">
      <c r="A28" s="38">
        <v>45723</v>
      </c>
      <c r="B28" s="15" t="s">
        <v>339</v>
      </c>
      <c r="C28" s="16" t="s">
        <v>100</v>
      </c>
      <c r="D28" s="5">
        <v>0.58333333333333337</v>
      </c>
      <c r="E28" s="5">
        <v>0.65625</v>
      </c>
      <c r="F28" s="6" t="str">
        <f t="shared" si="0"/>
        <v>No</v>
      </c>
      <c r="G28" s="6">
        <f t="shared" si="4"/>
        <v>7.291666666666663E-2</v>
      </c>
      <c r="H28" s="50">
        <f>_xlfn.IFNA(VLOOKUP(C:C,'Active Jobs'!B:K,8,0),"")</f>
        <v>200</v>
      </c>
      <c r="I28" s="8">
        <f t="shared" si="5"/>
        <v>1.7499999999999991</v>
      </c>
      <c r="J28" s="50">
        <f t="shared" si="6"/>
        <v>117.42622499999993</v>
      </c>
      <c r="K28" s="50">
        <f t="shared" si="1"/>
        <v>82.573775000000069</v>
      </c>
      <c r="L28" s="9">
        <f t="shared" si="7"/>
        <v>0.58713112499999964</v>
      </c>
      <c r="M28" s="16">
        <v>2</v>
      </c>
      <c r="O28" s="23" t="str">
        <f t="shared" si="16"/>
        <v/>
      </c>
      <c r="P28" s="23" t="str">
        <f t="shared" si="16"/>
        <v/>
      </c>
      <c r="Q28" s="23" t="str">
        <f t="shared" si="16"/>
        <v/>
      </c>
      <c r="R28" s="23" t="str">
        <f t="shared" si="16"/>
        <v/>
      </c>
      <c r="S28" s="23" t="str">
        <f t="shared" si="16"/>
        <v/>
      </c>
      <c r="T28" s="74" t="str">
        <f t="shared" si="3"/>
        <v/>
      </c>
    </row>
    <row r="29" spans="1:20" ht="25" customHeight="1">
      <c r="A29" s="38">
        <v>45723</v>
      </c>
      <c r="B29" s="15" t="s">
        <v>339</v>
      </c>
      <c r="C29" s="16" t="s">
        <v>176</v>
      </c>
      <c r="D29" s="5">
        <v>0.65625</v>
      </c>
      <c r="E29" s="5">
        <v>0.69791666666666663</v>
      </c>
      <c r="F29" s="6" t="str">
        <f t="shared" si="0"/>
        <v>No</v>
      </c>
      <c r="G29" s="6">
        <f t="shared" si="4"/>
        <v>4.166666666666663E-2</v>
      </c>
      <c r="H29" s="50">
        <f>_xlfn.IFNA(VLOOKUP(C:C,'Active Jobs'!B:K,8,0),"")</f>
        <v>130</v>
      </c>
      <c r="I29" s="8">
        <f t="shared" si="5"/>
        <v>0.99999999999999911</v>
      </c>
      <c r="J29" s="50">
        <f t="shared" si="6"/>
        <v>67.100699999999932</v>
      </c>
      <c r="K29" s="50">
        <f t="shared" si="1"/>
        <v>62.899300000000068</v>
      </c>
      <c r="L29" s="9">
        <f t="shared" si="7"/>
        <v>0.5161592307692302</v>
      </c>
      <c r="M29" s="16">
        <v>2</v>
      </c>
      <c r="O29" s="23" t="str">
        <f t="shared" si="16"/>
        <v/>
      </c>
      <c r="P29" s="23" t="str">
        <f t="shared" si="16"/>
        <v/>
      </c>
      <c r="Q29" s="23" t="str">
        <f t="shared" si="16"/>
        <v/>
      </c>
      <c r="R29" s="23" t="str">
        <f t="shared" si="16"/>
        <v/>
      </c>
      <c r="S29" s="23" t="str">
        <f t="shared" si="16"/>
        <v/>
      </c>
      <c r="T29" s="74" t="str">
        <f t="shared" si="3"/>
        <v/>
      </c>
    </row>
    <row r="30" spans="1:20" ht="25" customHeight="1">
      <c r="A30" s="38">
        <v>45723</v>
      </c>
      <c r="B30" s="15" t="s">
        <v>350</v>
      </c>
      <c r="C30" s="16" t="s">
        <v>42</v>
      </c>
      <c r="D30" s="5">
        <v>0.35416666666666669</v>
      </c>
      <c r="E30" s="5">
        <v>0.44791666666666669</v>
      </c>
      <c r="F30" s="6" t="str">
        <f t="shared" si="0"/>
        <v>No</v>
      </c>
      <c r="G30" s="6">
        <f t="shared" si="4"/>
        <v>9.375E-2</v>
      </c>
      <c r="H30" s="50">
        <f>_xlfn.IFNA(VLOOKUP(C:C,'Active Jobs'!B:K,8,0),"")</f>
        <v>200</v>
      </c>
      <c r="I30" s="8">
        <f t="shared" si="5"/>
        <v>2.25</v>
      </c>
      <c r="J30" s="50">
        <f t="shared" si="6"/>
        <v>150.976575</v>
      </c>
      <c r="K30" s="50">
        <f t="shared" si="1"/>
        <v>49.023425000000003</v>
      </c>
      <c r="L30" s="9">
        <f t="shared" si="7"/>
        <v>0.75488287499999995</v>
      </c>
      <c r="M30" s="16">
        <v>1</v>
      </c>
      <c r="O30" s="23" t="str">
        <f t="shared" si="16"/>
        <v/>
      </c>
      <c r="P30" s="23" t="str">
        <f t="shared" si="16"/>
        <v/>
      </c>
      <c r="Q30" s="23" t="str">
        <f t="shared" si="16"/>
        <v/>
      </c>
      <c r="R30" s="23" t="str">
        <f t="shared" si="16"/>
        <v/>
      </c>
      <c r="S30" s="23" t="str">
        <f t="shared" si="16"/>
        <v/>
      </c>
      <c r="T30" s="74" t="str">
        <f t="shared" si="3"/>
        <v/>
      </c>
    </row>
    <row r="31" spans="1:20" ht="25" customHeight="1">
      <c r="A31" s="38">
        <v>45723</v>
      </c>
      <c r="B31" s="15" t="s">
        <v>350</v>
      </c>
      <c r="C31" s="16" t="s">
        <v>55</v>
      </c>
      <c r="D31" s="5">
        <v>0.44791666666666669</v>
      </c>
      <c r="E31" s="5">
        <v>0.5625</v>
      </c>
      <c r="F31" s="6" t="s">
        <v>17</v>
      </c>
      <c r="G31" s="6">
        <f t="shared" si="4"/>
        <v>9.3749999999999986E-2</v>
      </c>
      <c r="H31" s="50">
        <f>_xlfn.IFNA(VLOOKUP(C:C,'Active Jobs'!B:K,8,0),"")</f>
        <v>220</v>
      </c>
      <c r="I31" s="8">
        <f t="shared" si="5"/>
        <v>2.2499999999999996</v>
      </c>
      <c r="J31" s="50">
        <f t="shared" si="6"/>
        <v>150.97657499999997</v>
      </c>
      <c r="K31" s="50">
        <f t="shared" si="1"/>
        <v>69.023425000000032</v>
      </c>
      <c r="L31" s="9">
        <f t="shared" si="7"/>
        <v>0.6862571590909089</v>
      </c>
      <c r="M31" s="16">
        <v>1</v>
      </c>
      <c r="O31" s="23" t="str">
        <f t="shared" si="16"/>
        <v/>
      </c>
      <c r="P31" s="23" t="str">
        <f t="shared" si="16"/>
        <v/>
      </c>
      <c r="Q31" s="23" t="str">
        <f t="shared" si="16"/>
        <v/>
      </c>
      <c r="R31" s="23" t="str">
        <f t="shared" si="16"/>
        <v/>
      </c>
      <c r="S31" s="23" t="str">
        <f t="shared" si="16"/>
        <v/>
      </c>
      <c r="T31" s="74" t="str">
        <f t="shared" si="3"/>
        <v/>
      </c>
    </row>
    <row r="32" spans="1:20" ht="25" customHeight="1">
      <c r="A32" s="38">
        <v>45723</v>
      </c>
      <c r="B32" s="15" t="s">
        <v>350</v>
      </c>
      <c r="C32" s="16" t="s">
        <v>171</v>
      </c>
      <c r="D32" s="5">
        <v>0.5625</v>
      </c>
      <c r="E32" s="5">
        <v>0.64583333333333337</v>
      </c>
      <c r="F32" s="6" t="str">
        <f t="shared" si="0"/>
        <v>No</v>
      </c>
      <c r="G32" s="6">
        <f t="shared" si="4"/>
        <v>8.333333333333337E-2</v>
      </c>
      <c r="H32" s="50">
        <f>_xlfn.IFNA(VLOOKUP(C:C,'Active Jobs'!B:K,8,0),"")</f>
        <v>220</v>
      </c>
      <c r="I32" s="8">
        <f t="shared" si="5"/>
        <v>2.0000000000000009</v>
      </c>
      <c r="J32" s="50">
        <f t="shared" si="6"/>
        <v>134.20140000000006</v>
      </c>
      <c r="K32" s="50">
        <f t="shared" si="1"/>
        <v>85.798599999999936</v>
      </c>
      <c r="L32" s="9">
        <f t="shared" si="7"/>
        <v>0.61000636363636396</v>
      </c>
      <c r="M32" s="16">
        <v>1</v>
      </c>
      <c r="O32" s="23" t="str">
        <f t="shared" ref="O32:S41" si="17">IF(N32="","",ROUND(SUMIFS($I:$I,$A:$A,O$1,$B:$B,"*"&amp;$N32&amp;"*"),2))</f>
        <v/>
      </c>
      <c r="P32" s="23" t="str">
        <f t="shared" si="17"/>
        <v/>
      </c>
      <c r="Q32" s="23" t="str">
        <f t="shared" si="17"/>
        <v/>
      </c>
      <c r="R32" s="23" t="str">
        <f t="shared" si="17"/>
        <v/>
      </c>
      <c r="S32" s="23" t="str">
        <f t="shared" si="17"/>
        <v/>
      </c>
      <c r="T32" s="74" t="str">
        <f t="shared" si="3"/>
        <v/>
      </c>
    </row>
    <row r="33" spans="1:20" ht="25" customHeight="1">
      <c r="B33" s="15"/>
      <c r="D33" s="5"/>
      <c r="E33" s="5"/>
      <c r="F33" s="6" t="str">
        <f t="shared" si="0"/>
        <v/>
      </c>
      <c r="G33" s="6" t="str">
        <f>IF(E33="","",IF(F33="Yes",(E33-D33)-TIME(0,30,0),E33-D33))</f>
        <v/>
      </c>
      <c r="H33" s="50" t="str">
        <f>_xlfn.IFNA(VLOOKUP(C:C,'Active Jobs'!B:K,8,0),"")</f>
        <v/>
      </c>
      <c r="I33" s="8" t="str">
        <f>IF(F33="Yes",(E33-D33)*24-0.5,IF(F33="No",(E33-D33)*24,""))</f>
        <v/>
      </c>
      <c r="J33" s="50" t="str">
        <f>IF(G33="","",G33*24*HourlyRate*2*(1+Super))</f>
        <v/>
      </c>
      <c r="K33" s="50" t="str">
        <f t="shared" si="1"/>
        <v/>
      </c>
      <c r="L33" s="9" t="str">
        <f>IF(K33="","",IF(H33=0,1,J33/H33))</f>
        <v/>
      </c>
      <c r="O33" s="23" t="str">
        <f t="shared" si="17"/>
        <v/>
      </c>
      <c r="P33" s="23" t="str">
        <f t="shared" si="17"/>
        <v/>
      </c>
      <c r="Q33" s="23" t="str">
        <f t="shared" si="17"/>
        <v/>
      </c>
      <c r="R33" s="23" t="str">
        <f t="shared" si="17"/>
        <v/>
      </c>
      <c r="S33" s="23" t="str">
        <f t="shared" si="17"/>
        <v/>
      </c>
      <c r="T33" s="74" t="str">
        <f t="shared" si="3"/>
        <v/>
      </c>
    </row>
    <row r="34" spans="1:20" ht="25" customHeight="1">
      <c r="B34" s="15"/>
      <c r="C34" s="49"/>
      <c r="D34" s="5"/>
      <c r="E34" s="5"/>
      <c r="F34" s="6" t="str">
        <f t="shared" si="0"/>
        <v/>
      </c>
      <c r="G34" s="6" t="str">
        <f t="shared" si="4"/>
        <v/>
      </c>
      <c r="H34" s="50" t="str">
        <f>_xlfn.IFNA(VLOOKUP(C:C,'Active Jobs'!B:K,8,0),"")</f>
        <v/>
      </c>
      <c r="I34" s="8" t="str">
        <f t="shared" si="5"/>
        <v/>
      </c>
      <c r="J34" s="50" t="str">
        <f t="shared" si="6"/>
        <v/>
      </c>
      <c r="K34" s="50" t="str">
        <f t="shared" si="1"/>
        <v/>
      </c>
      <c r="L34" s="9" t="str">
        <f t="shared" si="7"/>
        <v/>
      </c>
      <c r="O34" s="23" t="str">
        <f t="shared" si="17"/>
        <v/>
      </c>
      <c r="P34" s="23" t="str">
        <f t="shared" si="17"/>
        <v/>
      </c>
      <c r="Q34" s="23" t="str">
        <f t="shared" si="17"/>
        <v/>
      </c>
      <c r="R34" s="23" t="str">
        <f t="shared" si="17"/>
        <v/>
      </c>
      <c r="S34" s="23" t="str">
        <f t="shared" si="17"/>
        <v/>
      </c>
      <c r="T34" s="74" t="str">
        <f t="shared" si="3"/>
        <v/>
      </c>
    </row>
    <row r="35" spans="1:20" ht="25" customHeight="1">
      <c r="A35" s="39"/>
      <c r="B35" s="29"/>
      <c r="C35" s="30"/>
      <c r="D35" s="1"/>
      <c r="E35" s="1"/>
      <c r="F35" s="31"/>
      <c r="G35" s="32"/>
      <c r="H35" s="53">
        <f>SUBTOTAL(109,Table2261210141628[Quoted])</f>
        <v>7605</v>
      </c>
      <c r="I35" s="34">
        <f>SUBTOTAL(109,Table2261210141628[Hours Payable])</f>
        <v>70.666666666666657</v>
      </c>
      <c r="J35" s="53">
        <f>SUBTOTAL(109,Table2261210141628[Wages (Incl. Super)])</f>
        <v>4741.782799999999</v>
      </c>
      <c r="K35" s="53">
        <f>SUBTOTAL(109,Table2261210141628[Profit])</f>
        <v>2863.217200000001</v>
      </c>
      <c r="L35" s="35">
        <f>IF(L2="","",SUBTOTAL(101,Table2261210141628[Quote/Wages]))</f>
        <v>0.61887435210891106</v>
      </c>
      <c r="O35" s="23" t="str">
        <f t="shared" si="17"/>
        <v/>
      </c>
      <c r="P35" s="23" t="str">
        <f t="shared" si="17"/>
        <v/>
      </c>
      <c r="Q35" s="23" t="str">
        <f t="shared" si="17"/>
        <v/>
      </c>
      <c r="R35" s="23" t="str">
        <f t="shared" si="17"/>
        <v/>
      </c>
      <c r="S35" s="23" t="str">
        <f t="shared" si="17"/>
        <v/>
      </c>
      <c r="T35" s="74" t="str">
        <f t="shared" si="3"/>
        <v/>
      </c>
    </row>
    <row r="36" spans="1:20" ht="25" customHeight="1">
      <c r="O36" s="23" t="str">
        <f t="shared" si="17"/>
        <v/>
      </c>
      <c r="P36" s="23" t="str">
        <f t="shared" si="17"/>
        <v/>
      </c>
      <c r="Q36" s="23" t="str">
        <f t="shared" si="17"/>
        <v/>
      </c>
      <c r="R36" s="23" t="str">
        <f t="shared" si="17"/>
        <v/>
      </c>
      <c r="S36" s="23" t="str">
        <f t="shared" si="17"/>
        <v/>
      </c>
      <c r="T36" s="74" t="str">
        <f t="shared" si="3"/>
        <v/>
      </c>
    </row>
    <row r="37" spans="1:20" ht="25" customHeight="1">
      <c r="O37" s="23" t="str">
        <f t="shared" si="17"/>
        <v/>
      </c>
      <c r="P37" s="23" t="str">
        <f t="shared" si="17"/>
        <v/>
      </c>
      <c r="Q37" s="23" t="str">
        <f t="shared" si="17"/>
        <v/>
      </c>
      <c r="R37" s="23" t="str">
        <f t="shared" si="17"/>
        <v/>
      </c>
      <c r="S37" s="23" t="str">
        <f t="shared" si="17"/>
        <v/>
      </c>
      <c r="T37" s="74" t="str">
        <f t="shared" si="3"/>
        <v/>
      </c>
    </row>
    <row r="38" spans="1:20" ht="25" customHeight="1">
      <c r="O38" s="23" t="str">
        <f t="shared" si="17"/>
        <v/>
      </c>
      <c r="P38" s="23" t="str">
        <f t="shared" si="17"/>
        <v/>
      </c>
      <c r="Q38" s="23" t="str">
        <f t="shared" si="17"/>
        <v/>
      </c>
      <c r="R38" s="23" t="str">
        <f t="shared" si="17"/>
        <v/>
      </c>
      <c r="S38" s="23" t="str">
        <f t="shared" si="17"/>
        <v/>
      </c>
      <c r="T38" s="74" t="str">
        <f t="shared" si="3"/>
        <v/>
      </c>
    </row>
    <row r="39" spans="1:20" ht="25" customHeight="1">
      <c r="O39" s="23" t="str">
        <f t="shared" si="17"/>
        <v/>
      </c>
      <c r="P39" s="23" t="str">
        <f t="shared" si="17"/>
        <v/>
      </c>
      <c r="Q39" s="23" t="str">
        <f t="shared" si="17"/>
        <v/>
      </c>
      <c r="R39" s="23" t="str">
        <f t="shared" si="17"/>
        <v/>
      </c>
      <c r="S39" s="23" t="str">
        <f t="shared" si="17"/>
        <v/>
      </c>
      <c r="T39" s="74" t="str">
        <f t="shared" si="3"/>
        <v/>
      </c>
    </row>
    <row r="40" spans="1:20" ht="25" customHeight="1">
      <c r="O40" s="23" t="str">
        <f t="shared" si="17"/>
        <v/>
      </c>
      <c r="P40" s="23" t="str">
        <f t="shared" si="17"/>
        <v/>
      </c>
      <c r="Q40" s="23" t="str">
        <f t="shared" si="17"/>
        <v/>
      </c>
      <c r="R40" s="23" t="str">
        <f t="shared" si="17"/>
        <v/>
      </c>
      <c r="S40" s="23" t="str">
        <f t="shared" si="17"/>
        <v/>
      </c>
      <c r="T40" s="74" t="str">
        <f t="shared" si="3"/>
        <v/>
      </c>
    </row>
    <row r="41" spans="1:20" ht="25" customHeight="1">
      <c r="O41" s="23" t="str">
        <f t="shared" si="17"/>
        <v/>
      </c>
      <c r="P41" s="23" t="str">
        <f t="shared" si="17"/>
        <v/>
      </c>
      <c r="Q41" s="23" t="str">
        <f t="shared" si="17"/>
        <v/>
      </c>
      <c r="R41" s="23" t="str">
        <f t="shared" si="17"/>
        <v/>
      </c>
      <c r="S41" s="23" t="str">
        <f t="shared" si="17"/>
        <v/>
      </c>
      <c r="T41" s="74" t="str">
        <f t="shared" si="3"/>
        <v/>
      </c>
    </row>
    <row r="42" spans="1:20" ht="25" customHeight="1">
      <c r="O42" s="23" t="str">
        <f t="shared" ref="O42:S42" si="18">IF(N42="","",ROUND(SUMIFS($I:$I,$A:$A,O$1,$B:$B,"*"&amp;$N42&amp;"*"),2))</f>
        <v/>
      </c>
      <c r="P42" s="23" t="str">
        <f t="shared" si="18"/>
        <v/>
      </c>
      <c r="Q42" s="23" t="str">
        <f t="shared" si="18"/>
        <v/>
      </c>
      <c r="R42" s="23" t="str">
        <f t="shared" si="18"/>
        <v/>
      </c>
      <c r="S42" s="23" t="str">
        <f t="shared" si="18"/>
        <v/>
      </c>
      <c r="T42" s="74" t="str">
        <f t="shared" si="3"/>
        <v/>
      </c>
    </row>
  </sheetData>
  <conditionalFormatting sqref="B36:B256 B1:B34">
    <cfRule type="expression" dxfId="46" priority="1">
      <formula>AND(ROW()&gt;1, E1&lt;&gt;"", COUNTIFS(A:A, $A1, B:B, $B1, F:F, "Yes")=0)</formula>
    </cfRule>
  </conditionalFormatting>
  <conditionalFormatting sqref="F36:F256 F1:F34">
    <cfRule type="expression" dxfId="45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4" xr:uid="{75B7DF96-9010-479E-8942-183E3E596E79}">
      <formula1>"No, Yes"</formula1>
    </dataValidation>
    <dataValidation type="list" allowBlank="1" showErrorMessage="1" promptTitle="Select" sqref="B2:B34" xr:uid="{513A09C7-91D8-4B47-8FC4-1E0D84FE989D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0076A3B-0004-4E16-AA7B-ACB15DB42FA9}">
          <x14:formula1>
            <xm:f>'Active Jobs'!$B$2:$B$154</xm:f>
          </x14:formula1>
          <xm:sqref>C2:C34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6150-CD59-44DD-AE84-4F1384F03596}">
  <sheetPr codeName="Sheet18"/>
  <dimension ref="A1:W42"/>
  <sheetViews>
    <sheetView zoomScale="125" zoomScaleNormal="125" workbookViewId="0">
      <selection activeCell="D18" sqref="D18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IF(B2="","",TRANSPOSE(_xlfn._xlws.FILTER(_xlfn.UNIQUE(A2:A207), _xlfn.UNIQUE(A2:A207)&lt;&gt;"")))</f>
        <v>45712</v>
      </c>
      <c r="P1" s="63">
        <v>45713</v>
      </c>
      <c r="Q1" s="63">
        <v>45714</v>
      </c>
      <c r="R1" s="63">
        <v>45715</v>
      </c>
      <c r="S1" s="63">
        <v>45716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45712</v>
      </c>
      <c r="B2" s="15" t="s">
        <v>353</v>
      </c>
      <c r="C2" s="16" t="s">
        <v>132</v>
      </c>
      <c r="D2" s="5">
        <v>0.33333333333333331</v>
      </c>
      <c r="E2" s="5">
        <v>0.45833333333333331</v>
      </c>
      <c r="F2" s="6" t="str">
        <f t="shared" ref="F2:F35" si="0">IF(E2="","","No")</f>
        <v>No</v>
      </c>
      <c r="G2" s="6">
        <f>IF(E2="","",IF(F2="Yes",(E2-D2)-TIME(0,30,0),E2-D2))</f>
        <v>0.125</v>
      </c>
      <c r="H2" s="50">
        <f>_xlfn.IFNA(VLOOKUP(C:C,'Active Jobs'!B:K,8,0),"")</f>
        <v>220</v>
      </c>
      <c r="I2" s="8">
        <f>IF(F2="Yes",(E2-D2)*24-0.5,IF(F2="No",(E2-D2)*24,""))</f>
        <v>3</v>
      </c>
      <c r="J2" s="50">
        <f>IF(G2="","",G2*24*HourlyRate*2*(1+Super))</f>
        <v>201.3021</v>
      </c>
      <c r="K2" s="50">
        <f t="shared" ref="K2:K35" si="1">IF(H2="","",IF(E2="","",IF(J2=0,0,H2-J2)))</f>
        <v>18.697900000000004</v>
      </c>
      <c r="L2" s="9">
        <f>IF(K2="","",IF(H2=0,1,J2/H2))</f>
        <v>0.91500954545454538</v>
      </c>
      <c r="M2" s="16">
        <v>1</v>
      </c>
      <c r="N2" s="41" t="str" cm="1">
        <f t="array" ref="N2:N5">IF(B2="","",_xlfn.UNIQUE(TRANSPOSE(_xlfn.TEXTSPLIT(_xlfn.TEXTJOIN(" &amp; ", TRUE, TRIM(B2:B207)), " &amp; "))))</f>
        <v>Rose Bliszczak</v>
      </c>
      <c r="O2" s="23">
        <f t="shared" ref="O2:S11" si="2">IF(N2="","",ROUND(SUMIFS($I:$I,$A:$A,O$1,$B:$B,"*"&amp;$N2&amp;"*"),2))</f>
        <v>8.25</v>
      </c>
      <c r="P2" s="23">
        <f t="shared" si="2"/>
        <v>8.42</v>
      </c>
      <c r="Q2" s="23">
        <f t="shared" si="2"/>
        <v>6.25</v>
      </c>
      <c r="R2" s="23">
        <f t="shared" si="2"/>
        <v>8.17</v>
      </c>
      <c r="S2" s="23">
        <f t="shared" si="2"/>
        <v>6</v>
      </c>
      <c r="T2" s="10">
        <f t="shared" ref="T2:T42" si="3">IF(N2="","",SUM(O2:S2))</f>
        <v>37.090000000000003</v>
      </c>
      <c r="U2" s="24"/>
      <c r="V2" s="24">
        <f>IF(N2="","",T2*HourlyRate)</f>
        <v>1116.0381</v>
      </c>
      <c r="W2" s="25">
        <f>IF(N2="","",V2*Super)</f>
        <v>128.3443815</v>
      </c>
    </row>
    <row r="3" spans="1:23" ht="25" customHeight="1">
      <c r="A3" s="37">
        <v>45712</v>
      </c>
      <c r="B3" s="15" t="s">
        <v>353</v>
      </c>
      <c r="C3" s="16" t="s">
        <v>115</v>
      </c>
      <c r="D3" s="5">
        <v>0.46875</v>
      </c>
      <c r="E3" s="5">
        <v>0.57291666666666663</v>
      </c>
      <c r="F3" s="6" t="s">
        <v>17</v>
      </c>
      <c r="G3" s="6">
        <f t="shared" ref="G3:G35" si="4">IF(E3="","",IF(F3="Yes",(E3-D3)-TIME(0,30,0),E3-D3))</f>
        <v>8.3333333333333301E-2</v>
      </c>
      <c r="H3" s="50">
        <f>_xlfn.IFNA(VLOOKUP(C:C,'Active Jobs'!B:K,8,0),"")</f>
        <v>230</v>
      </c>
      <c r="I3" s="8">
        <f t="shared" ref="I3:I35" si="5">IF(F3="Yes",(E3-D3)*24-0.5,IF(F3="No",(E3-D3)*24,""))</f>
        <v>1.9999999999999991</v>
      </c>
      <c r="J3" s="50">
        <f t="shared" ref="J3:J35" si="6">IF(G3="","",G3*24*HourlyRate*2*(1+Super))</f>
        <v>134.20139999999992</v>
      </c>
      <c r="K3" s="50">
        <f t="shared" si="1"/>
        <v>95.798600000000079</v>
      </c>
      <c r="L3" s="9">
        <f t="shared" ref="L3:L35" si="7">IF(K3="","",IF(H3=0,1,J3/H3))</f>
        <v>0.5834843478260866</v>
      </c>
      <c r="M3" s="16">
        <v>1</v>
      </c>
      <c r="N3" s="42" t="str">
        <v>Orla Shelly</v>
      </c>
      <c r="O3" s="23">
        <f t="shared" si="2"/>
        <v>8.25</v>
      </c>
      <c r="P3" s="23">
        <f t="shared" si="2"/>
        <v>8.25</v>
      </c>
      <c r="Q3" s="23">
        <f t="shared" si="2"/>
        <v>6.5</v>
      </c>
      <c r="R3" s="23">
        <f t="shared" si="2"/>
        <v>6.25</v>
      </c>
      <c r="S3" s="23">
        <f t="shared" si="2"/>
        <v>7.08</v>
      </c>
      <c r="T3" s="10">
        <f t="shared" si="3"/>
        <v>36.33</v>
      </c>
      <c r="U3" s="21"/>
      <c r="V3" s="24">
        <f>IF(N3="","",T3*HourlyRate)</f>
        <v>1093.1696999999999</v>
      </c>
      <c r="W3" s="25">
        <f>IF(N3="","",V3*Super)</f>
        <v>125.71451549999999</v>
      </c>
    </row>
    <row r="4" spans="1:23" ht="25" customHeight="1">
      <c r="A4" s="37">
        <v>45712</v>
      </c>
      <c r="B4" s="15" t="s">
        <v>353</v>
      </c>
      <c r="C4" s="16" t="s">
        <v>156</v>
      </c>
      <c r="D4" s="5">
        <v>0.57291666666666663</v>
      </c>
      <c r="E4" s="5">
        <v>0.70833333333333337</v>
      </c>
      <c r="F4" s="6" t="str">
        <f t="shared" si="0"/>
        <v>No</v>
      </c>
      <c r="G4" s="6">
        <f t="shared" si="4"/>
        <v>0.13541666666666674</v>
      </c>
      <c r="H4" s="50">
        <v>380</v>
      </c>
      <c r="I4" s="8">
        <f t="shared" si="5"/>
        <v>3.2500000000000018</v>
      </c>
      <c r="J4" s="50">
        <f t="shared" si="6"/>
        <v>218.0772750000001</v>
      </c>
      <c r="K4" s="50">
        <f t="shared" si="1"/>
        <v>161.9227249999999</v>
      </c>
      <c r="L4" s="9">
        <f t="shared" si="7"/>
        <v>0.57388756578947397</v>
      </c>
      <c r="M4" s="16">
        <v>1</v>
      </c>
      <c r="N4" s="42" t="str">
        <v>Julie Roccati</v>
      </c>
      <c r="O4" s="23">
        <f t="shared" si="2"/>
        <v>8.25</v>
      </c>
      <c r="P4" s="23">
        <f t="shared" si="2"/>
        <v>8.25</v>
      </c>
      <c r="Q4" s="23">
        <f t="shared" si="2"/>
        <v>6.5</v>
      </c>
      <c r="R4" s="23">
        <f t="shared" si="2"/>
        <v>6.25</v>
      </c>
      <c r="S4" s="23">
        <f t="shared" si="2"/>
        <v>7.08</v>
      </c>
      <c r="T4" s="10">
        <f t="shared" si="3"/>
        <v>36.33</v>
      </c>
      <c r="U4" s="21"/>
      <c r="V4" s="24">
        <f>IF(N4="","",T4*HourlyRate)</f>
        <v>1093.1696999999999</v>
      </c>
      <c r="W4" s="25">
        <f>IF(N4="","",V4*Super)</f>
        <v>125.71451549999999</v>
      </c>
    </row>
    <row r="5" spans="1:23" ht="25" customHeight="1">
      <c r="A5" s="37">
        <v>45712</v>
      </c>
      <c r="B5" s="15" t="s">
        <v>339</v>
      </c>
      <c r="C5" s="16" t="s">
        <v>133</v>
      </c>
      <c r="D5" s="5">
        <v>0.35416666666666669</v>
      </c>
      <c r="E5" s="5">
        <v>0.45833333333333331</v>
      </c>
      <c r="F5" s="6" t="str">
        <f t="shared" si="0"/>
        <v>No</v>
      </c>
      <c r="G5" s="6">
        <f t="shared" si="4"/>
        <v>0.10416666666666663</v>
      </c>
      <c r="H5" s="50">
        <f>_xlfn.IFNA(VLOOKUP(C:C,'Active Jobs'!B:K,8,0),"")</f>
        <v>250</v>
      </c>
      <c r="I5" s="8">
        <f t="shared" si="5"/>
        <v>2.4999999999999991</v>
      </c>
      <c r="J5" s="50">
        <f t="shared" si="6"/>
        <v>167.75174999999993</v>
      </c>
      <c r="K5" s="50">
        <f t="shared" si="1"/>
        <v>82.24825000000007</v>
      </c>
      <c r="L5" s="9">
        <f t="shared" si="7"/>
        <v>0.67100699999999969</v>
      </c>
      <c r="M5" s="16">
        <v>2</v>
      </c>
      <c r="N5" s="42" t="str">
        <v>Aoife Carroll</v>
      </c>
      <c r="O5" s="23">
        <f t="shared" si="2"/>
        <v>0</v>
      </c>
      <c r="P5" s="23">
        <f t="shared" si="2"/>
        <v>8.42</v>
      </c>
      <c r="Q5" s="23">
        <f t="shared" si="2"/>
        <v>6.25</v>
      </c>
      <c r="R5" s="23">
        <f t="shared" si="2"/>
        <v>8.17</v>
      </c>
      <c r="S5" s="23">
        <f t="shared" si="2"/>
        <v>6</v>
      </c>
      <c r="T5" s="10">
        <f t="shared" si="3"/>
        <v>28.84</v>
      </c>
      <c r="U5" s="21"/>
      <c r="V5" s="24">
        <f>IF(N5="","",T5*HourlyRate)</f>
        <v>867.79560000000004</v>
      </c>
      <c r="W5" s="25">
        <f>IF(N5="","",V5*Super)</f>
        <v>99.79649400000001</v>
      </c>
    </row>
    <row r="6" spans="1:23" ht="25" customHeight="1">
      <c r="A6" s="37">
        <v>45712</v>
      </c>
      <c r="B6" s="15" t="s">
        <v>339</v>
      </c>
      <c r="C6" s="16" t="s">
        <v>159</v>
      </c>
      <c r="D6" s="5">
        <v>0.47152777777777777</v>
      </c>
      <c r="E6" s="5">
        <v>0.5625</v>
      </c>
      <c r="F6" s="6" t="s">
        <v>17</v>
      </c>
      <c r="G6" s="6">
        <f t="shared" si="4"/>
        <v>7.0138888888888903E-2</v>
      </c>
      <c r="H6" s="50">
        <f>_xlfn.IFNA(VLOOKUP(C:C,'Active Jobs'!B:K,8,0),"")</f>
        <v>200</v>
      </c>
      <c r="I6" s="8">
        <f t="shared" si="5"/>
        <v>1.6833333333333336</v>
      </c>
      <c r="J6" s="50">
        <f t="shared" si="6"/>
        <v>112.95284500000001</v>
      </c>
      <c r="K6" s="50">
        <f t="shared" si="1"/>
        <v>87.047154999999989</v>
      </c>
      <c r="L6" s="9">
        <f t="shared" si="7"/>
        <v>0.56476422500000001</v>
      </c>
      <c r="M6" s="16">
        <v>2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45712</v>
      </c>
      <c r="B7" s="15" t="s">
        <v>339</v>
      </c>
      <c r="C7" s="16" t="s">
        <v>134</v>
      </c>
      <c r="D7" s="5">
        <v>0.5625</v>
      </c>
      <c r="E7" s="5">
        <v>0.65277777777777779</v>
      </c>
      <c r="F7" s="6" t="str">
        <f t="shared" si="0"/>
        <v>No</v>
      </c>
      <c r="G7" s="6">
        <f t="shared" si="4"/>
        <v>9.027777777777779E-2</v>
      </c>
      <c r="H7" s="50">
        <f>_xlfn.IFNA(VLOOKUP(C:C,'Active Jobs'!B:K,8,0),"")</f>
        <v>220</v>
      </c>
      <c r="I7" s="8">
        <f t="shared" si="5"/>
        <v>2.166666666666667</v>
      </c>
      <c r="J7" s="50">
        <f t="shared" si="6"/>
        <v>145.38485000000003</v>
      </c>
      <c r="K7" s="50">
        <f t="shared" si="1"/>
        <v>74.615149999999971</v>
      </c>
      <c r="L7" s="9">
        <f t="shared" si="7"/>
        <v>0.6608402272727274</v>
      </c>
      <c r="M7" s="16">
        <v>2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4170.1731</v>
      </c>
      <c r="W7" s="26">
        <f>SUM(W2:W5)</f>
        <v>479.5699065</v>
      </c>
    </row>
    <row r="8" spans="1:23" ht="25" customHeight="1">
      <c r="A8" s="37">
        <v>45712</v>
      </c>
      <c r="B8" s="15" t="s">
        <v>339</v>
      </c>
      <c r="C8" s="49" t="s">
        <v>135</v>
      </c>
      <c r="D8" s="5">
        <v>0.65972222222222221</v>
      </c>
      <c r="E8" s="5">
        <v>0.73888888888888893</v>
      </c>
      <c r="F8" s="6" t="str">
        <f t="shared" si="0"/>
        <v>No</v>
      </c>
      <c r="G8" s="6">
        <f t="shared" si="4"/>
        <v>7.9166666666666718E-2</v>
      </c>
      <c r="H8" s="50">
        <f>_xlfn.IFNA(VLOOKUP(C:C,'Active Jobs'!B:K,8,0),"")</f>
        <v>220</v>
      </c>
      <c r="I8" s="8">
        <f t="shared" si="5"/>
        <v>1.9000000000000012</v>
      </c>
      <c r="J8" s="50">
        <f t="shared" si="6"/>
        <v>127.49133000000008</v>
      </c>
      <c r="K8" s="50">
        <f t="shared" si="1"/>
        <v>92.508669999999924</v>
      </c>
      <c r="L8" s="9">
        <f t="shared" si="7"/>
        <v>0.57950604545454576</v>
      </c>
      <c r="M8" s="16">
        <v>2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8">
        <v>45713</v>
      </c>
      <c r="B9" s="15" t="s">
        <v>352</v>
      </c>
      <c r="C9" s="16" t="s">
        <v>44</v>
      </c>
      <c r="D9" s="5">
        <v>0.35416666666666669</v>
      </c>
      <c r="E9" s="5">
        <v>0.44791666666666669</v>
      </c>
      <c r="F9" s="6" t="str">
        <f t="shared" si="0"/>
        <v>No</v>
      </c>
      <c r="G9" s="6">
        <f t="shared" si="4"/>
        <v>9.375E-2</v>
      </c>
      <c r="H9" s="50">
        <f>_xlfn.IFNA(VLOOKUP(C:C,'Active Jobs'!B:K,8,0),"")</f>
        <v>200</v>
      </c>
      <c r="I9" s="8">
        <f t="shared" si="5"/>
        <v>2.25</v>
      </c>
      <c r="J9" s="50">
        <f t="shared" si="6"/>
        <v>150.976575</v>
      </c>
      <c r="K9" s="50">
        <f t="shared" si="1"/>
        <v>49.023425000000003</v>
      </c>
      <c r="L9" s="9">
        <f t="shared" si="7"/>
        <v>0.75488287499999995</v>
      </c>
      <c r="M9" s="16">
        <v>1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>
        <f>V7+500</f>
        <v>4670.1731</v>
      </c>
      <c r="W9" s="25"/>
    </row>
    <row r="10" spans="1:23" ht="25" customHeight="1">
      <c r="A10" s="38">
        <v>45713</v>
      </c>
      <c r="B10" s="15" t="s">
        <v>352</v>
      </c>
      <c r="C10" s="16" t="s">
        <v>45</v>
      </c>
      <c r="D10" s="5">
        <v>0.44791666666666669</v>
      </c>
      <c r="E10" s="5">
        <v>0.5625</v>
      </c>
      <c r="F10" s="6" t="s">
        <v>17</v>
      </c>
      <c r="G10" s="6">
        <f t="shared" si="4"/>
        <v>9.3749999999999986E-2</v>
      </c>
      <c r="H10" s="50">
        <f>_xlfn.IFNA(VLOOKUP(C:C,'Active Jobs'!B:K,8,0),"")</f>
        <v>275</v>
      </c>
      <c r="I10" s="8">
        <f t="shared" si="5"/>
        <v>2.2499999999999996</v>
      </c>
      <c r="J10" s="50">
        <f t="shared" si="6"/>
        <v>150.97657499999997</v>
      </c>
      <c r="K10" s="50">
        <f t="shared" si="1"/>
        <v>124.02342500000003</v>
      </c>
      <c r="L10" s="9">
        <f t="shared" si="7"/>
        <v>0.54900572727272712</v>
      </c>
      <c r="M10" s="16">
        <v>1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8">
        <v>45713</v>
      </c>
      <c r="B11" s="15" t="s">
        <v>352</v>
      </c>
      <c r="C11" s="16" t="s">
        <v>177</v>
      </c>
      <c r="D11" s="5">
        <v>0.5625</v>
      </c>
      <c r="E11" s="5">
        <v>0.64583333333333337</v>
      </c>
      <c r="F11" s="6" t="s">
        <v>53</v>
      </c>
      <c r="G11" s="6">
        <f t="shared" si="4"/>
        <v>8.333333333333337E-2</v>
      </c>
      <c r="H11" s="50">
        <f>_xlfn.IFNA(VLOOKUP(C:C,'Active Jobs'!B:K,8,0),"")</f>
        <v>200</v>
      </c>
      <c r="I11" s="8">
        <f t="shared" si="5"/>
        <v>2.0000000000000009</v>
      </c>
      <c r="J11" s="50">
        <f t="shared" si="6"/>
        <v>134.20140000000006</v>
      </c>
      <c r="K11" s="50">
        <f t="shared" si="1"/>
        <v>65.798599999999936</v>
      </c>
      <c r="L11" s="9">
        <f t="shared" si="7"/>
        <v>0.67100700000000035</v>
      </c>
      <c r="M11" s="16">
        <v>1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45713</v>
      </c>
      <c r="B12" s="15" t="s">
        <v>352</v>
      </c>
      <c r="C12" s="16" t="s">
        <v>140</v>
      </c>
      <c r="D12" s="5">
        <v>0.64583333333333337</v>
      </c>
      <c r="E12" s="5">
        <v>0.72569444444444442</v>
      </c>
      <c r="F12" s="6" t="str">
        <f t="shared" si="0"/>
        <v>No</v>
      </c>
      <c r="G12" s="6">
        <f t="shared" si="4"/>
        <v>7.9861111111111049E-2</v>
      </c>
      <c r="H12" s="50">
        <f>_xlfn.IFNA(VLOOKUP(C:C,'Active Jobs'!B:K,8,0),"")</f>
        <v>215</v>
      </c>
      <c r="I12" s="8">
        <f t="shared" si="5"/>
        <v>1.9166666666666652</v>
      </c>
      <c r="J12" s="50">
        <f t="shared" si="6"/>
        <v>128.6096749999999</v>
      </c>
      <c r="K12" s="50">
        <f t="shared" si="1"/>
        <v>86.390325000000104</v>
      </c>
      <c r="L12" s="9">
        <f t="shared" si="7"/>
        <v>0.59818453488372048</v>
      </c>
      <c r="M12" s="16">
        <v>1</v>
      </c>
      <c r="O12" s="23" t="str">
        <f t="shared" ref="O12:S21" si="8">IF(N12="","",ROUND(SUMIFS($I:$I,$A:$A,O$1,$B:$B,"*"&amp;$N12&amp;"*"),2))</f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3"/>
        <v/>
      </c>
    </row>
    <row r="13" spans="1:23" ht="25" customHeight="1">
      <c r="A13" s="38">
        <v>45713</v>
      </c>
      <c r="B13" s="15" t="s">
        <v>339</v>
      </c>
      <c r="C13" s="16" t="s">
        <v>141</v>
      </c>
      <c r="D13" s="5">
        <v>0.35416666666666669</v>
      </c>
      <c r="E13" s="5">
        <v>0.45833333333333331</v>
      </c>
      <c r="F13" s="6" t="str">
        <f t="shared" si="0"/>
        <v>No</v>
      </c>
      <c r="G13" s="6">
        <f t="shared" si="4"/>
        <v>0.10416666666666663</v>
      </c>
      <c r="H13" s="50">
        <f>_xlfn.IFNA(VLOOKUP(C:C,'Active Jobs'!B:K,8,0),"")</f>
        <v>250</v>
      </c>
      <c r="I13" s="8">
        <f t="shared" si="5"/>
        <v>2.4999999999999991</v>
      </c>
      <c r="J13" s="50">
        <f t="shared" si="6"/>
        <v>167.75174999999993</v>
      </c>
      <c r="K13" s="50">
        <f t="shared" si="1"/>
        <v>82.24825000000007</v>
      </c>
      <c r="L13" s="9">
        <f t="shared" si="7"/>
        <v>0.67100699999999969</v>
      </c>
      <c r="M13" s="16">
        <v>2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3"/>
        <v/>
      </c>
    </row>
    <row r="14" spans="1:23" ht="25" customHeight="1">
      <c r="A14" s="38">
        <v>45713</v>
      </c>
      <c r="B14" s="15" t="s">
        <v>339</v>
      </c>
      <c r="C14" s="16" t="s">
        <v>20</v>
      </c>
      <c r="D14" s="5">
        <v>0.45833333333333331</v>
      </c>
      <c r="E14" s="5">
        <v>0.5625</v>
      </c>
      <c r="F14" s="6" t="s">
        <v>17</v>
      </c>
      <c r="G14" s="6">
        <f t="shared" si="4"/>
        <v>8.3333333333333356E-2</v>
      </c>
      <c r="H14" s="50">
        <f>_xlfn.IFNA(VLOOKUP(C:C,'Active Jobs'!B:K,8,0),"")</f>
        <v>250</v>
      </c>
      <c r="I14" s="8">
        <f t="shared" si="5"/>
        <v>2.0000000000000004</v>
      </c>
      <c r="J14" s="50">
        <f t="shared" si="6"/>
        <v>134.20140000000004</v>
      </c>
      <c r="K14" s="50">
        <f t="shared" si="1"/>
        <v>115.79859999999996</v>
      </c>
      <c r="L14" s="9">
        <f t="shared" si="7"/>
        <v>0.5368056000000001</v>
      </c>
      <c r="M14" s="16">
        <v>2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3"/>
        <v/>
      </c>
    </row>
    <row r="15" spans="1:23" ht="25" customHeight="1">
      <c r="A15" s="38">
        <v>45713</v>
      </c>
      <c r="B15" s="15" t="s">
        <v>339</v>
      </c>
      <c r="C15" s="16" t="s">
        <v>136</v>
      </c>
      <c r="D15" s="5">
        <v>0.5625</v>
      </c>
      <c r="E15" s="5">
        <v>0.64583333333333337</v>
      </c>
      <c r="F15" s="6" t="str">
        <f t="shared" si="0"/>
        <v>No</v>
      </c>
      <c r="G15" s="6">
        <f t="shared" si="4"/>
        <v>8.333333333333337E-2</v>
      </c>
      <c r="H15" s="50">
        <f>_xlfn.IFNA(VLOOKUP(C:C,'Active Jobs'!B:K,8,0),"")</f>
        <v>220</v>
      </c>
      <c r="I15" s="8">
        <f t="shared" si="5"/>
        <v>2.0000000000000009</v>
      </c>
      <c r="J15" s="50">
        <f t="shared" si="6"/>
        <v>134.20140000000006</v>
      </c>
      <c r="K15" s="50">
        <f t="shared" si="1"/>
        <v>85.798599999999936</v>
      </c>
      <c r="L15" s="9">
        <f t="shared" si="7"/>
        <v>0.61000636363636396</v>
      </c>
      <c r="M15" s="16">
        <v>2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74" t="str">
        <f t="shared" si="3"/>
        <v/>
      </c>
    </row>
    <row r="16" spans="1:23" ht="25" customHeight="1">
      <c r="A16" s="38">
        <v>45713</v>
      </c>
      <c r="B16" s="15" t="s">
        <v>339</v>
      </c>
      <c r="C16" s="16" t="s">
        <v>142</v>
      </c>
      <c r="D16" s="5">
        <v>0.64583333333333337</v>
      </c>
      <c r="E16" s="5">
        <v>0.71875</v>
      </c>
      <c r="F16" s="6" t="str">
        <f t="shared" si="0"/>
        <v>No</v>
      </c>
      <c r="G16" s="6">
        <f t="shared" si="4"/>
        <v>7.291666666666663E-2</v>
      </c>
      <c r="H16" s="50">
        <f>_xlfn.IFNA(VLOOKUP(C:C,'Active Jobs'!B:K,8,0),"")</f>
        <v>220</v>
      </c>
      <c r="I16" s="8">
        <f t="shared" si="5"/>
        <v>1.7499999999999991</v>
      </c>
      <c r="J16" s="50">
        <f t="shared" si="6"/>
        <v>117.42622499999993</v>
      </c>
      <c r="K16" s="50">
        <f t="shared" si="1"/>
        <v>102.57377500000007</v>
      </c>
      <c r="L16" s="9">
        <f t="shared" si="7"/>
        <v>0.53375556818181791</v>
      </c>
      <c r="M16" s="16">
        <v>2</v>
      </c>
      <c r="O16" s="23" t="str">
        <f t="shared" si="8"/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74" t="str">
        <f t="shared" si="3"/>
        <v/>
      </c>
    </row>
    <row r="17" spans="1:20" ht="25" customHeight="1">
      <c r="A17" s="38">
        <v>45714</v>
      </c>
      <c r="B17" s="15" t="s">
        <v>352</v>
      </c>
      <c r="C17" s="16" t="s">
        <v>144</v>
      </c>
      <c r="D17" s="5">
        <v>0.35416666666666669</v>
      </c>
      <c r="E17" s="5">
        <v>0.45833333333333331</v>
      </c>
      <c r="F17" s="6" t="str">
        <f t="shared" si="0"/>
        <v>No</v>
      </c>
      <c r="G17" s="6">
        <f t="shared" si="4"/>
        <v>0.10416666666666663</v>
      </c>
      <c r="H17" s="50">
        <f>_xlfn.IFNA(VLOOKUP(C:C,'Active Jobs'!B:K,8,0),"")</f>
        <v>250</v>
      </c>
      <c r="I17" s="8">
        <f t="shared" si="5"/>
        <v>2.4999999999999991</v>
      </c>
      <c r="J17" s="50">
        <f t="shared" si="6"/>
        <v>167.75174999999993</v>
      </c>
      <c r="K17" s="50">
        <f t="shared" si="1"/>
        <v>82.24825000000007</v>
      </c>
      <c r="L17" s="9">
        <f t="shared" si="7"/>
        <v>0.67100699999999969</v>
      </c>
      <c r="M17" s="16">
        <v>1</v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3"/>
        <v/>
      </c>
    </row>
    <row r="18" spans="1:20" ht="25" customHeight="1">
      <c r="A18" s="38">
        <v>45714</v>
      </c>
      <c r="B18" s="15" t="s">
        <v>352</v>
      </c>
      <c r="C18" s="16" t="s">
        <v>98</v>
      </c>
      <c r="D18" s="5">
        <v>0.45833333333333331</v>
      </c>
      <c r="E18" s="5">
        <v>0.5625</v>
      </c>
      <c r="F18" s="6" t="s">
        <v>17</v>
      </c>
      <c r="G18" s="6">
        <f t="shared" si="4"/>
        <v>8.3333333333333356E-2</v>
      </c>
      <c r="H18" s="50">
        <f>_xlfn.IFNA(VLOOKUP(C:C,'Active Jobs'!B:K,8,0),"")</f>
        <v>250</v>
      </c>
      <c r="I18" s="8">
        <f t="shared" si="5"/>
        <v>2.0000000000000004</v>
      </c>
      <c r="J18" s="50">
        <f t="shared" si="6"/>
        <v>134.20140000000004</v>
      </c>
      <c r="K18" s="50">
        <f t="shared" si="1"/>
        <v>115.79859999999996</v>
      </c>
      <c r="L18" s="9">
        <f t="shared" si="7"/>
        <v>0.5368056000000001</v>
      </c>
      <c r="M18" s="16">
        <v>1</v>
      </c>
      <c r="O18" s="23" t="str">
        <f t="shared" si="8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3"/>
        <v/>
      </c>
    </row>
    <row r="19" spans="1:20" ht="25" customHeight="1">
      <c r="A19" s="38">
        <v>45714</v>
      </c>
      <c r="B19" s="15" t="s">
        <v>352</v>
      </c>
      <c r="C19" s="16" t="s">
        <v>111</v>
      </c>
      <c r="D19" s="5">
        <v>0.5625</v>
      </c>
      <c r="E19" s="5">
        <v>0.63541666666666663</v>
      </c>
      <c r="F19" s="6" t="str">
        <f t="shared" si="0"/>
        <v>No</v>
      </c>
      <c r="G19" s="6">
        <f t="shared" si="4"/>
        <v>7.291666666666663E-2</v>
      </c>
      <c r="H19" s="50">
        <f>_xlfn.IFNA(VLOOKUP(C:C,'Active Jobs'!B:K,8,0),"")</f>
        <v>220</v>
      </c>
      <c r="I19" s="8">
        <f t="shared" si="5"/>
        <v>1.7499999999999991</v>
      </c>
      <c r="J19" s="50">
        <f t="shared" si="6"/>
        <v>117.42622499999993</v>
      </c>
      <c r="K19" s="50">
        <f t="shared" si="1"/>
        <v>102.57377500000007</v>
      </c>
      <c r="L19" s="9">
        <f t="shared" si="7"/>
        <v>0.53375556818181791</v>
      </c>
      <c r="M19" s="16">
        <v>1</v>
      </c>
      <c r="O19" s="23" t="str">
        <f t="shared" si="8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3"/>
        <v/>
      </c>
    </row>
    <row r="20" spans="1:20" ht="25" customHeight="1">
      <c r="A20" s="38">
        <v>45714</v>
      </c>
      <c r="B20" s="15" t="s">
        <v>339</v>
      </c>
      <c r="C20" s="16" t="s">
        <v>147</v>
      </c>
      <c r="D20" s="5">
        <v>0.35416666666666669</v>
      </c>
      <c r="E20" s="5">
        <v>0.45833333333333331</v>
      </c>
      <c r="F20" s="6" t="str">
        <f t="shared" si="0"/>
        <v>No</v>
      </c>
      <c r="G20" s="62">
        <f t="shared" si="4"/>
        <v>0.10416666666666663</v>
      </c>
      <c r="H20" s="50">
        <f>_xlfn.IFNA(VLOOKUP(C:C,'Active Jobs'!B:K,8,0),"")</f>
        <v>200</v>
      </c>
      <c r="I20" s="8">
        <f t="shared" si="5"/>
        <v>2.4999999999999991</v>
      </c>
      <c r="J20" s="50">
        <f t="shared" si="6"/>
        <v>167.75174999999993</v>
      </c>
      <c r="K20" s="50">
        <f t="shared" si="1"/>
        <v>32.24825000000007</v>
      </c>
      <c r="L20" s="9">
        <f t="shared" si="7"/>
        <v>0.83875874999999966</v>
      </c>
      <c r="M20" s="16">
        <v>2</v>
      </c>
      <c r="O20" s="23" t="str">
        <f t="shared" si="8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3"/>
        <v/>
      </c>
    </row>
    <row r="21" spans="1:20" ht="25" customHeight="1">
      <c r="A21" s="38">
        <v>45714</v>
      </c>
      <c r="B21" s="15" t="s">
        <v>339</v>
      </c>
      <c r="C21" s="16" t="s">
        <v>25</v>
      </c>
      <c r="D21" s="5">
        <v>0.45833333333333331</v>
      </c>
      <c r="E21" s="5">
        <v>0.5625</v>
      </c>
      <c r="F21" s="6" t="s">
        <v>17</v>
      </c>
      <c r="G21" s="6">
        <f t="shared" si="4"/>
        <v>8.3333333333333356E-2</v>
      </c>
      <c r="H21" s="50">
        <f>_xlfn.IFNA(VLOOKUP(C:C,'Active Jobs'!B:K,8,0),"")</f>
        <v>220</v>
      </c>
      <c r="I21" s="8">
        <f t="shared" si="5"/>
        <v>2.0000000000000004</v>
      </c>
      <c r="J21" s="50">
        <f t="shared" si="6"/>
        <v>134.20140000000004</v>
      </c>
      <c r="K21" s="50">
        <f t="shared" si="1"/>
        <v>85.798599999999965</v>
      </c>
      <c r="L21" s="9">
        <f t="shared" si="7"/>
        <v>0.61000636363636385</v>
      </c>
      <c r="M21" s="16">
        <v>2</v>
      </c>
      <c r="O21" s="23" t="str">
        <f t="shared" si="8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3"/>
        <v/>
      </c>
    </row>
    <row r="22" spans="1:20" ht="25" customHeight="1">
      <c r="A22" s="38">
        <v>45714</v>
      </c>
      <c r="B22" s="15" t="s">
        <v>339</v>
      </c>
      <c r="C22" s="16" t="s">
        <v>146</v>
      </c>
      <c r="D22" s="5">
        <v>0.5625</v>
      </c>
      <c r="E22" s="5">
        <v>0.64583333333333337</v>
      </c>
      <c r="F22" s="6" t="str">
        <f t="shared" si="0"/>
        <v>No</v>
      </c>
      <c r="G22" s="6">
        <f t="shared" si="4"/>
        <v>8.333333333333337E-2</v>
      </c>
      <c r="H22" s="50">
        <f>_xlfn.IFNA(VLOOKUP(C:C,'Active Jobs'!B:K,8,0),"")</f>
        <v>250</v>
      </c>
      <c r="I22" s="8">
        <f t="shared" si="5"/>
        <v>2.0000000000000009</v>
      </c>
      <c r="J22" s="50">
        <f t="shared" si="6"/>
        <v>134.20140000000006</v>
      </c>
      <c r="K22" s="50">
        <f t="shared" si="1"/>
        <v>115.79859999999994</v>
      </c>
      <c r="L22" s="9">
        <f t="shared" si="7"/>
        <v>0.53680560000000022</v>
      </c>
      <c r="M22" s="16">
        <v>2</v>
      </c>
      <c r="O22" s="23" t="str">
        <f t="shared" ref="O22:S31" si="9">IF(N22="","",ROUND(SUMIFS($I:$I,$A:$A,O$1,$B:$B,"*"&amp;$N22&amp;"*"),2))</f>
        <v/>
      </c>
      <c r="P22" s="23" t="str">
        <f t="shared" si="9"/>
        <v/>
      </c>
      <c r="Q22" s="23" t="str">
        <f t="shared" si="9"/>
        <v/>
      </c>
      <c r="R22" s="23" t="str">
        <f t="shared" si="9"/>
        <v/>
      </c>
      <c r="S22" s="23" t="str">
        <f t="shared" si="9"/>
        <v/>
      </c>
      <c r="T22" s="74" t="str">
        <f t="shared" si="3"/>
        <v/>
      </c>
    </row>
    <row r="23" spans="1:20" ht="25" customHeight="1">
      <c r="A23" s="38">
        <v>45715</v>
      </c>
      <c r="B23" s="15" t="s">
        <v>339</v>
      </c>
      <c r="C23" s="16" t="s">
        <v>151</v>
      </c>
      <c r="D23" s="5">
        <v>0.35416666666666669</v>
      </c>
      <c r="E23" s="5">
        <v>0.45833333333333331</v>
      </c>
      <c r="F23" s="6" t="str">
        <f t="shared" si="0"/>
        <v>No</v>
      </c>
      <c r="G23" s="6">
        <f t="shared" si="4"/>
        <v>0.10416666666666663</v>
      </c>
      <c r="H23" s="50">
        <f>_xlfn.IFNA(VLOOKUP(C:C,'Active Jobs'!B:K,8,0),"")</f>
        <v>250</v>
      </c>
      <c r="I23" s="8">
        <f t="shared" si="5"/>
        <v>2.4999999999999991</v>
      </c>
      <c r="J23" s="50">
        <f t="shared" si="6"/>
        <v>167.75174999999993</v>
      </c>
      <c r="K23" s="50">
        <f t="shared" si="1"/>
        <v>82.24825000000007</v>
      </c>
      <c r="L23" s="9">
        <f t="shared" si="7"/>
        <v>0.67100699999999969</v>
      </c>
      <c r="M23" s="16">
        <v>2</v>
      </c>
      <c r="O23" s="23" t="str">
        <f t="shared" si="9"/>
        <v/>
      </c>
      <c r="P23" s="23" t="str">
        <f t="shared" si="9"/>
        <v/>
      </c>
      <c r="Q23" s="23" t="str">
        <f t="shared" si="9"/>
        <v/>
      </c>
      <c r="R23" s="23" t="str">
        <f t="shared" si="9"/>
        <v/>
      </c>
      <c r="S23" s="23" t="str">
        <f t="shared" si="9"/>
        <v/>
      </c>
      <c r="T23" s="74" t="str">
        <f t="shared" si="3"/>
        <v/>
      </c>
    </row>
    <row r="24" spans="1:20" ht="25" customHeight="1">
      <c r="A24" s="38">
        <v>45715</v>
      </c>
      <c r="B24" s="15" t="s">
        <v>339</v>
      </c>
      <c r="C24" s="16" t="s">
        <v>174</v>
      </c>
      <c r="D24" s="5">
        <v>0.45833333333333331</v>
      </c>
      <c r="E24" s="5">
        <v>0.55208333333333337</v>
      </c>
      <c r="F24" s="6" t="s">
        <v>17</v>
      </c>
      <c r="G24" s="6">
        <f t="shared" si="4"/>
        <v>7.2916666666666727E-2</v>
      </c>
      <c r="H24" s="50">
        <f>_xlfn.IFNA(VLOOKUP(C:C,'Active Jobs'!B:K,8,0),"")</f>
        <v>220</v>
      </c>
      <c r="I24" s="8">
        <f t="shared" si="5"/>
        <v>1.7500000000000013</v>
      </c>
      <c r="J24" s="50">
        <f t="shared" si="6"/>
        <v>117.42622500000009</v>
      </c>
      <c r="K24" s="50">
        <f t="shared" si="1"/>
        <v>102.57377499999991</v>
      </c>
      <c r="L24" s="9">
        <f t="shared" si="7"/>
        <v>0.53375556818181857</v>
      </c>
      <c r="M24" s="16">
        <v>2</v>
      </c>
      <c r="O24" s="23" t="str">
        <f t="shared" si="9"/>
        <v/>
      </c>
      <c r="P24" s="23" t="str">
        <f t="shared" si="9"/>
        <v/>
      </c>
      <c r="Q24" s="23" t="str">
        <f t="shared" si="9"/>
        <v/>
      </c>
      <c r="R24" s="23" t="str">
        <f t="shared" si="9"/>
        <v/>
      </c>
      <c r="S24" s="23" t="str">
        <f t="shared" si="9"/>
        <v/>
      </c>
      <c r="T24" s="74" t="str">
        <f t="shared" si="3"/>
        <v/>
      </c>
    </row>
    <row r="25" spans="1:20" ht="25" customHeight="1">
      <c r="A25" s="38">
        <v>45715</v>
      </c>
      <c r="B25" s="15" t="s">
        <v>339</v>
      </c>
      <c r="C25" s="16" t="s">
        <v>152</v>
      </c>
      <c r="D25" s="5">
        <v>0.57291666666666663</v>
      </c>
      <c r="E25" s="5">
        <v>0.65625</v>
      </c>
      <c r="F25" s="6" t="str">
        <f t="shared" si="0"/>
        <v>No</v>
      </c>
      <c r="G25" s="6">
        <f t="shared" si="4"/>
        <v>8.333333333333337E-2</v>
      </c>
      <c r="H25" s="50">
        <f>_xlfn.IFNA(VLOOKUP(C:C,'Active Jobs'!B:K,8,0),"")</f>
        <v>220</v>
      </c>
      <c r="I25" s="8">
        <f t="shared" si="5"/>
        <v>2.0000000000000009</v>
      </c>
      <c r="J25" s="50">
        <f t="shared" si="6"/>
        <v>134.20140000000006</v>
      </c>
      <c r="K25" s="50">
        <f t="shared" si="1"/>
        <v>85.798599999999936</v>
      </c>
      <c r="L25" s="9">
        <f t="shared" si="7"/>
        <v>0.61000636363636396</v>
      </c>
      <c r="M25" s="16">
        <v>2</v>
      </c>
      <c r="O25" s="23" t="str">
        <f t="shared" si="9"/>
        <v/>
      </c>
      <c r="P25" s="23" t="str">
        <f t="shared" si="9"/>
        <v/>
      </c>
      <c r="Q25" s="23" t="str">
        <f t="shared" si="9"/>
        <v/>
      </c>
      <c r="R25" s="23" t="str">
        <f t="shared" si="9"/>
        <v/>
      </c>
      <c r="S25" s="23" t="str">
        <f t="shared" si="9"/>
        <v/>
      </c>
      <c r="T25" s="74" t="str">
        <f t="shared" si="3"/>
        <v/>
      </c>
    </row>
    <row r="26" spans="1:20" ht="25" customHeight="1">
      <c r="A26" s="38">
        <v>45715</v>
      </c>
      <c r="B26" s="15" t="s">
        <v>352</v>
      </c>
      <c r="C26" s="16" t="s">
        <v>113</v>
      </c>
      <c r="D26" s="5">
        <v>0.36458333333333331</v>
      </c>
      <c r="E26" s="5">
        <v>0.44791666666666669</v>
      </c>
      <c r="F26" s="6" t="str">
        <f t="shared" si="0"/>
        <v>No</v>
      </c>
      <c r="G26" s="6">
        <f t="shared" si="4"/>
        <v>8.333333333333337E-2</v>
      </c>
      <c r="H26" s="50">
        <f>_xlfn.IFNA(VLOOKUP(C:C,'Active Jobs'!B:K,8,0),"")</f>
        <v>230</v>
      </c>
      <c r="I26" s="8">
        <f t="shared" si="5"/>
        <v>2.0000000000000009</v>
      </c>
      <c r="J26" s="50">
        <f t="shared" si="6"/>
        <v>134.20140000000006</v>
      </c>
      <c r="K26" s="50">
        <f t="shared" si="1"/>
        <v>95.798599999999936</v>
      </c>
      <c r="L26" s="9">
        <f t="shared" si="7"/>
        <v>0.58348434782608727</v>
      </c>
      <c r="M26" s="16">
        <v>1</v>
      </c>
      <c r="O26" s="23" t="str">
        <f t="shared" si="9"/>
        <v/>
      </c>
      <c r="P26" s="23" t="str">
        <f t="shared" si="9"/>
        <v/>
      </c>
      <c r="Q26" s="23" t="str">
        <f t="shared" si="9"/>
        <v/>
      </c>
      <c r="R26" s="23" t="str">
        <f t="shared" si="9"/>
        <v/>
      </c>
      <c r="S26" s="23" t="str">
        <f t="shared" si="9"/>
        <v/>
      </c>
      <c r="T26" s="74" t="str">
        <f t="shared" si="3"/>
        <v/>
      </c>
    </row>
    <row r="27" spans="1:20" ht="25" customHeight="1">
      <c r="A27" s="38">
        <v>45715</v>
      </c>
      <c r="B27" s="15" t="s">
        <v>352</v>
      </c>
      <c r="C27" s="16" t="s">
        <v>160</v>
      </c>
      <c r="D27" s="5">
        <v>0.44791666666666669</v>
      </c>
      <c r="E27" s="5">
        <v>0.5625</v>
      </c>
      <c r="F27" s="6" t="s">
        <v>17</v>
      </c>
      <c r="G27" s="6">
        <f t="shared" si="4"/>
        <v>9.3749999999999986E-2</v>
      </c>
      <c r="H27" s="50">
        <v>0</v>
      </c>
      <c r="I27" s="8">
        <f t="shared" si="5"/>
        <v>2.2499999999999996</v>
      </c>
      <c r="J27" s="50">
        <f t="shared" si="6"/>
        <v>150.97657499999997</v>
      </c>
      <c r="K27" s="50">
        <f t="shared" si="1"/>
        <v>-150.97657499999997</v>
      </c>
      <c r="L27" s="9">
        <f t="shared" si="7"/>
        <v>1</v>
      </c>
      <c r="M27" s="16">
        <v>1</v>
      </c>
      <c r="O27" s="23" t="str">
        <f t="shared" si="9"/>
        <v/>
      </c>
      <c r="P27" s="23" t="str">
        <f t="shared" si="9"/>
        <v/>
      </c>
      <c r="Q27" s="23" t="str">
        <f t="shared" si="9"/>
        <v/>
      </c>
      <c r="R27" s="23" t="str">
        <f t="shared" si="9"/>
        <v/>
      </c>
      <c r="S27" s="23" t="str">
        <f t="shared" si="9"/>
        <v/>
      </c>
      <c r="T27" s="74" t="str">
        <f t="shared" si="3"/>
        <v/>
      </c>
    </row>
    <row r="28" spans="1:20" ht="25" customHeight="1">
      <c r="A28" s="38">
        <v>45715</v>
      </c>
      <c r="B28" s="15" t="s">
        <v>352</v>
      </c>
      <c r="C28" s="16" t="s">
        <v>51</v>
      </c>
      <c r="D28" s="5">
        <v>0.5625</v>
      </c>
      <c r="E28" s="5">
        <v>0.65625</v>
      </c>
      <c r="F28" s="6" t="str">
        <f t="shared" si="0"/>
        <v>No</v>
      </c>
      <c r="G28" s="6">
        <f t="shared" si="4"/>
        <v>9.375E-2</v>
      </c>
      <c r="H28" s="50">
        <f>_xlfn.IFNA(VLOOKUP(C:C,'Active Jobs'!B:K,8,0),"")</f>
        <v>250</v>
      </c>
      <c r="I28" s="8">
        <f t="shared" si="5"/>
        <v>2.25</v>
      </c>
      <c r="J28" s="50">
        <f t="shared" si="6"/>
        <v>150.976575</v>
      </c>
      <c r="K28" s="50">
        <f t="shared" si="1"/>
        <v>99.023425000000003</v>
      </c>
      <c r="L28" s="9">
        <f t="shared" si="7"/>
        <v>0.60390630000000001</v>
      </c>
      <c r="M28" s="16">
        <v>1</v>
      </c>
      <c r="O28" s="23" t="str">
        <f t="shared" si="9"/>
        <v/>
      </c>
      <c r="P28" s="23" t="str">
        <f t="shared" si="9"/>
        <v/>
      </c>
      <c r="Q28" s="23" t="str">
        <f t="shared" si="9"/>
        <v/>
      </c>
      <c r="R28" s="23" t="str">
        <f t="shared" si="9"/>
        <v/>
      </c>
      <c r="S28" s="23" t="str">
        <f t="shared" si="9"/>
        <v/>
      </c>
      <c r="T28" s="74" t="str">
        <f t="shared" si="3"/>
        <v/>
      </c>
    </row>
    <row r="29" spans="1:20" ht="25" customHeight="1">
      <c r="A29" s="38">
        <v>45715</v>
      </c>
      <c r="B29" s="15" t="s">
        <v>352</v>
      </c>
      <c r="C29" s="16" t="s">
        <v>167</v>
      </c>
      <c r="D29" s="5">
        <v>0.65625</v>
      </c>
      <c r="E29" s="5">
        <v>0.72569444444444442</v>
      </c>
      <c r="F29" s="6" t="str">
        <f t="shared" si="0"/>
        <v>No</v>
      </c>
      <c r="G29" s="6">
        <f t="shared" si="4"/>
        <v>6.944444444444442E-2</v>
      </c>
      <c r="H29" s="50">
        <f>_xlfn.IFNA(VLOOKUP(C:C,'Active Jobs'!B:K,8,0),"")</f>
        <v>200</v>
      </c>
      <c r="I29" s="8">
        <f t="shared" si="5"/>
        <v>1.6666666666666661</v>
      </c>
      <c r="J29" s="50">
        <f t="shared" si="6"/>
        <v>111.83449999999996</v>
      </c>
      <c r="K29" s="50">
        <f t="shared" si="1"/>
        <v>88.165500000000037</v>
      </c>
      <c r="L29" s="9">
        <f t="shared" si="7"/>
        <v>0.55917249999999985</v>
      </c>
      <c r="M29" s="16">
        <v>1</v>
      </c>
      <c r="O29" s="23" t="str">
        <f t="shared" si="9"/>
        <v/>
      </c>
      <c r="P29" s="23" t="str">
        <f t="shared" si="9"/>
        <v/>
      </c>
      <c r="Q29" s="23" t="str">
        <f t="shared" si="9"/>
        <v/>
      </c>
      <c r="R29" s="23" t="str">
        <f t="shared" si="9"/>
        <v/>
      </c>
      <c r="S29" s="23" t="str">
        <f t="shared" si="9"/>
        <v/>
      </c>
      <c r="T29" s="74" t="str">
        <f t="shared" si="3"/>
        <v/>
      </c>
    </row>
    <row r="30" spans="1:20" ht="25" customHeight="1">
      <c r="A30" s="38">
        <v>45716</v>
      </c>
      <c r="B30" s="15" t="s">
        <v>339</v>
      </c>
      <c r="C30" s="16" t="s">
        <v>126</v>
      </c>
      <c r="D30" s="5">
        <v>0.35416666666666669</v>
      </c>
      <c r="E30" s="5">
        <v>0.45833333333333331</v>
      </c>
      <c r="F30" s="6" t="str">
        <f t="shared" ref="F30" si="10">IF(E30="","","No")</f>
        <v>No</v>
      </c>
      <c r="G30" s="6">
        <f t="shared" ref="G30:G31" si="11">IF(E30="","",IF(F30="Yes",(E30-D30)-TIME(0,30,0),E30-D30))</f>
        <v>0.10416666666666663</v>
      </c>
      <c r="H30" s="50">
        <f>_xlfn.IFNA(VLOOKUP(C:C,'Active Jobs'!B:K,8,0),"")</f>
        <v>250</v>
      </c>
      <c r="I30" s="8">
        <f t="shared" ref="I30:I31" si="12">IF(F30="Yes",(E30-D30)*24-0.5,IF(F30="No",(E30-D30)*24,""))</f>
        <v>2.4999999999999991</v>
      </c>
      <c r="J30" s="50">
        <f>IF(G30="","",G30*24*HourlyRate*2*(1+Super))</f>
        <v>167.75174999999993</v>
      </c>
      <c r="K30" s="50">
        <f t="shared" ref="K30:K31" si="13">IF(H30="","",IF(E30="","",IF(J30=0,0,H30-J30)))</f>
        <v>82.24825000000007</v>
      </c>
      <c r="L30" s="9">
        <f t="shared" ref="L30:L31" si="14">IF(K30="","",IF(H30=0,1,J30/H30))</f>
        <v>0.67100699999999969</v>
      </c>
      <c r="M30" s="16">
        <v>2</v>
      </c>
      <c r="O30" s="23" t="str">
        <f t="shared" si="9"/>
        <v/>
      </c>
      <c r="P30" s="23" t="str">
        <f t="shared" si="9"/>
        <v/>
      </c>
      <c r="Q30" s="23" t="str">
        <f t="shared" si="9"/>
        <v/>
      </c>
      <c r="R30" s="23" t="str">
        <f t="shared" si="9"/>
        <v/>
      </c>
      <c r="S30" s="23" t="str">
        <f t="shared" si="9"/>
        <v/>
      </c>
      <c r="T30" s="74" t="str">
        <f t="shared" si="3"/>
        <v/>
      </c>
    </row>
    <row r="31" spans="1:20" ht="25" customHeight="1">
      <c r="A31" s="38">
        <v>45716</v>
      </c>
      <c r="B31" s="15" t="s">
        <v>339</v>
      </c>
      <c r="C31" s="16" t="s">
        <v>155</v>
      </c>
      <c r="D31" s="5">
        <v>0.45833333333333331</v>
      </c>
      <c r="E31" s="5">
        <v>0.5625</v>
      </c>
      <c r="F31" s="6" t="s">
        <v>17</v>
      </c>
      <c r="G31" s="6">
        <f t="shared" si="11"/>
        <v>8.3333333333333356E-2</v>
      </c>
      <c r="H31" s="50">
        <f>_xlfn.IFNA(VLOOKUP(C:C,'Active Jobs'!B:K,8,0),"")</f>
        <v>220</v>
      </c>
      <c r="I31" s="8">
        <f t="shared" si="12"/>
        <v>2.0000000000000004</v>
      </c>
      <c r="J31" s="50">
        <f>IF(G31="","",G31*24*HourlyRate*2*(1+Super))</f>
        <v>134.20140000000004</v>
      </c>
      <c r="K31" s="50">
        <f t="shared" si="13"/>
        <v>85.798599999999965</v>
      </c>
      <c r="L31" s="9">
        <f t="shared" si="14"/>
        <v>0.61000636363636385</v>
      </c>
      <c r="M31" s="16">
        <v>2</v>
      </c>
      <c r="O31" s="23" t="str">
        <f t="shared" si="9"/>
        <v/>
      </c>
      <c r="P31" s="23" t="str">
        <f t="shared" si="9"/>
        <v/>
      </c>
      <c r="Q31" s="23" t="str">
        <f t="shared" si="9"/>
        <v/>
      </c>
      <c r="R31" s="23" t="str">
        <f t="shared" si="9"/>
        <v/>
      </c>
      <c r="S31" s="23" t="str">
        <f t="shared" si="9"/>
        <v/>
      </c>
      <c r="T31" s="74" t="str">
        <f t="shared" si="3"/>
        <v/>
      </c>
    </row>
    <row r="32" spans="1:20" ht="25" customHeight="1">
      <c r="A32" s="38">
        <v>45716</v>
      </c>
      <c r="B32" s="15" t="s">
        <v>339</v>
      </c>
      <c r="C32" s="16" t="s">
        <v>124</v>
      </c>
      <c r="D32" s="5">
        <v>0.5625</v>
      </c>
      <c r="E32" s="5">
        <v>0.67013888888888884</v>
      </c>
      <c r="F32" s="6" t="str">
        <f t="shared" ref="F32:F33" si="15">IF(E32="","","No")</f>
        <v>No</v>
      </c>
      <c r="G32" s="6">
        <f t="shared" ref="G32:G33" si="16">IF(E32="","",IF(F32="Yes",(E32-D32)-TIME(0,30,0),E32-D32))</f>
        <v>0.10763888888888884</v>
      </c>
      <c r="H32" s="50">
        <f>_xlfn.IFNA(VLOOKUP(C:C,'Active Jobs'!B:K,8,0),"")</f>
        <v>250</v>
      </c>
      <c r="I32" s="8">
        <f t="shared" ref="I32:I33" si="17">IF(F32="Yes",(E32-D32)*24-0.5,IF(F32="No",(E32-D32)*24,""))</f>
        <v>2.5833333333333321</v>
      </c>
      <c r="J32" s="50">
        <f>IF(G32="","",G32*24*HourlyRate*2*(1+Super))</f>
        <v>173.3434749999999</v>
      </c>
      <c r="K32" s="50">
        <f t="shared" ref="K32:K33" si="18">IF(H32="","",IF(E32="","",IF(J32=0,0,H32-J32)))</f>
        <v>76.656525000000101</v>
      </c>
      <c r="L32" s="9">
        <f t="shared" ref="L32:L33" si="19">IF(K32="","",IF(H32=0,1,J32/H32))</f>
        <v>0.69337389999999954</v>
      </c>
      <c r="M32" s="16">
        <v>2</v>
      </c>
      <c r="O32" s="23" t="str">
        <f t="shared" ref="O32:S41" si="20">IF(N32="","",ROUND(SUMIFS($I:$I,$A:$A,O$1,$B:$B,"*"&amp;$N32&amp;"*"),2))</f>
        <v/>
      </c>
      <c r="P32" s="23" t="str">
        <f t="shared" si="20"/>
        <v/>
      </c>
      <c r="Q32" s="23" t="str">
        <f t="shared" si="20"/>
        <v/>
      </c>
      <c r="R32" s="23" t="str">
        <f t="shared" si="20"/>
        <v/>
      </c>
      <c r="S32" s="23" t="str">
        <f t="shared" si="20"/>
        <v/>
      </c>
      <c r="T32" s="74" t="str">
        <f t="shared" si="3"/>
        <v/>
      </c>
    </row>
    <row r="33" spans="1:20" ht="25" customHeight="1">
      <c r="A33" s="38">
        <v>45716</v>
      </c>
      <c r="B33" s="15" t="s">
        <v>352</v>
      </c>
      <c r="C33" s="16" t="s">
        <v>54</v>
      </c>
      <c r="D33" s="5">
        <v>0.35416666666666669</v>
      </c>
      <c r="E33" s="5">
        <v>0.45833333333333331</v>
      </c>
      <c r="F33" s="6" t="str">
        <f t="shared" si="15"/>
        <v>No</v>
      </c>
      <c r="G33" s="6">
        <f t="shared" si="16"/>
        <v>0.10416666666666663</v>
      </c>
      <c r="H33" s="50">
        <f>_xlfn.IFNA(VLOOKUP(C:C,'Active Jobs'!B:K,8,0),"")</f>
        <v>200</v>
      </c>
      <c r="I33" s="8">
        <f t="shared" si="17"/>
        <v>2.4999999999999991</v>
      </c>
      <c r="J33" s="50">
        <f>IF(G33="","",G33*24*HourlyRate*2*(1+Super))</f>
        <v>167.75174999999993</v>
      </c>
      <c r="K33" s="50">
        <f t="shared" si="18"/>
        <v>32.24825000000007</v>
      </c>
      <c r="L33" s="9">
        <f t="shared" si="19"/>
        <v>0.83875874999999966</v>
      </c>
      <c r="M33" s="16">
        <v>1</v>
      </c>
      <c r="O33" s="23" t="str">
        <f t="shared" si="20"/>
        <v/>
      </c>
      <c r="P33" s="23" t="str">
        <f t="shared" si="20"/>
        <v/>
      </c>
      <c r="Q33" s="23" t="str">
        <f t="shared" si="20"/>
        <v/>
      </c>
      <c r="R33" s="23" t="str">
        <f t="shared" si="20"/>
        <v/>
      </c>
      <c r="S33" s="23" t="str">
        <f t="shared" si="20"/>
        <v/>
      </c>
      <c r="T33" s="74" t="str">
        <f t="shared" si="3"/>
        <v/>
      </c>
    </row>
    <row r="34" spans="1:20" ht="25" customHeight="1">
      <c r="A34" s="38">
        <v>45716</v>
      </c>
      <c r="B34" s="15" t="s">
        <v>352</v>
      </c>
      <c r="C34" s="16" t="s">
        <v>55</v>
      </c>
      <c r="D34" s="5">
        <v>0.46875</v>
      </c>
      <c r="E34" s="5">
        <v>0.57291666666666663</v>
      </c>
      <c r="F34" s="6" t="s">
        <v>17</v>
      </c>
      <c r="G34" s="6">
        <f>IF(E34="","",IF(F34="Yes",(E34-D34)-TIME(0,30,0),E34-D34))</f>
        <v>8.3333333333333301E-2</v>
      </c>
      <c r="H34" s="50">
        <f>_xlfn.IFNA(VLOOKUP(C:C,'Active Jobs'!B:K,8,0),"")</f>
        <v>220</v>
      </c>
      <c r="I34" s="8">
        <f>IF(F34="Yes",(E34-D34)*24-0.5,IF(F34="No",(E34-D34)*24,""))</f>
        <v>1.9999999999999991</v>
      </c>
      <c r="J34" s="50">
        <f>IF(G34="","",G34*24*HourlyRate*2*(1+Super))</f>
        <v>134.20139999999992</v>
      </c>
      <c r="K34" s="50">
        <f t="shared" si="1"/>
        <v>85.798600000000079</v>
      </c>
      <c r="L34" s="9">
        <f>IF(K34="","",IF(H34=0,1,J34/H34))</f>
        <v>0.61000636363636329</v>
      </c>
      <c r="M34" s="16">
        <v>1</v>
      </c>
      <c r="O34" s="23" t="str">
        <f t="shared" si="20"/>
        <v/>
      </c>
      <c r="P34" s="23" t="str">
        <f t="shared" si="20"/>
        <v/>
      </c>
      <c r="Q34" s="23" t="str">
        <f t="shared" si="20"/>
        <v/>
      </c>
      <c r="R34" s="23" t="str">
        <f t="shared" si="20"/>
        <v/>
      </c>
      <c r="S34" s="23" t="str">
        <f t="shared" si="20"/>
        <v/>
      </c>
      <c r="T34" s="74" t="str">
        <f t="shared" si="3"/>
        <v/>
      </c>
    </row>
    <row r="35" spans="1:20" ht="25" customHeight="1">
      <c r="A35" s="38">
        <v>45716</v>
      </c>
      <c r="B35" s="15" t="s">
        <v>352</v>
      </c>
      <c r="C35" s="49" t="s">
        <v>47</v>
      </c>
      <c r="D35" s="5">
        <v>0.57291666666666663</v>
      </c>
      <c r="E35" s="5">
        <v>0.63541666666666663</v>
      </c>
      <c r="F35" s="6" t="str">
        <f t="shared" si="0"/>
        <v>No</v>
      </c>
      <c r="G35" s="6">
        <f t="shared" si="4"/>
        <v>6.25E-2</v>
      </c>
      <c r="H35" s="50">
        <f>_xlfn.IFNA(VLOOKUP(C:C,'Active Jobs'!B:K,8,0),"")</f>
        <v>200</v>
      </c>
      <c r="I35" s="8">
        <f t="shared" si="5"/>
        <v>1.5</v>
      </c>
      <c r="J35" s="50">
        <f t="shared" si="6"/>
        <v>100.65105</v>
      </c>
      <c r="K35" s="50">
        <f t="shared" si="1"/>
        <v>99.348950000000002</v>
      </c>
      <c r="L35" s="9">
        <f t="shared" si="7"/>
        <v>0.50325525000000004</v>
      </c>
      <c r="M35" s="16">
        <v>1</v>
      </c>
      <c r="O35" s="23" t="str">
        <f t="shared" si="20"/>
        <v/>
      </c>
      <c r="P35" s="23" t="str">
        <f t="shared" si="20"/>
        <v/>
      </c>
      <c r="Q35" s="23" t="str">
        <f t="shared" si="20"/>
        <v/>
      </c>
      <c r="R35" s="23" t="str">
        <f t="shared" si="20"/>
        <v/>
      </c>
      <c r="S35" s="23" t="str">
        <f t="shared" si="20"/>
        <v/>
      </c>
      <c r="T35" s="74" t="str">
        <f t="shared" si="3"/>
        <v/>
      </c>
    </row>
    <row r="36" spans="1:20" ht="25" customHeight="1">
      <c r="A36" s="39"/>
      <c r="B36" s="29"/>
      <c r="C36" s="30"/>
      <c r="D36" s="1"/>
      <c r="E36" s="1"/>
      <c r="F36" s="31"/>
      <c r="G36" s="32"/>
      <c r="H36" s="53">
        <f>SUBTOTAL(109,Table2261210141630[Quoted])</f>
        <v>7650</v>
      </c>
      <c r="I36" s="34">
        <f>SUBTOTAL(109,Table2261210141630[Hours Payable])</f>
        <v>73.416666666666657</v>
      </c>
      <c r="J36" s="53">
        <f>SUBTOTAL(109,Table2261210141630[Wages (Incl. Super)])</f>
        <v>4926.3097250000001</v>
      </c>
      <c r="K36" s="53">
        <f>SUBTOTAL(109,Table2261210141630[Profit])</f>
        <v>2723.6902749999999</v>
      </c>
      <c r="L36" s="35">
        <f>IF(L2="","",SUBTOTAL(101,Table2261210141630[Quote/Wages]))</f>
        <v>0.63788330042668173</v>
      </c>
      <c r="O36" s="23" t="str">
        <f t="shared" si="20"/>
        <v/>
      </c>
      <c r="P36" s="23" t="str">
        <f t="shared" si="20"/>
        <v/>
      </c>
      <c r="Q36" s="23" t="str">
        <f t="shared" si="20"/>
        <v/>
      </c>
      <c r="R36" s="23" t="str">
        <f t="shared" si="20"/>
        <v/>
      </c>
      <c r="S36" s="23" t="str">
        <f t="shared" si="20"/>
        <v/>
      </c>
      <c r="T36" s="74" t="str">
        <f t="shared" si="3"/>
        <v/>
      </c>
    </row>
    <row r="37" spans="1:20" ht="25" customHeight="1">
      <c r="O37" s="23" t="str">
        <f t="shared" si="20"/>
        <v/>
      </c>
      <c r="P37" s="23" t="str">
        <f t="shared" si="20"/>
        <v/>
      </c>
      <c r="Q37" s="23" t="str">
        <f t="shared" si="20"/>
        <v/>
      </c>
      <c r="R37" s="23" t="str">
        <f t="shared" si="20"/>
        <v/>
      </c>
      <c r="S37" s="23" t="str">
        <f t="shared" si="20"/>
        <v/>
      </c>
      <c r="T37" s="74" t="str">
        <f t="shared" si="3"/>
        <v/>
      </c>
    </row>
    <row r="38" spans="1:20" ht="25" customHeight="1">
      <c r="O38" s="23" t="str">
        <f t="shared" si="20"/>
        <v/>
      </c>
      <c r="P38" s="23" t="str">
        <f t="shared" si="20"/>
        <v/>
      </c>
      <c r="Q38" s="23" t="str">
        <f t="shared" si="20"/>
        <v/>
      </c>
      <c r="R38" s="23" t="str">
        <f t="shared" si="20"/>
        <v/>
      </c>
      <c r="S38" s="23" t="str">
        <f t="shared" si="20"/>
        <v/>
      </c>
      <c r="T38" s="74" t="str">
        <f t="shared" si="3"/>
        <v/>
      </c>
    </row>
    <row r="39" spans="1:20" ht="25" customHeight="1">
      <c r="O39" s="23" t="str">
        <f t="shared" si="20"/>
        <v/>
      </c>
      <c r="P39" s="23" t="str">
        <f t="shared" si="20"/>
        <v/>
      </c>
      <c r="Q39" s="23" t="str">
        <f t="shared" si="20"/>
        <v/>
      </c>
      <c r="R39" s="23" t="str">
        <f t="shared" si="20"/>
        <v/>
      </c>
      <c r="S39" s="23" t="str">
        <f t="shared" si="20"/>
        <v/>
      </c>
      <c r="T39" s="74" t="str">
        <f t="shared" si="3"/>
        <v/>
      </c>
    </row>
    <row r="40" spans="1:20" ht="25" customHeight="1">
      <c r="O40" s="23" t="str">
        <f t="shared" si="20"/>
        <v/>
      </c>
      <c r="P40" s="23" t="str">
        <f t="shared" si="20"/>
        <v/>
      </c>
      <c r="Q40" s="23" t="str">
        <f t="shared" si="20"/>
        <v/>
      </c>
      <c r="R40" s="23" t="str">
        <f t="shared" si="20"/>
        <v/>
      </c>
      <c r="S40" s="23" t="str">
        <f t="shared" si="20"/>
        <v/>
      </c>
      <c r="T40" s="74" t="str">
        <f t="shared" si="3"/>
        <v/>
      </c>
    </row>
    <row r="41" spans="1:20" ht="25" customHeight="1">
      <c r="O41" s="23" t="str">
        <f t="shared" si="20"/>
        <v/>
      </c>
      <c r="P41" s="23" t="str">
        <f t="shared" si="20"/>
        <v/>
      </c>
      <c r="Q41" s="23" t="str">
        <f t="shared" si="20"/>
        <v/>
      </c>
      <c r="R41" s="23" t="str">
        <f t="shared" si="20"/>
        <v/>
      </c>
      <c r="S41" s="23" t="str">
        <f t="shared" si="20"/>
        <v/>
      </c>
      <c r="T41" s="74" t="str">
        <f t="shared" si="3"/>
        <v/>
      </c>
    </row>
    <row r="42" spans="1:20" ht="25" customHeight="1">
      <c r="O42" s="23" t="str">
        <f t="shared" ref="O42:S42" si="21">IF(N42="","",ROUND(SUMIFS($I:$I,$A:$A,O$1,$B:$B,"*"&amp;$N42&amp;"*"),2))</f>
        <v/>
      </c>
      <c r="P42" s="23" t="str">
        <f t="shared" si="21"/>
        <v/>
      </c>
      <c r="Q42" s="23" t="str">
        <f t="shared" si="21"/>
        <v/>
      </c>
      <c r="R42" s="23" t="str">
        <f t="shared" si="21"/>
        <v/>
      </c>
      <c r="S42" s="23" t="str">
        <f t="shared" si="21"/>
        <v/>
      </c>
      <c r="T42" s="74" t="str">
        <f t="shared" si="3"/>
        <v/>
      </c>
    </row>
  </sheetData>
  <conditionalFormatting sqref="B37:B257 B1:B9 B13:B35">
    <cfRule type="expression" dxfId="44" priority="1">
      <formula>AND(ROW()&gt;1, E1&lt;&gt;"", COUNTIFS(A:A, $A1, B:B, $B1, F:F, "Yes")=0)</formula>
    </cfRule>
  </conditionalFormatting>
  <conditionalFormatting sqref="F1:F9 F12:F35 F37:F257">
    <cfRule type="expression" dxfId="43" priority="2" stopIfTrue="1">
      <formula>AND(ROW()&gt;1, E1&lt;&gt;"", COUNTIFS(A:A, $A1, B:B, $B1, F:F, "Yes")=0)</formula>
    </cfRule>
  </conditionalFormatting>
  <conditionalFormatting sqref="B10">
    <cfRule type="expression" dxfId="42" priority="7">
      <formula>AND(ROW()&gt;1, E10&lt;&gt;"", COUNTIFS(A:A, $A11, B:B, $B10, F:F, "Yes")=0)</formula>
    </cfRule>
  </conditionalFormatting>
  <conditionalFormatting sqref="B11:B12">
    <cfRule type="expression" dxfId="41" priority="8">
      <formula>AND(ROW()&gt;1, E11&lt;&gt;"", COUNTIFS(A:A, #REF!, B:B, $B11, F:F, "Yes")=0)</formula>
    </cfRule>
  </conditionalFormatting>
  <conditionalFormatting sqref="F10">
    <cfRule type="expression" dxfId="40" priority="10" stopIfTrue="1">
      <formula>AND(ROW()&gt;1, E10&lt;&gt;"", COUNTIFS(A:A, $A11, B:B, $B10, F:F, "Yes")=0)</formula>
    </cfRule>
  </conditionalFormatting>
  <conditionalFormatting sqref="F11">
    <cfRule type="expression" dxfId="39" priority="11" stopIfTrue="1">
      <formula>AND(ROW()&gt;1, E11&lt;&gt;"", COUNTIFS(A:A, #REF!, B:B, $B11, F:F, "Yes")=0)</formula>
    </cfRule>
  </conditionalFormatting>
  <dataValidations count="2">
    <dataValidation type="list" allowBlank="1" showInputMessage="1" showErrorMessage="1" sqref="F2:F35" xr:uid="{B032A55D-1540-465B-8F88-5B970FA30FBF}">
      <formula1>"No, Yes"</formula1>
    </dataValidation>
    <dataValidation type="list" allowBlank="1" showErrorMessage="1" promptTitle="Select" sqref="B2:B35" xr:uid="{9C7EB4C5-D8D6-4E97-8372-80C488732BF3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B89987D-4018-497D-B350-0E48FB54ED5D}">
          <x14:formula1>
            <xm:f>'Active Jobs'!$B$2:$B$154</xm:f>
          </x14:formula1>
          <xm:sqref>C2:C35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0E99-5936-4D0D-B73B-DC6E12EB62E9}">
  <sheetPr codeName="Sheet16"/>
  <dimension ref="A1:W44"/>
  <sheetViews>
    <sheetView topLeftCell="A14" zoomScale="125" zoomScaleNormal="125" workbookViewId="0">
      <selection activeCell="C24" sqref="C24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" t="s">
        <v>341</v>
      </c>
      <c r="N1" s="40"/>
      <c r="O1" s="63" cm="1">
        <f t="array" ref="O1:S1">IF(B2="","",TRANSPOSE(_xlfn._xlws.FILTER(_xlfn.UNIQUE(A2:A205), _xlfn.UNIQUE(A2:A205)&lt;&gt;"")))</f>
        <v>45705</v>
      </c>
      <c r="P1" s="63">
        <v>45706</v>
      </c>
      <c r="Q1" s="63">
        <v>45707</v>
      </c>
      <c r="R1" s="63">
        <v>45708</v>
      </c>
      <c r="S1" s="63">
        <v>45709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45705</v>
      </c>
      <c r="B2" s="15" t="s">
        <v>339</v>
      </c>
      <c r="C2" s="16" t="s">
        <v>118</v>
      </c>
      <c r="D2" s="5">
        <v>0.35416666666666669</v>
      </c>
      <c r="E2" s="5">
        <v>0.44444444444444442</v>
      </c>
      <c r="F2" s="6" t="str">
        <f t="shared" ref="F2:F33" si="0">IF(E2="","","No")</f>
        <v>No</v>
      </c>
      <c r="G2" s="6">
        <f>IF(E2="","",IF(F2="Yes",(E2-D2)-TIME(0,30,0),E2-D2))</f>
        <v>9.0277777777777735E-2</v>
      </c>
      <c r="H2" s="50">
        <f>_xlfn.IFNA(VLOOKUP(C:C,'Active Jobs'!B:K,8,0),"")</f>
        <v>200</v>
      </c>
      <c r="I2" s="8">
        <f>IF(F2="Yes",(E2-D2)*24-0.5,IF(F2="No",(E2-D2)*24,""))</f>
        <v>2.1666666666666656</v>
      </c>
      <c r="J2" s="50">
        <f>IF(G2="","",G2*24*HourlyRate*2*(1+Super))</f>
        <v>145.38484999999991</v>
      </c>
      <c r="K2" s="50">
        <f t="shared" ref="K2:K33" si="1">IF(H2="","",IF(J2=0,0,H2-J2))</f>
        <v>54.615150000000085</v>
      </c>
      <c r="L2" s="9">
        <f>IF(K2="","",IF(H2=0,1,J2/H2))</f>
        <v>0.72692424999999961</v>
      </c>
      <c r="M2" s="75">
        <v>2</v>
      </c>
      <c r="N2" s="41" t="str" cm="1">
        <f t="array" ref="N2:N5">IF(B2="","",_xlfn.UNIQUE(TRANSPOSE(_xlfn.TEXTSPLIT(_xlfn.TEXTJOIN(" &amp; ", TRUE, TRIM(B2:B205)), " &amp; "))))</f>
        <v>Orla Shelly</v>
      </c>
      <c r="O2" s="23">
        <f t="shared" ref="O2:S14" si="2">IF(N2="","",ROUND(SUMIFS($I:$I,$A:$A,O$1,$B:$B,"*"&amp;$N2&amp;"*"),2))</f>
        <v>7.3</v>
      </c>
      <c r="P2" s="23">
        <f t="shared" si="2"/>
        <v>7.2</v>
      </c>
      <c r="Q2" s="23">
        <f t="shared" si="2"/>
        <v>4.5</v>
      </c>
      <c r="R2" s="23">
        <f t="shared" si="2"/>
        <v>6.67</v>
      </c>
      <c r="S2" s="23">
        <f t="shared" si="2"/>
        <v>4.83</v>
      </c>
      <c r="T2" s="10">
        <f t="shared" ref="T2:T44" si="3">IF(N2="","",SUM(O2:S2))</f>
        <v>30.5</v>
      </c>
      <c r="U2" s="24"/>
      <c r="V2" s="24">
        <f>IF(N2="","",T2*HourlyRate)</f>
        <v>917.745</v>
      </c>
      <c r="W2" s="25">
        <f>IF(N2="","",V2*Super)</f>
        <v>105.54067500000001</v>
      </c>
    </row>
    <row r="3" spans="1:23" ht="25" customHeight="1">
      <c r="A3" s="37">
        <v>45705</v>
      </c>
      <c r="B3" s="15" t="s">
        <v>339</v>
      </c>
      <c r="C3" s="16" t="s">
        <v>108</v>
      </c>
      <c r="D3" s="5">
        <v>0.44861111111111113</v>
      </c>
      <c r="E3" s="5">
        <v>0.53333333333333333</v>
      </c>
      <c r="F3" s="6" t="str">
        <f t="shared" si="0"/>
        <v>No</v>
      </c>
      <c r="G3" s="6">
        <f t="shared" ref="G3:G33" si="4">IF(E3="","",IF(F3="Yes",(E3-D3)-TIME(0,30,0),E3-D3))</f>
        <v>8.4722222222222199E-2</v>
      </c>
      <c r="H3" s="50">
        <v>200</v>
      </c>
      <c r="I3" s="8">
        <f t="shared" ref="I3:I33" si="5">IF(F3="Yes",(E3-D3)*24-0.5,IF(F3="No",(E3-D3)*24,""))</f>
        <v>2.0333333333333328</v>
      </c>
      <c r="J3" s="50">
        <f t="shared" ref="J3:J33" si="6">IF(G3="","",G3*24*HourlyRate*2*(1+Super))</f>
        <v>136.43808999999996</v>
      </c>
      <c r="K3" s="50">
        <f t="shared" si="1"/>
        <v>63.56191000000004</v>
      </c>
      <c r="L3" s="9">
        <f t="shared" ref="L3:L33" si="7">IF(K3="","",IF(H3=0,1,J3/H3))</f>
        <v>0.68219044999999978</v>
      </c>
      <c r="M3" s="75">
        <v>2</v>
      </c>
      <c r="N3" s="42" t="str">
        <v>Julie Roccati</v>
      </c>
      <c r="O3" s="23">
        <f t="shared" si="2"/>
        <v>7.3</v>
      </c>
      <c r="P3" s="23">
        <f t="shared" si="2"/>
        <v>7.2</v>
      </c>
      <c r="Q3" s="23">
        <f t="shared" si="2"/>
        <v>4.5</v>
      </c>
      <c r="R3" s="23">
        <f t="shared" si="2"/>
        <v>6.67</v>
      </c>
      <c r="S3" s="23">
        <f t="shared" si="2"/>
        <v>4.83</v>
      </c>
      <c r="T3" s="10">
        <f t="shared" si="3"/>
        <v>30.5</v>
      </c>
      <c r="U3" s="21"/>
      <c r="V3" s="24">
        <f>IF(N3="","",T3*HourlyRate)</f>
        <v>917.745</v>
      </c>
      <c r="W3" s="25">
        <f>IF(N3="","",V3*Super)</f>
        <v>105.54067500000001</v>
      </c>
    </row>
    <row r="4" spans="1:23" ht="25" customHeight="1">
      <c r="A4" s="37">
        <v>45705</v>
      </c>
      <c r="B4" s="15" t="s">
        <v>339</v>
      </c>
      <c r="C4" s="16" t="s">
        <v>49</v>
      </c>
      <c r="D4" s="5">
        <v>0.53333333333333333</v>
      </c>
      <c r="E4" s="5">
        <v>0.625</v>
      </c>
      <c r="F4" s="6" t="s">
        <v>17</v>
      </c>
      <c r="G4" s="6">
        <f t="shared" si="4"/>
        <v>7.0833333333333345E-2</v>
      </c>
      <c r="H4" s="50">
        <v>240</v>
      </c>
      <c r="I4" s="8">
        <f t="shared" si="5"/>
        <v>1.7000000000000002</v>
      </c>
      <c r="J4" s="50">
        <f t="shared" si="6"/>
        <v>114.07119000000002</v>
      </c>
      <c r="K4" s="50">
        <f t="shared" si="1"/>
        <v>125.92880999999998</v>
      </c>
      <c r="L4" s="9">
        <f t="shared" si="7"/>
        <v>0.47529662500000008</v>
      </c>
      <c r="M4" s="75">
        <v>2</v>
      </c>
      <c r="N4" s="42" t="str">
        <v>Aoife O'Gorman</v>
      </c>
      <c r="O4" s="23">
        <f t="shared" si="2"/>
        <v>7.03</v>
      </c>
      <c r="P4" s="23">
        <f t="shared" si="2"/>
        <v>6.95</v>
      </c>
      <c r="Q4" s="23">
        <f t="shared" si="2"/>
        <v>7.8</v>
      </c>
      <c r="R4" s="23">
        <f t="shared" si="2"/>
        <v>5.75</v>
      </c>
      <c r="S4" s="23">
        <f t="shared" si="2"/>
        <v>6.83</v>
      </c>
      <c r="T4" s="10">
        <f t="shared" si="3"/>
        <v>34.36</v>
      </c>
      <c r="U4" s="21"/>
      <c r="V4" s="24">
        <f>IF(N4="","",T4*HourlyRate)</f>
        <v>1033.8924</v>
      </c>
      <c r="W4" s="25">
        <f>IF(N4="","",V4*Super)</f>
        <v>118.897626</v>
      </c>
    </row>
    <row r="5" spans="1:23" ht="25" customHeight="1">
      <c r="A5" s="37">
        <v>45705</v>
      </c>
      <c r="B5" s="15" t="s">
        <v>339</v>
      </c>
      <c r="C5" s="16" t="s">
        <v>29</v>
      </c>
      <c r="D5" s="5">
        <v>0.625</v>
      </c>
      <c r="E5" s="5">
        <v>0.68333333333333335</v>
      </c>
      <c r="F5" s="6" t="str">
        <f t="shared" si="0"/>
        <v>No</v>
      </c>
      <c r="G5" s="6">
        <f t="shared" si="4"/>
        <v>5.8333333333333348E-2</v>
      </c>
      <c r="H5" s="50">
        <f>_xlfn.IFNA(VLOOKUP(C:C,'Active Jobs'!B:K,8,0),"")</f>
        <v>200</v>
      </c>
      <c r="I5" s="8">
        <f t="shared" si="5"/>
        <v>1.4000000000000004</v>
      </c>
      <c r="J5" s="50">
        <f t="shared" si="6"/>
        <v>93.940980000000025</v>
      </c>
      <c r="K5" s="50">
        <f t="shared" si="1"/>
        <v>106.05901999999998</v>
      </c>
      <c r="L5" s="9">
        <f t="shared" si="7"/>
        <v>0.46970490000000015</v>
      </c>
      <c r="M5" s="75">
        <v>2</v>
      </c>
      <c r="N5" s="42" t="str">
        <v>Aoife Carroll</v>
      </c>
      <c r="O5" s="23">
        <f t="shared" si="2"/>
        <v>7.03</v>
      </c>
      <c r="P5" s="23">
        <f t="shared" si="2"/>
        <v>6.95</v>
      </c>
      <c r="Q5" s="23">
        <f t="shared" si="2"/>
        <v>7.8</v>
      </c>
      <c r="R5" s="23">
        <f t="shared" si="2"/>
        <v>5.75</v>
      </c>
      <c r="S5" s="23">
        <f t="shared" si="2"/>
        <v>6.83</v>
      </c>
      <c r="T5" s="10">
        <f t="shared" si="3"/>
        <v>34.36</v>
      </c>
      <c r="U5" s="21"/>
      <c r="V5" s="24">
        <f>IF(N5="","",T5*HourlyRate)</f>
        <v>1033.8924</v>
      </c>
      <c r="W5" s="25">
        <f>IF(N5="","",V5*Super)</f>
        <v>118.897626</v>
      </c>
    </row>
    <row r="6" spans="1:23" ht="25" customHeight="1">
      <c r="A6" s="37">
        <v>45705</v>
      </c>
      <c r="B6" s="15" t="s">
        <v>336</v>
      </c>
      <c r="C6" s="16" t="s">
        <v>93</v>
      </c>
      <c r="D6" s="5">
        <v>0.35416666666666669</v>
      </c>
      <c r="E6" s="5">
        <v>0.45833333333333331</v>
      </c>
      <c r="F6" s="6" t="str">
        <f t="shared" si="0"/>
        <v>No</v>
      </c>
      <c r="G6" s="6">
        <f t="shared" si="4"/>
        <v>0.10416666666666663</v>
      </c>
      <c r="H6" s="50">
        <f>_xlfn.IFNA(VLOOKUP(C:C,'Active Jobs'!B:K,8,0),"")</f>
        <v>230</v>
      </c>
      <c r="I6" s="8">
        <f t="shared" si="5"/>
        <v>2.4999999999999991</v>
      </c>
      <c r="J6" s="50">
        <f t="shared" si="6"/>
        <v>167.75174999999993</v>
      </c>
      <c r="K6" s="50">
        <f t="shared" si="1"/>
        <v>62.24825000000007</v>
      </c>
      <c r="L6" s="9">
        <f t="shared" si="7"/>
        <v>0.72935543478260845</v>
      </c>
      <c r="M6" s="75">
        <v>1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45705</v>
      </c>
      <c r="B7" s="15" t="s">
        <v>336</v>
      </c>
      <c r="C7" s="16" t="s">
        <v>178</v>
      </c>
      <c r="D7" s="5">
        <v>0.45833333333333331</v>
      </c>
      <c r="E7" s="5">
        <v>0.58333333333333337</v>
      </c>
      <c r="F7" s="6" t="s">
        <v>17</v>
      </c>
      <c r="G7" s="6">
        <f t="shared" si="4"/>
        <v>0.10416666666666673</v>
      </c>
      <c r="H7" s="50">
        <f>_xlfn.IFNA(VLOOKUP(C:C,'Active Jobs'!B:K,8,0),"")</f>
        <v>295</v>
      </c>
      <c r="I7" s="8">
        <f t="shared" si="5"/>
        <v>2.5000000000000013</v>
      </c>
      <c r="J7" s="50">
        <f t="shared" si="6"/>
        <v>167.75175000000007</v>
      </c>
      <c r="K7" s="50">
        <f t="shared" si="1"/>
        <v>127.24824999999993</v>
      </c>
      <c r="L7" s="9">
        <f t="shared" si="7"/>
        <v>0.56865000000000021</v>
      </c>
      <c r="M7" s="75">
        <v>1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3903.2748000000001</v>
      </c>
      <c r="W7" s="26">
        <f>SUM(W2:W5)</f>
        <v>448.87660199999999</v>
      </c>
    </row>
    <row r="8" spans="1:23" ht="25" customHeight="1">
      <c r="A8" s="37">
        <v>45705</v>
      </c>
      <c r="B8" s="15" t="s">
        <v>336</v>
      </c>
      <c r="C8" s="49" t="s">
        <v>50</v>
      </c>
      <c r="D8" s="5">
        <v>0.59583333333333333</v>
      </c>
      <c r="E8" s="5">
        <v>0.68055555555555558</v>
      </c>
      <c r="F8" s="6" t="str">
        <f t="shared" si="0"/>
        <v>No</v>
      </c>
      <c r="G8" s="6">
        <f t="shared" si="4"/>
        <v>8.4722222222222254E-2</v>
      </c>
      <c r="H8" s="50">
        <v>250</v>
      </c>
      <c r="I8" s="8">
        <f t="shared" si="5"/>
        <v>2.0333333333333341</v>
      </c>
      <c r="J8" s="50">
        <f t="shared" si="6"/>
        <v>136.43809000000005</v>
      </c>
      <c r="K8" s="50">
        <f t="shared" si="1"/>
        <v>113.56190999999995</v>
      </c>
      <c r="L8" s="9">
        <f t="shared" si="7"/>
        <v>0.54575236000000016</v>
      </c>
      <c r="M8" s="75">
        <v>1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8">
        <v>45706</v>
      </c>
      <c r="B9" s="15" t="s">
        <v>339</v>
      </c>
      <c r="C9" s="16" t="s">
        <v>21</v>
      </c>
      <c r="D9" s="5">
        <v>0.35416666666666669</v>
      </c>
      <c r="E9" s="5">
        <v>0.45833333333333331</v>
      </c>
      <c r="F9" s="6" t="str">
        <f t="shared" si="0"/>
        <v>No</v>
      </c>
      <c r="G9" s="6">
        <f t="shared" si="4"/>
        <v>0.10416666666666663</v>
      </c>
      <c r="H9" s="50">
        <f>_xlfn.IFNA(VLOOKUP(C:C,'Active Jobs'!B:K,8,0),"")</f>
        <v>220</v>
      </c>
      <c r="I9" s="8">
        <f t="shared" si="5"/>
        <v>2.4999999999999991</v>
      </c>
      <c r="J9" s="50">
        <f t="shared" si="6"/>
        <v>167.75174999999993</v>
      </c>
      <c r="K9" s="50">
        <f t="shared" si="1"/>
        <v>52.24825000000007</v>
      </c>
      <c r="L9" s="9">
        <f t="shared" si="7"/>
        <v>0.76250795454545428</v>
      </c>
      <c r="M9" s="75">
        <v>2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/>
      <c r="W9" s="25"/>
    </row>
    <row r="10" spans="1:23" ht="25" customHeight="1">
      <c r="A10" s="38">
        <v>45706</v>
      </c>
      <c r="B10" s="15" t="s">
        <v>339</v>
      </c>
      <c r="C10" s="16" t="s">
        <v>120</v>
      </c>
      <c r="D10" s="5">
        <v>0.45833333333333331</v>
      </c>
      <c r="E10" s="5">
        <v>0.58333333333333337</v>
      </c>
      <c r="F10" s="6" t="s">
        <v>17</v>
      </c>
      <c r="G10" s="6">
        <f t="shared" si="4"/>
        <v>0.10416666666666673</v>
      </c>
      <c r="H10" s="50">
        <v>230</v>
      </c>
      <c r="I10" s="8">
        <f t="shared" si="5"/>
        <v>2.5000000000000013</v>
      </c>
      <c r="J10" s="50">
        <f t="shared" si="6"/>
        <v>167.75175000000007</v>
      </c>
      <c r="K10" s="50">
        <f t="shared" si="1"/>
        <v>62.248249999999928</v>
      </c>
      <c r="L10" s="9">
        <f t="shared" si="7"/>
        <v>0.729355434782609</v>
      </c>
      <c r="M10" s="75">
        <v>2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8">
        <v>45706</v>
      </c>
      <c r="B11" s="15" t="s">
        <v>339</v>
      </c>
      <c r="C11" s="16" t="s">
        <v>175</v>
      </c>
      <c r="D11" s="5">
        <v>0.58333333333333337</v>
      </c>
      <c r="E11" s="5">
        <v>0.67500000000000004</v>
      </c>
      <c r="F11" s="6" t="str">
        <f t="shared" si="0"/>
        <v>No</v>
      </c>
      <c r="G11" s="6">
        <f t="shared" si="4"/>
        <v>9.1666666666666674E-2</v>
      </c>
      <c r="H11" s="50">
        <v>275</v>
      </c>
      <c r="I11" s="8">
        <f t="shared" si="5"/>
        <v>2.2000000000000002</v>
      </c>
      <c r="J11" s="50">
        <f t="shared" si="6"/>
        <v>147.62154000000001</v>
      </c>
      <c r="K11" s="50">
        <f t="shared" si="1"/>
        <v>127.37845999999999</v>
      </c>
      <c r="L11" s="9">
        <f t="shared" si="7"/>
        <v>0.53680559999999999</v>
      </c>
      <c r="M11" s="75">
        <v>2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45706</v>
      </c>
      <c r="B12" s="15" t="s">
        <v>336</v>
      </c>
      <c r="C12" s="16" t="s">
        <v>179</v>
      </c>
      <c r="D12" s="5">
        <v>0.35416666666666669</v>
      </c>
      <c r="E12" s="5">
        <v>0.45833333333333331</v>
      </c>
      <c r="F12" s="6" t="str">
        <f t="shared" si="0"/>
        <v>No</v>
      </c>
      <c r="G12" s="6">
        <f t="shared" si="4"/>
        <v>0.10416666666666663</v>
      </c>
      <c r="H12" s="50">
        <v>250</v>
      </c>
      <c r="I12" s="8">
        <f t="shared" si="5"/>
        <v>2.4999999999999991</v>
      </c>
      <c r="J12" s="50">
        <f t="shared" si="6"/>
        <v>167.75174999999993</v>
      </c>
      <c r="K12" s="50">
        <f t="shared" si="1"/>
        <v>82.24825000000007</v>
      </c>
      <c r="L12" s="9">
        <f t="shared" si="7"/>
        <v>0.67100699999999969</v>
      </c>
      <c r="M12" s="75">
        <v>1</v>
      </c>
      <c r="O12" s="23" t="str">
        <f t="shared" si="2"/>
        <v/>
      </c>
      <c r="P12" s="23" t="str">
        <f t="shared" si="2"/>
        <v/>
      </c>
      <c r="Q12" s="23" t="str">
        <f t="shared" si="2"/>
        <v/>
      </c>
      <c r="R12" s="23" t="str">
        <f t="shared" si="2"/>
        <v/>
      </c>
      <c r="S12" s="23" t="str">
        <f t="shared" si="2"/>
        <v/>
      </c>
      <c r="T12" s="10" t="str">
        <f t="shared" si="3"/>
        <v/>
      </c>
    </row>
    <row r="13" spans="1:23" ht="25" customHeight="1">
      <c r="A13" s="38">
        <v>45706</v>
      </c>
      <c r="B13" s="15" t="s">
        <v>336</v>
      </c>
      <c r="C13" s="16" t="s">
        <v>31</v>
      </c>
      <c r="D13" s="5">
        <v>0.45833333333333331</v>
      </c>
      <c r="E13" s="5">
        <v>0.5625</v>
      </c>
      <c r="F13" s="6" t="s">
        <v>17</v>
      </c>
      <c r="G13" s="6">
        <f t="shared" si="4"/>
        <v>8.3333333333333356E-2</v>
      </c>
      <c r="H13" s="50">
        <v>220</v>
      </c>
      <c r="I13" s="8">
        <f t="shared" si="5"/>
        <v>2.0000000000000004</v>
      </c>
      <c r="J13" s="50">
        <f t="shared" si="6"/>
        <v>134.20140000000004</v>
      </c>
      <c r="K13" s="50">
        <f t="shared" si="1"/>
        <v>85.798599999999965</v>
      </c>
      <c r="L13" s="9">
        <f t="shared" si="7"/>
        <v>0.61000636363636385</v>
      </c>
      <c r="M13" s="75">
        <v>1</v>
      </c>
      <c r="O13" s="23" t="str">
        <f t="shared" si="2"/>
        <v/>
      </c>
      <c r="P13" s="23" t="str">
        <f t="shared" si="2"/>
        <v/>
      </c>
      <c r="Q13" s="23" t="str">
        <f t="shared" si="2"/>
        <v/>
      </c>
      <c r="R13" s="23" t="str">
        <f t="shared" si="2"/>
        <v/>
      </c>
      <c r="S13" s="23" t="str">
        <f t="shared" si="2"/>
        <v/>
      </c>
      <c r="T13" s="10" t="str">
        <f t="shared" si="3"/>
        <v/>
      </c>
    </row>
    <row r="14" spans="1:23" ht="25" customHeight="1">
      <c r="A14" s="38">
        <v>45706</v>
      </c>
      <c r="B14" s="15" t="s">
        <v>336</v>
      </c>
      <c r="C14" s="16" t="s">
        <v>95</v>
      </c>
      <c r="D14" s="5">
        <v>0.5625</v>
      </c>
      <c r="E14" s="5">
        <v>0.6645833333333333</v>
      </c>
      <c r="F14" s="6" t="str">
        <f t="shared" si="0"/>
        <v>No</v>
      </c>
      <c r="G14" s="6">
        <f t="shared" si="4"/>
        <v>0.1020833333333333</v>
      </c>
      <c r="H14" s="50">
        <v>210</v>
      </c>
      <c r="I14" s="8">
        <f t="shared" si="5"/>
        <v>2.4499999999999993</v>
      </c>
      <c r="J14" s="50">
        <f t="shared" si="6"/>
        <v>164.39671499999994</v>
      </c>
      <c r="K14" s="50">
        <f t="shared" si="1"/>
        <v>45.603285000000056</v>
      </c>
      <c r="L14" s="9">
        <f t="shared" si="7"/>
        <v>0.78284149999999975</v>
      </c>
      <c r="M14" s="75">
        <v>1</v>
      </c>
      <c r="O14" s="23" t="str">
        <f t="shared" si="2"/>
        <v/>
      </c>
      <c r="P14" s="23" t="str">
        <f t="shared" si="2"/>
        <v/>
      </c>
      <c r="Q14" s="23" t="str">
        <f t="shared" si="2"/>
        <v/>
      </c>
      <c r="R14" s="23" t="str">
        <f t="shared" si="2"/>
        <v/>
      </c>
      <c r="S14" s="23" t="str">
        <f t="shared" si="2"/>
        <v/>
      </c>
      <c r="T14" s="10" t="str">
        <f t="shared" si="3"/>
        <v/>
      </c>
    </row>
    <row r="15" spans="1:23" ht="25" customHeight="1">
      <c r="A15" s="38">
        <v>45707</v>
      </c>
      <c r="B15" s="15" t="s">
        <v>339</v>
      </c>
      <c r="C15" s="16" t="s">
        <v>109</v>
      </c>
      <c r="D15" s="5">
        <v>0.35416666666666669</v>
      </c>
      <c r="E15" s="5">
        <v>0.46736111111111112</v>
      </c>
      <c r="F15" s="6" t="str">
        <f t="shared" si="0"/>
        <v>No</v>
      </c>
      <c r="G15" s="6">
        <f t="shared" si="4"/>
        <v>0.11319444444444443</v>
      </c>
      <c r="H15" s="50">
        <v>200</v>
      </c>
      <c r="I15" s="8">
        <f t="shared" si="5"/>
        <v>2.7166666666666663</v>
      </c>
      <c r="J15" s="50">
        <f t="shared" si="6"/>
        <v>182.29023499999997</v>
      </c>
      <c r="K15" s="50">
        <f t="shared" si="1"/>
        <v>17.709765000000033</v>
      </c>
      <c r="L15" s="9">
        <f t="shared" si="7"/>
        <v>0.91145117499999984</v>
      </c>
      <c r="M15" s="75">
        <v>2</v>
      </c>
      <c r="O15" s="23"/>
      <c r="P15" s="23" t="str">
        <f t="shared" ref="P15:S29" si="8">IF(O15="","",ROUND(SUMIFS($I:$I,$A:$A,P$1,$B:$B,"*"&amp;$N15&amp;"*"),2))</f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74" t="str">
        <f t="shared" si="3"/>
        <v/>
      </c>
    </row>
    <row r="16" spans="1:23" ht="25" customHeight="1">
      <c r="A16" s="38">
        <v>45707</v>
      </c>
      <c r="B16" s="15" t="s">
        <v>339</v>
      </c>
      <c r="C16" s="16" t="s">
        <v>25</v>
      </c>
      <c r="D16" s="5">
        <v>0.46736111111111112</v>
      </c>
      <c r="E16" s="5">
        <v>0.5625</v>
      </c>
      <c r="F16" s="6" t="s">
        <v>17</v>
      </c>
      <c r="G16" s="6">
        <f t="shared" si="4"/>
        <v>7.4305555555555555E-2</v>
      </c>
      <c r="H16" s="50">
        <f>_xlfn.IFNA(VLOOKUP(C:C,'Active Jobs'!B:K,8,0),"")</f>
        <v>220</v>
      </c>
      <c r="I16" s="8">
        <f t="shared" si="5"/>
        <v>1.7833333333333332</v>
      </c>
      <c r="J16" s="50">
        <f t="shared" si="6"/>
        <v>119.662915</v>
      </c>
      <c r="K16" s="50">
        <f t="shared" si="1"/>
        <v>100.337085</v>
      </c>
      <c r="L16" s="9">
        <f t="shared" si="7"/>
        <v>0.54392234090909086</v>
      </c>
      <c r="M16" s="75">
        <v>2</v>
      </c>
      <c r="O16" s="23" t="str">
        <f t="shared" ref="O16:O29" si="9">IF(N16="","",ROUND(SUMIFS($I:$I,$A:$A,O$1,$B:$B,"*"&amp;$N16&amp;"*"),2))</f>
        <v/>
      </c>
      <c r="P16" s="23" t="str">
        <f t="shared" si="8"/>
        <v/>
      </c>
      <c r="Q16" s="23" t="str">
        <f t="shared" si="8"/>
        <v/>
      </c>
      <c r="R16" s="23" t="str">
        <f t="shared" si="8"/>
        <v/>
      </c>
      <c r="S16" s="23" t="str">
        <f t="shared" si="8"/>
        <v/>
      </c>
      <c r="T16" s="74" t="str">
        <f t="shared" si="3"/>
        <v/>
      </c>
    </row>
    <row r="17" spans="1:20" ht="25" customHeight="1">
      <c r="A17" s="38">
        <v>45707</v>
      </c>
      <c r="B17" s="15" t="s">
        <v>336</v>
      </c>
      <c r="C17" s="16" t="s">
        <v>160</v>
      </c>
      <c r="D17" s="5">
        <v>0.35416666666666669</v>
      </c>
      <c r="E17" s="5">
        <v>0.45833333333333331</v>
      </c>
      <c r="F17" s="6" t="str">
        <f t="shared" si="0"/>
        <v>No</v>
      </c>
      <c r="G17" s="6">
        <f t="shared" si="4"/>
        <v>0.10416666666666663</v>
      </c>
      <c r="H17" s="50">
        <v>0</v>
      </c>
      <c r="I17" s="8">
        <f t="shared" si="5"/>
        <v>2.4999999999999991</v>
      </c>
      <c r="J17" s="50">
        <f t="shared" si="6"/>
        <v>167.75174999999993</v>
      </c>
      <c r="K17" s="50">
        <f t="shared" si="1"/>
        <v>-167.75174999999993</v>
      </c>
      <c r="L17" s="9">
        <f t="shared" si="7"/>
        <v>1</v>
      </c>
      <c r="M17" s="75">
        <v>1</v>
      </c>
      <c r="O17" s="23" t="str">
        <f t="shared" si="9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10" t="str">
        <f t="shared" si="3"/>
        <v/>
      </c>
    </row>
    <row r="18" spans="1:20" ht="25" customHeight="1">
      <c r="A18" s="38">
        <v>45707</v>
      </c>
      <c r="B18" s="15" t="s">
        <v>336</v>
      </c>
      <c r="C18" s="16" t="s">
        <v>45</v>
      </c>
      <c r="D18" s="5">
        <v>0.45833333333333331</v>
      </c>
      <c r="E18" s="5">
        <v>0.5625</v>
      </c>
      <c r="F18" s="6" t="s">
        <v>17</v>
      </c>
      <c r="G18" s="6">
        <f t="shared" si="4"/>
        <v>8.3333333333333356E-2</v>
      </c>
      <c r="H18" s="50">
        <v>275</v>
      </c>
      <c r="I18" s="8">
        <f t="shared" si="5"/>
        <v>2.0000000000000004</v>
      </c>
      <c r="J18" s="50">
        <f t="shared" si="6"/>
        <v>134.20140000000004</v>
      </c>
      <c r="K18" s="50">
        <f t="shared" si="1"/>
        <v>140.79859999999996</v>
      </c>
      <c r="L18" s="9">
        <f t="shared" si="7"/>
        <v>0.48800509090909105</v>
      </c>
      <c r="M18" s="75">
        <v>1</v>
      </c>
      <c r="O18" s="23" t="str">
        <f t="shared" si="9"/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3"/>
        <v/>
      </c>
    </row>
    <row r="19" spans="1:20" ht="25" customHeight="1">
      <c r="A19" s="38">
        <v>45707</v>
      </c>
      <c r="B19" s="15" t="s">
        <v>336</v>
      </c>
      <c r="C19" s="16" t="s">
        <v>104</v>
      </c>
      <c r="D19" s="5">
        <v>0.5625</v>
      </c>
      <c r="E19" s="5">
        <v>0.61458333333333337</v>
      </c>
      <c r="F19" s="6" t="str">
        <f t="shared" si="0"/>
        <v>No</v>
      </c>
      <c r="G19" s="6">
        <f t="shared" si="4"/>
        <v>5.208333333333337E-2</v>
      </c>
      <c r="H19" s="50">
        <f>_xlfn.IFNA(VLOOKUP(C:C,'Active Jobs'!B:K,8,0),"")</f>
        <v>250</v>
      </c>
      <c r="I19" s="8">
        <f t="shared" si="5"/>
        <v>1.2500000000000009</v>
      </c>
      <c r="J19" s="50">
        <f t="shared" si="6"/>
        <v>83.87587500000005</v>
      </c>
      <c r="K19" s="50">
        <f t="shared" si="1"/>
        <v>166.12412499999994</v>
      </c>
      <c r="L19" s="9">
        <f t="shared" si="7"/>
        <v>0.33550350000000018</v>
      </c>
      <c r="M19" s="75">
        <v>1</v>
      </c>
      <c r="O19" s="23" t="str">
        <f t="shared" si="9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3"/>
        <v/>
      </c>
    </row>
    <row r="20" spans="1:20" ht="25" customHeight="1">
      <c r="A20" s="38">
        <v>45707</v>
      </c>
      <c r="B20" s="15" t="s">
        <v>336</v>
      </c>
      <c r="C20" s="16" t="s">
        <v>130</v>
      </c>
      <c r="D20" s="5">
        <v>0.61458333333333337</v>
      </c>
      <c r="E20" s="5">
        <v>0.7</v>
      </c>
      <c r="F20" s="6" t="str">
        <f t="shared" si="0"/>
        <v>No</v>
      </c>
      <c r="G20" s="62">
        <f t="shared" si="4"/>
        <v>8.5416666666666585E-2</v>
      </c>
      <c r="H20" s="50">
        <v>220</v>
      </c>
      <c r="I20" s="8">
        <f t="shared" si="5"/>
        <v>2.049999999999998</v>
      </c>
      <c r="J20" s="50">
        <f t="shared" si="6"/>
        <v>137.55643499999988</v>
      </c>
      <c r="K20" s="50">
        <f t="shared" si="1"/>
        <v>82.44356500000012</v>
      </c>
      <c r="L20" s="9">
        <f t="shared" si="7"/>
        <v>0.62525652272727217</v>
      </c>
      <c r="M20" s="75">
        <v>1</v>
      </c>
      <c r="O20" s="23" t="str">
        <f t="shared" si="9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3"/>
        <v/>
      </c>
    </row>
    <row r="21" spans="1:20" ht="25" customHeight="1">
      <c r="A21" s="38">
        <v>45708</v>
      </c>
      <c r="B21" s="15" t="s">
        <v>339</v>
      </c>
      <c r="C21" s="16" t="s">
        <v>38</v>
      </c>
      <c r="D21" s="5">
        <v>0.35416666666666669</v>
      </c>
      <c r="E21" s="5">
        <v>0.45833333333333331</v>
      </c>
      <c r="F21" s="6" t="str">
        <f t="shared" si="0"/>
        <v>No</v>
      </c>
      <c r="G21" s="6">
        <f t="shared" si="4"/>
        <v>0.10416666666666663</v>
      </c>
      <c r="H21" s="50">
        <v>200</v>
      </c>
      <c r="I21" s="8">
        <f t="shared" si="5"/>
        <v>2.4999999999999991</v>
      </c>
      <c r="J21" s="50">
        <f t="shared" si="6"/>
        <v>167.75174999999993</v>
      </c>
      <c r="K21" s="50">
        <f t="shared" si="1"/>
        <v>32.24825000000007</v>
      </c>
      <c r="L21" s="9">
        <f t="shared" si="7"/>
        <v>0.83875874999999966</v>
      </c>
      <c r="M21" s="75">
        <v>2</v>
      </c>
      <c r="O21" s="23" t="str">
        <f t="shared" si="9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3"/>
        <v/>
      </c>
    </row>
    <row r="22" spans="1:20" ht="25" customHeight="1">
      <c r="A22" s="38">
        <v>45708</v>
      </c>
      <c r="B22" s="15" t="s">
        <v>339</v>
      </c>
      <c r="C22" s="16" t="s">
        <v>28</v>
      </c>
      <c r="D22" s="5">
        <v>0.45833333333333331</v>
      </c>
      <c r="E22" s="5">
        <v>0.58333333333333337</v>
      </c>
      <c r="F22" s="6" t="s">
        <v>17</v>
      </c>
      <c r="G22" s="6">
        <f t="shared" si="4"/>
        <v>0.10416666666666673</v>
      </c>
      <c r="H22" s="50">
        <f>_xlfn.IFNA(VLOOKUP(C:C,'Active Jobs'!B:K,8,0),"")</f>
        <v>200</v>
      </c>
      <c r="I22" s="8">
        <f t="shared" si="5"/>
        <v>2.5000000000000013</v>
      </c>
      <c r="J22" s="50">
        <f t="shared" si="6"/>
        <v>167.75175000000007</v>
      </c>
      <c r="K22" s="50">
        <f t="shared" si="1"/>
        <v>32.248249999999928</v>
      </c>
      <c r="L22" s="9">
        <f t="shared" si="7"/>
        <v>0.83875875000000033</v>
      </c>
      <c r="M22" s="75">
        <v>2</v>
      </c>
      <c r="O22" s="23" t="str">
        <f t="shared" si="9"/>
        <v/>
      </c>
      <c r="P22" s="23" t="str">
        <f t="shared" si="8"/>
        <v/>
      </c>
      <c r="Q22" s="23" t="str">
        <f t="shared" si="8"/>
        <v/>
      </c>
      <c r="R22" s="23" t="str">
        <f t="shared" si="8"/>
        <v/>
      </c>
      <c r="S22" s="23" t="str">
        <f t="shared" si="8"/>
        <v/>
      </c>
      <c r="T22" s="74" t="str">
        <f t="shared" si="3"/>
        <v/>
      </c>
    </row>
    <row r="23" spans="1:20" ht="25" customHeight="1">
      <c r="A23" s="38">
        <v>45708</v>
      </c>
      <c r="B23" s="15" t="s">
        <v>339</v>
      </c>
      <c r="C23" s="16" t="s">
        <v>114</v>
      </c>
      <c r="D23" s="5">
        <v>0.58333333333333337</v>
      </c>
      <c r="E23" s="5">
        <v>0.65277777777777779</v>
      </c>
      <c r="F23" s="6" t="str">
        <f t="shared" si="0"/>
        <v>No</v>
      </c>
      <c r="G23" s="6">
        <f t="shared" si="4"/>
        <v>6.944444444444442E-2</v>
      </c>
      <c r="H23" s="50">
        <f>_xlfn.IFNA(VLOOKUP(C:C,'Active Jobs'!B:K,8,0),"")</f>
        <v>220</v>
      </c>
      <c r="I23" s="8">
        <f t="shared" si="5"/>
        <v>1.6666666666666661</v>
      </c>
      <c r="J23" s="50">
        <f t="shared" si="6"/>
        <v>111.83449999999996</v>
      </c>
      <c r="K23" s="50">
        <f t="shared" si="1"/>
        <v>108.16550000000004</v>
      </c>
      <c r="L23" s="9">
        <f t="shared" si="7"/>
        <v>0.50833863636363619</v>
      </c>
      <c r="M23" s="75">
        <v>2</v>
      </c>
      <c r="O23" s="23" t="str">
        <f t="shared" si="9"/>
        <v/>
      </c>
      <c r="P23" s="23" t="str">
        <f t="shared" si="8"/>
        <v/>
      </c>
      <c r="Q23" s="23" t="str">
        <f t="shared" si="8"/>
        <v/>
      </c>
      <c r="R23" s="23" t="str">
        <f t="shared" si="8"/>
        <v/>
      </c>
      <c r="S23" s="23" t="str">
        <f t="shared" si="8"/>
        <v/>
      </c>
      <c r="T23" s="74" t="str">
        <f t="shared" si="3"/>
        <v/>
      </c>
    </row>
    <row r="24" spans="1:20" ht="25" customHeight="1">
      <c r="A24" s="38">
        <v>45708</v>
      </c>
      <c r="B24" s="15" t="s">
        <v>336</v>
      </c>
      <c r="C24" s="16" t="s">
        <v>112</v>
      </c>
      <c r="D24" s="5">
        <v>0.36458333333333331</v>
      </c>
      <c r="E24" s="5">
        <v>0.44791666666666669</v>
      </c>
      <c r="F24" s="6" t="str">
        <f t="shared" si="0"/>
        <v>No</v>
      </c>
      <c r="G24" s="6">
        <f t="shared" si="4"/>
        <v>8.333333333333337E-2</v>
      </c>
      <c r="H24" s="50">
        <v>200</v>
      </c>
      <c r="I24" s="8">
        <f t="shared" si="5"/>
        <v>2.0000000000000009</v>
      </c>
      <c r="J24" s="50">
        <f t="shared" si="6"/>
        <v>134.20140000000006</v>
      </c>
      <c r="K24" s="50">
        <f t="shared" si="1"/>
        <v>65.798599999999936</v>
      </c>
      <c r="L24" s="9">
        <f t="shared" si="7"/>
        <v>0.67100700000000035</v>
      </c>
      <c r="M24" s="75">
        <v>1</v>
      </c>
      <c r="O24" s="23" t="str">
        <f t="shared" si="9"/>
        <v/>
      </c>
      <c r="P24" s="23" t="str">
        <f t="shared" si="8"/>
        <v/>
      </c>
      <c r="Q24" s="23" t="str">
        <f t="shared" si="8"/>
        <v/>
      </c>
      <c r="R24" s="23" t="str">
        <f t="shared" si="8"/>
        <v/>
      </c>
      <c r="S24" s="23" t="str">
        <f t="shared" si="8"/>
        <v/>
      </c>
      <c r="T24" s="74" t="str">
        <f t="shared" si="3"/>
        <v/>
      </c>
    </row>
    <row r="25" spans="1:20" ht="25" customHeight="1">
      <c r="A25" s="38">
        <v>45708</v>
      </c>
      <c r="B25" s="15" t="s">
        <v>336</v>
      </c>
      <c r="C25" s="16" t="s">
        <v>113</v>
      </c>
      <c r="D25" s="5">
        <v>0.44791666666666669</v>
      </c>
      <c r="E25" s="5">
        <v>0.5625</v>
      </c>
      <c r="F25" s="6" t="s">
        <v>17</v>
      </c>
      <c r="G25" s="6">
        <f t="shared" si="4"/>
        <v>9.3749999999999986E-2</v>
      </c>
      <c r="H25" s="50">
        <f>_xlfn.IFNA(VLOOKUP(C:C,'Active Jobs'!B:K,8,0),"")</f>
        <v>230</v>
      </c>
      <c r="I25" s="8">
        <f t="shared" si="5"/>
        <v>2.2499999999999996</v>
      </c>
      <c r="J25" s="50">
        <f t="shared" si="6"/>
        <v>150.97657499999997</v>
      </c>
      <c r="K25" s="50">
        <f t="shared" si="1"/>
        <v>79.023425000000032</v>
      </c>
      <c r="L25" s="9">
        <f t="shared" si="7"/>
        <v>0.65641989130434764</v>
      </c>
      <c r="M25" s="75">
        <v>1</v>
      </c>
      <c r="O25" s="23" t="str">
        <f t="shared" si="9"/>
        <v/>
      </c>
      <c r="P25" s="23" t="str">
        <f t="shared" si="8"/>
        <v/>
      </c>
      <c r="Q25" s="23" t="str">
        <f t="shared" si="8"/>
        <v/>
      </c>
      <c r="R25" s="23" t="str">
        <f t="shared" si="8"/>
        <v/>
      </c>
      <c r="S25" s="23" t="str">
        <f t="shared" si="8"/>
        <v/>
      </c>
      <c r="T25" s="74" t="str">
        <f t="shared" si="3"/>
        <v/>
      </c>
    </row>
    <row r="26" spans="1:20" ht="25" customHeight="1">
      <c r="A26" s="38">
        <v>45708</v>
      </c>
      <c r="B26" s="15" t="s">
        <v>336</v>
      </c>
      <c r="C26" s="16" t="s">
        <v>55</v>
      </c>
      <c r="D26" s="5">
        <v>0.5625</v>
      </c>
      <c r="E26" s="5">
        <v>0.625</v>
      </c>
      <c r="F26" s="6" t="str">
        <f t="shared" si="0"/>
        <v>No</v>
      </c>
      <c r="G26" s="6">
        <f t="shared" si="4"/>
        <v>6.25E-2</v>
      </c>
      <c r="H26" s="50">
        <f>_xlfn.IFNA(VLOOKUP(C:C,'Active Jobs'!B:K,8,0),"")</f>
        <v>220</v>
      </c>
      <c r="I26" s="8">
        <f t="shared" si="5"/>
        <v>1.5</v>
      </c>
      <c r="J26" s="50">
        <f t="shared" si="6"/>
        <v>100.65105</v>
      </c>
      <c r="K26" s="50">
        <f t="shared" si="1"/>
        <v>119.34895</v>
      </c>
      <c r="L26" s="9">
        <f t="shared" si="7"/>
        <v>0.45750477272727269</v>
      </c>
      <c r="M26" s="75">
        <v>1</v>
      </c>
      <c r="O26" s="23" t="str">
        <f t="shared" si="9"/>
        <v/>
      </c>
      <c r="P26" s="23" t="str">
        <f t="shared" si="8"/>
        <v/>
      </c>
      <c r="Q26" s="23" t="str">
        <f t="shared" si="8"/>
        <v/>
      </c>
      <c r="R26" s="23" t="str">
        <f t="shared" si="8"/>
        <v/>
      </c>
      <c r="S26" s="23" t="str">
        <f t="shared" si="8"/>
        <v/>
      </c>
      <c r="T26" s="74" t="str">
        <f t="shared" si="3"/>
        <v/>
      </c>
    </row>
    <row r="27" spans="1:20" ht="25" customHeight="1">
      <c r="A27" s="38">
        <v>45709</v>
      </c>
      <c r="B27" s="15" t="s">
        <v>336</v>
      </c>
      <c r="C27" s="16" t="s">
        <v>126</v>
      </c>
      <c r="D27" s="5">
        <v>0.35416666666666669</v>
      </c>
      <c r="E27" s="5">
        <v>0.47916666666666669</v>
      </c>
      <c r="F27" s="6" t="str">
        <f t="shared" si="0"/>
        <v>No</v>
      </c>
      <c r="G27" s="6">
        <f t="shared" si="4"/>
        <v>0.125</v>
      </c>
      <c r="H27" s="50">
        <f>_xlfn.IFNA(VLOOKUP(C:C,'Active Jobs'!B:K,8,0),"")</f>
        <v>250</v>
      </c>
      <c r="I27" s="8">
        <f t="shared" si="5"/>
        <v>3</v>
      </c>
      <c r="J27" s="50">
        <f t="shared" si="6"/>
        <v>201.3021</v>
      </c>
      <c r="K27" s="50">
        <f t="shared" si="1"/>
        <v>48.697900000000004</v>
      </c>
      <c r="L27" s="9">
        <f t="shared" si="7"/>
        <v>0.80520839999999994</v>
      </c>
      <c r="M27" s="75">
        <v>1</v>
      </c>
      <c r="O27" s="23" t="str">
        <f t="shared" si="9"/>
        <v/>
      </c>
      <c r="P27" s="23" t="str">
        <f t="shared" si="8"/>
        <v/>
      </c>
      <c r="Q27" s="23" t="str">
        <f t="shared" si="8"/>
        <v/>
      </c>
      <c r="R27" s="23" t="str">
        <f t="shared" si="8"/>
        <v/>
      </c>
      <c r="S27" s="23" t="str">
        <f t="shared" si="8"/>
        <v/>
      </c>
      <c r="T27" s="74" t="str">
        <f t="shared" si="3"/>
        <v/>
      </c>
    </row>
    <row r="28" spans="1:20" ht="25" customHeight="1">
      <c r="A28" s="38">
        <v>45709</v>
      </c>
      <c r="B28" s="15" t="s">
        <v>336</v>
      </c>
      <c r="C28" s="16" t="s">
        <v>180</v>
      </c>
      <c r="D28" s="5">
        <v>0.47916666666666669</v>
      </c>
      <c r="E28" s="5">
        <v>0.57430555555555551</v>
      </c>
      <c r="F28" s="6" t="s">
        <v>17</v>
      </c>
      <c r="G28" s="6">
        <f t="shared" si="4"/>
        <v>7.43055555555555E-2</v>
      </c>
      <c r="H28" s="50">
        <v>200</v>
      </c>
      <c r="I28" s="8">
        <f t="shared" si="5"/>
        <v>1.7833333333333319</v>
      </c>
      <c r="J28" s="50">
        <f t="shared" si="6"/>
        <v>119.6629149999999</v>
      </c>
      <c r="K28" s="50">
        <f t="shared" si="1"/>
        <v>80.337085000000101</v>
      </c>
      <c r="L28" s="9">
        <f t="shared" si="7"/>
        <v>0.59831457499999952</v>
      </c>
      <c r="M28" s="75">
        <v>1</v>
      </c>
      <c r="O28" s="23" t="str">
        <f t="shared" si="9"/>
        <v/>
      </c>
      <c r="P28" s="23" t="str">
        <f t="shared" si="8"/>
        <v/>
      </c>
      <c r="Q28" s="23" t="str">
        <f t="shared" si="8"/>
        <v/>
      </c>
      <c r="R28" s="23" t="str">
        <f t="shared" si="8"/>
        <v/>
      </c>
      <c r="S28" s="23" t="str">
        <f t="shared" si="8"/>
        <v/>
      </c>
      <c r="T28" s="74" t="str">
        <f t="shared" si="3"/>
        <v/>
      </c>
    </row>
    <row r="29" spans="1:20" ht="25" customHeight="1">
      <c r="A29" s="38">
        <v>45709</v>
      </c>
      <c r="B29" s="15" t="s">
        <v>336</v>
      </c>
      <c r="C29" s="16" t="s">
        <v>171</v>
      </c>
      <c r="D29" s="5">
        <v>0.57430555555555551</v>
      </c>
      <c r="E29" s="5">
        <v>0.65972222222222221</v>
      </c>
      <c r="F29" s="6" t="str">
        <f t="shared" si="0"/>
        <v>No</v>
      </c>
      <c r="G29" s="6">
        <f t="shared" si="4"/>
        <v>8.5416666666666696E-2</v>
      </c>
      <c r="H29" s="50">
        <v>220</v>
      </c>
      <c r="I29" s="8">
        <f t="shared" si="5"/>
        <v>2.0500000000000007</v>
      </c>
      <c r="J29" s="50">
        <f t="shared" si="6"/>
        <v>137.55643500000005</v>
      </c>
      <c r="K29" s="50">
        <f t="shared" si="1"/>
        <v>82.44356499999995</v>
      </c>
      <c r="L29" s="9">
        <f t="shared" si="7"/>
        <v>0.62525652272727295</v>
      </c>
      <c r="M29" s="75">
        <v>1</v>
      </c>
      <c r="O29" s="23" t="str">
        <f t="shared" si="9"/>
        <v/>
      </c>
      <c r="P29" s="23" t="str">
        <f t="shared" si="8"/>
        <v/>
      </c>
      <c r="Q29" s="23" t="str">
        <f t="shared" si="8"/>
        <v/>
      </c>
      <c r="R29" s="23" t="str">
        <f t="shared" si="8"/>
        <v/>
      </c>
      <c r="S29" s="23" t="str">
        <f t="shared" si="8"/>
        <v/>
      </c>
      <c r="T29" s="74" t="str">
        <f t="shared" si="3"/>
        <v/>
      </c>
    </row>
    <row r="30" spans="1:20" ht="25" customHeight="1">
      <c r="A30" s="38">
        <v>45709</v>
      </c>
      <c r="B30" s="15" t="s">
        <v>339</v>
      </c>
      <c r="C30" s="16" t="s">
        <v>99</v>
      </c>
      <c r="D30" s="5">
        <v>0.3611111111111111</v>
      </c>
      <c r="E30" s="5">
        <v>0.45</v>
      </c>
      <c r="F30" s="6" t="str">
        <f t="shared" ref="F30" si="10">IF(E30="","","No")</f>
        <v>No</v>
      </c>
      <c r="G30" s="6">
        <f t="shared" ref="G30:G31" si="11">IF(E30="","",IF(F30="Yes",(E30-D30)-TIME(0,30,0),E30-D30))</f>
        <v>8.8888888888888906E-2</v>
      </c>
      <c r="H30" s="50">
        <f>_xlfn.IFNA(VLOOKUP(C:C,'Active Jobs'!B:K,8,0),"")</f>
        <v>200</v>
      </c>
      <c r="I30" s="8">
        <f t="shared" ref="I30:I31" si="12">IF(F30="Yes",(E30-D30)*24-0.5,IF(F30="No",(E30-D30)*24,""))</f>
        <v>2.1333333333333337</v>
      </c>
      <c r="J30" s="50">
        <f>IF(G30="","",G30*24*HourlyRate*2*(1+Super))</f>
        <v>143.14816000000002</v>
      </c>
      <c r="K30" s="50">
        <f t="shared" ref="K30:K31" si="13">IF(H30="","",IF(J30=0,0,H30-J30))</f>
        <v>56.851839999999982</v>
      </c>
      <c r="L30" s="9">
        <f t="shared" ref="L30:L31" si="14">IF(K30="","",IF(H30=0,1,J30/H30))</f>
        <v>0.71574080000000007</v>
      </c>
      <c r="M30" s="75">
        <v>2</v>
      </c>
      <c r="O30" s="23"/>
      <c r="P30" s="23"/>
      <c r="Q30" s="23"/>
      <c r="R30" s="23"/>
      <c r="S30" s="23"/>
      <c r="T30" s="74"/>
    </row>
    <row r="31" spans="1:20" ht="25" customHeight="1">
      <c r="A31" s="38">
        <v>45709</v>
      </c>
      <c r="B31" s="15" t="s">
        <v>339</v>
      </c>
      <c r="C31" s="16" t="s">
        <v>127</v>
      </c>
      <c r="D31" s="5">
        <v>0.45</v>
      </c>
      <c r="E31" s="5">
        <v>0.56597222222222221</v>
      </c>
      <c r="F31" s="6" t="s">
        <v>17</v>
      </c>
      <c r="G31" s="6">
        <f t="shared" si="11"/>
        <v>9.513888888888887E-2</v>
      </c>
      <c r="H31" s="50">
        <f>_xlfn.IFNA(VLOOKUP(C:C,'Active Jobs'!B:K,8,0),"")</f>
        <v>200</v>
      </c>
      <c r="I31" s="8">
        <f t="shared" si="12"/>
        <v>2.2833333333333328</v>
      </c>
      <c r="J31" s="50">
        <f>IF(G31="","",G31*24*HourlyRate*2*(1+Super))</f>
        <v>153.21326499999998</v>
      </c>
      <c r="K31" s="50">
        <f t="shared" si="13"/>
        <v>46.786735000000022</v>
      </c>
      <c r="L31" s="9">
        <f t="shared" si="14"/>
        <v>0.76606632499999994</v>
      </c>
      <c r="M31" s="75">
        <v>2</v>
      </c>
      <c r="O31" s="23"/>
      <c r="P31" s="23"/>
      <c r="Q31" s="23"/>
      <c r="R31" s="23"/>
      <c r="S31" s="23"/>
      <c r="T31" s="74"/>
    </row>
    <row r="32" spans="1:20" ht="25" customHeight="1">
      <c r="A32" s="38">
        <v>45709</v>
      </c>
      <c r="B32" s="15" t="s">
        <v>339</v>
      </c>
      <c r="C32" s="16" t="s">
        <v>123</v>
      </c>
      <c r="D32" s="5">
        <v>0.56597222222222221</v>
      </c>
      <c r="E32" s="5">
        <v>0.58333333333333337</v>
      </c>
      <c r="F32" s="6" t="str">
        <f t="shared" si="0"/>
        <v>No</v>
      </c>
      <c r="G32" s="6">
        <f>IF(E32="","",IF(F32="Yes",(E32-D32)-TIME(0,30,0),E32-D32))</f>
        <v>1.736111111111116E-2</v>
      </c>
      <c r="H32" s="50">
        <v>0</v>
      </c>
      <c r="I32" s="8">
        <f>IF(F32="Yes",(E32-D32)*24-0.5,IF(F32="No",(E32-D32)*24,""))</f>
        <v>0.41666666666666785</v>
      </c>
      <c r="J32" s="50">
        <f>IF(G32="","",G32*24*HourlyRate*2*(1+Super))</f>
        <v>27.95862500000008</v>
      </c>
      <c r="K32" s="50">
        <f t="shared" si="1"/>
        <v>-27.95862500000008</v>
      </c>
      <c r="L32" s="9">
        <f>IF(K32="","",IF(H32=0,1,J32/H32))</f>
        <v>1</v>
      </c>
      <c r="M32" s="75">
        <v>2</v>
      </c>
      <c r="N32" s="43" t="s">
        <v>181</v>
      </c>
      <c r="O32" s="23">
        <f t="shared" ref="O32:S44" si="15">IF(N32="","",ROUND(SUMIFS($I:$I,$A:$A,O$1,$B:$B,"*"&amp;$N32&amp;"*"),2))</f>
        <v>0</v>
      </c>
      <c r="P32" s="23">
        <f t="shared" si="15"/>
        <v>0</v>
      </c>
      <c r="Q32" s="23">
        <f t="shared" si="15"/>
        <v>0</v>
      </c>
      <c r="R32" s="23">
        <f t="shared" si="15"/>
        <v>0</v>
      </c>
      <c r="S32" s="23">
        <f t="shared" si="15"/>
        <v>0</v>
      </c>
      <c r="T32" s="74">
        <f t="shared" si="3"/>
        <v>0</v>
      </c>
    </row>
    <row r="33" spans="1:20" ht="25" customHeight="1">
      <c r="B33" s="15"/>
      <c r="C33" s="49"/>
      <c r="D33" s="5"/>
      <c r="E33" s="5"/>
      <c r="F33" s="6" t="str">
        <f t="shared" si="0"/>
        <v/>
      </c>
      <c r="G33" s="6" t="str">
        <f t="shared" si="4"/>
        <v/>
      </c>
      <c r="H33" s="50" t="str">
        <f>_xlfn.IFNA(VLOOKUP(C:C,'Active Jobs'!B:K,8,0),"")</f>
        <v/>
      </c>
      <c r="I33" s="8" t="str">
        <f t="shared" si="5"/>
        <v/>
      </c>
      <c r="J33" s="50" t="str">
        <f t="shared" si="6"/>
        <v/>
      </c>
      <c r="K33" s="50" t="str">
        <f t="shared" si="1"/>
        <v/>
      </c>
      <c r="L33" s="9" t="str">
        <f t="shared" si="7"/>
        <v/>
      </c>
      <c r="M33" s="75"/>
      <c r="O33" s="23" t="str">
        <f t="shared" si="15"/>
        <v/>
      </c>
      <c r="P33" s="23" t="str">
        <f t="shared" si="15"/>
        <v/>
      </c>
      <c r="Q33" s="23" t="str">
        <f t="shared" si="15"/>
        <v/>
      </c>
      <c r="R33" s="23" t="str">
        <f t="shared" si="15"/>
        <v/>
      </c>
      <c r="S33" s="23" t="str">
        <f t="shared" si="15"/>
        <v/>
      </c>
      <c r="T33" s="74" t="str">
        <f t="shared" si="3"/>
        <v/>
      </c>
    </row>
    <row r="34" spans="1:20" ht="25" customHeight="1">
      <c r="A34" s="39"/>
      <c r="B34" s="29"/>
      <c r="C34" s="30"/>
      <c r="D34" s="1"/>
      <c r="E34" s="1"/>
      <c r="F34" s="31"/>
      <c r="G34" s="32"/>
      <c r="H34" s="53">
        <f>SUBTOTAL(109,Table2261210141626[Quoted])</f>
        <v>6525</v>
      </c>
      <c r="I34" s="34">
        <f>SUBTOTAL(109,Table2261210141626[Hours Payable])</f>
        <v>64.86666666666666</v>
      </c>
      <c r="J34" s="53">
        <f>SUBTOTAL(109,Table2261210141626[Wages (Incl. Super)])</f>
        <v>4352.5987399999995</v>
      </c>
      <c r="K34" s="53">
        <f>SUBTOTAL(109,Table2261210141626[Profit])</f>
        <v>2172.4012600000001</v>
      </c>
      <c r="L34" s="35">
        <f>IF(L2="","",SUBTOTAL(101,Table2261210141626[Quote/Wages]))</f>
        <v>0.66696486856177484</v>
      </c>
      <c r="M34" s="1"/>
      <c r="O34" s="23" t="str">
        <f t="shared" si="15"/>
        <v/>
      </c>
      <c r="P34" s="23" t="str">
        <f t="shared" si="15"/>
        <v/>
      </c>
      <c r="Q34" s="23" t="str">
        <f t="shared" si="15"/>
        <v/>
      </c>
      <c r="R34" s="23" t="str">
        <f t="shared" si="15"/>
        <v/>
      </c>
      <c r="S34" s="23" t="str">
        <f t="shared" si="15"/>
        <v/>
      </c>
      <c r="T34" s="74" t="str">
        <f t="shared" si="3"/>
        <v/>
      </c>
    </row>
    <row r="35" spans="1:20" ht="25" customHeight="1">
      <c r="O35" s="23" t="str">
        <f t="shared" si="15"/>
        <v/>
      </c>
      <c r="P35" s="23" t="str">
        <f t="shared" si="15"/>
        <v/>
      </c>
      <c r="Q35" s="23" t="str">
        <f t="shared" si="15"/>
        <v/>
      </c>
      <c r="R35" s="23" t="str">
        <f t="shared" si="15"/>
        <v/>
      </c>
      <c r="S35" s="23" t="str">
        <f t="shared" si="15"/>
        <v/>
      </c>
      <c r="T35" s="74" t="str">
        <f t="shared" si="3"/>
        <v/>
      </c>
    </row>
    <row r="36" spans="1:20" ht="25" customHeight="1">
      <c r="O36" s="23" t="str">
        <f t="shared" si="15"/>
        <v/>
      </c>
      <c r="P36" s="23" t="str">
        <f t="shared" si="15"/>
        <v/>
      </c>
      <c r="Q36" s="23" t="str">
        <f t="shared" si="15"/>
        <v/>
      </c>
      <c r="R36" s="23" t="str">
        <f t="shared" si="15"/>
        <v/>
      </c>
      <c r="S36" s="23" t="str">
        <f t="shared" si="15"/>
        <v/>
      </c>
      <c r="T36" s="74" t="str">
        <f t="shared" si="3"/>
        <v/>
      </c>
    </row>
    <row r="37" spans="1:20" ht="25" customHeight="1">
      <c r="O37" s="23" t="str">
        <f t="shared" si="15"/>
        <v/>
      </c>
      <c r="P37" s="23" t="str">
        <f t="shared" si="15"/>
        <v/>
      </c>
      <c r="Q37" s="23" t="str">
        <f t="shared" si="15"/>
        <v/>
      </c>
      <c r="R37" s="23" t="str">
        <f t="shared" si="15"/>
        <v/>
      </c>
      <c r="S37" s="23" t="str">
        <f t="shared" si="15"/>
        <v/>
      </c>
      <c r="T37" s="74" t="str">
        <f t="shared" si="3"/>
        <v/>
      </c>
    </row>
    <row r="38" spans="1:20" ht="25" customHeight="1">
      <c r="L38" s="76"/>
      <c r="O38" s="23" t="str">
        <f t="shared" si="15"/>
        <v/>
      </c>
      <c r="P38" s="23" t="str">
        <f t="shared" si="15"/>
        <v/>
      </c>
      <c r="Q38" s="23" t="str">
        <f t="shared" si="15"/>
        <v/>
      </c>
      <c r="R38" s="23" t="str">
        <f t="shared" si="15"/>
        <v/>
      </c>
      <c r="S38" s="23" t="str">
        <f t="shared" si="15"/>
        <v/>
      </c>
      <c r="T38" s="74" t="str">
        <f t="shared" si="3"/>
        <v/>
      </c>
    </row>
    <row r="39" spans="1:20" ht="25" customHeight="1">
      <c r="O39" s="23" t="str">
        <f t="shared" si="15"/>
        <v/>
      </c>
      <c r="P39" s="23" t="str">
        <f t="shared" si="15"/>
        <v/>
      </c>
      <c r="Q39" s="23" t="str">
        <f t="shared" si="15"/>
        <v/>
      </c>
      <c r="R39" s="23" t="str">
        <f t="shared" si="15"/>
        <v/>
      </c>
      <c r="S39" s="23" t="str">
        <f t="shared" si="15"/>
        <v/>
      </c>
      <c r="T39" s="74" t="str">
        <f t="shared" si="3"/>
        <v/>
      </c>
    </row>
    <row r="40" spans="1:20" ht="25" customHeight="1">
      <c r="O40" s="23" t="str">
        <f t="shared" si="15"/>
        <v/>
      </c>
      <c r="P40" s="23" t="str">
        <f t="shared" si="15"/>
        <v/>
      </c>
      <c r="Q40" s="23" t="str">
        <f t="shared" si="15"/>
        <v/>
      </c>
      <c r="R40" s="23" t="str">
        <f t="shared" si="15"/>
        <v/>
      </c>
      <c r="S40" s="23" t="str">
        <f t="shared" si="15"/>
        <v/>
      </c>
      <c r="T40" s="74" t="str">
        <f t="shared" si="3"/>
        <v/>
      </c>
    </row>
    <row r="41" spans="1:20" ht="25" customHeight="1">
      <c r="O41" s="23" t="str">
        <f t="shared" si="15"/>
        <v/>
      </c>
      <c r="P41" s="23" t="str">
        <f t="shared" si="15"/>
        <v/>
      </c>
      <c r="Q41" s="23" t="str">
        <f t="shared" si="15"/>
        <v/>
      </c>
      <c r="R41" s="23" t="str">
        <f t="shared" si="15"/>
        <v/>
      </c>
      <c r="S41" s="23" t="str">
        <f t="shared" si="15"/>
        <v/>
      </c>
      <c r="T41" s="74" t="str">
        <f t="shared" si="3"/>
        <v/>
      </c>
    </row>
    <row r="42" spans="1:20" ht="25" customHeight="1">
      <c r="O42" s="23" t="str">
        <f t="shared" si="15"/>
        <v/>
      </c>
      <c r="P42" s="23" t="str">
        <f t="shared" si="15"/>
        <v/>
      </c>
      <c r="Q42" s="23" t="str">
        <f t="shared" si="15"/>
        <v/>
      </c>
      <c r="R42" s="23" t="str">
        <f t="shared" si="15"/>
        <v/>
      </c>
      <c r="S42" s="23" t="str">
        <f t="shared" si="15"/>
        <v/>
      </c>
      <c r="T42" s="74" t="str">
        <f t="shared" si="3"/>
        <v/>
      </c>
    </row>
    <row r="43" spans="1:20" ht="25" customHeight="1">
      <c r="O43" s="23" t="str">
        <f t="shared" si="15"/>
        <v/>
      </c>
      <c r="P43" s="23" t="str">
        <f t="shared" si="15"/>
        <v/>
      </c>
      <c r="Q43" s="23" t="str">
        <f t="shared" si="15"/>
        <v/>
      </c>
      <c r="R43" s="23" t="str">
        <f t="shared" si="15"/>
        <v/>
      </c>
      <c r="S43" s="23" t="str">
        <f t="shared" si="15"/>
        <v/>
      </c>
      <c r="T43" s="74" t="str">
        <f t="shared" si="3"/>
        <v/>
      </c>
    </row>
    <row r="44" spans="1:20" ht="25" customHeight="1">
      <c r="O44" s="23" t="str">
        <f t="shared" si="15"/>
        <v/>
      </c>
      <c r="P44" s="23" t="str">
        <f t="shared" si="15"/>
        <v/>
      </c>
      <c r="Q44" s="23" t="str">
        <f t="shared" si="15"/>
        <v/>
      </c>
      <c r="R44" s="23" t="str">
        <f t="shared" si="15"/>
        <v/>
      </c>
      <c r="S44" s="23" t="str">
        <f t="shared" si="15"/>
        <v/>
      </c>
      <c r="T44" s="74" t="str">
        <f t="shared" si="3"/>
        <v/>
      </c>
    </row>
  </sheetData>
  <conditionalFormatting sqref="B35:B255 B1:B33">
    <cfRule type="expression" dxfId="38" priority="1">
      <formula>AND(ROW()&gt;1, E1&lt;&gt;"", COUNTIFS(A:A, $A1, B:B, $B1, F:F, "Yes")=0)</formula>
    </cfRule>
  </conditionalFormatting>
  <conditionalFormatting sqref="F1:F33 F35:F255">
    <cfRule type="expression" dxfId="37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3" xr:uid="{7F0E9700-E4F3-441C-B4C5-4C548C5EE702}">
      <formula1>"No, Yes"</formula1>
    </dataValidation>
    <dataValidation type="list" allowBlank="1" showErrorMessage="1" promptTitle="Select" sqref="B2:B33" xr:uid="{6BA2BCDE-7E95-499C-B223-7C51D5DAA6F8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66A5AAC-2F9B-46DD-A07B-B3EA5601C074}">
          <x14:formula1>
            <xm:f>'Active Jobs'!$B$2:$B$154</xm:f>
          </x14:formula1>
          <xm:sqref>C2:C33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A66D-0282-4288-A018-8C30D8C51BE0}">
  <sheetPr codeName="Sheet15"/>
  <dimension ref="A1:W42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t="str" cm="1">
        <f t="array" ref="O1">IF(B2="","",TRANSPOSE(_xlfn._xlws.FILTER(_xlfn.UNIQUE(A2:A203), _xlfn.UNIQUE(A2:A203)&lt;&gt;"")))</f>
        <v/>
      </c>
      <c r="P1" s="63"/>
      <c r="Q1" s="63"/>
      <c r="R1" s="63"/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/>
      <c r="B2" s="15"/>
      <c r="D2" s="5"/>
      <c r="E2" s="5"/>
      <c r="F2" s="6" t="str">
        <f t="shared" ref="F2:F31" si="0">IF(E2="","","No")</f>
        <v/>
      </c>
      <c r="G2" s="6" t="str">
        <f>IF(E2="","",IF(F2="Yes",(E2-D2)-TIME(0,30,0),E2-D2))</f>
        <v/>
      </c>
      <c r="H2" s="50" t="str">
        <f>_xlfn.IFNA(VLOOKUP(C:C,'Active Jobs'!B:K,8,0),"")</f>
        <v/>
      </c>
      <c r="I2" s="8" t="str">
        <f>IF(F2="Yes",(E2-D2)*24-0.5,IF(F2="No",(E2-D2)*24,""))</f>
        <v/>
      </c>
      <c r="J2" s="50" t="str">
        <f>IF(G2="","",G2*24*HourlyRate*2*(1+Super))</f>
        <v/>
      </c>
      <c r="K2" s="50" t="str">
        <f t="shared" ref="K2:K31" si="1">IF(H2="","",IF(J2=0,0,H2-J2))</f>
        <v/>
      </c>
      <c r="L2" s="9" t="str">
        <f>IF(K2="","",IF(H2=0,1,J2/H2))</f>
        <v/>
      </c>
      <c r="N2" s="41" t="s">
        <v>90</v>
      </c>
      <c r="O2" s="23">
        <v>7.33</v>
      </c>
      <c r="P2" s="23">
        <v>7.83</v>
      </c>
      <c r="Q2" s="23">
        <v>8.5</v>
      </c>
      <c r="R2" s="23">
        <v>9.08</v>
      </c>
      <c r="S2" s="23">
        <v>6.92</v>
      </c>
      <c r="T2" s="10">
        <v>39.659999999999997</v>
      </c>
      <c r="U2" s="24"/>
      <c r="V2" s="24">
        <f>IF(N2="","",T2*HourlyRate)</f>
        <v>1193.3693999999998</v>
      </c>
      <c r="W2" s="25">
        <f>IF(N2="","",V2*Super)</f>
        <v>137.23748099999997</v>
      </c>
    </row>
    <row r="3" spans="1:23" ht="25" customHeight="1">
      <c r="A3" s="37"/>
      <c r="B3" s="15"/>
      <c r="D3" s="5"/>
      <c r="E3" s="5"/>
      <c r="F3" s="6" t="str">
        <f t="shared" si="0"/>
        <v/>
      </c>
      <c r="G3" s="6" t="str">
        <f t="shared" ref="G3:G31" si="2">IF(E3="","",IF(F3="Yes",(E3-D3)-TIME(0,30,0),E3-D3))</f>
        <v/>
      </c>
      <c r="H3" s="50" t="str">
        <f>_xlfn.IFNA(VLOOKUP(C:C,'Active Jobs'!B:K,8,0),"")</f>
        <v/>
      </c>
      <c r="I3" s="8" t="str">
        <f t="shared" ref="I3:I31" si="3">IF(F3="Yes",(E3-D3)*24-0.5,IF(F3="No",(E3-D3)*24,""))</f>
        <v/>
      </c>
      <c r="J3" s="50" t="str">
        <f t="shared" ref="J3:J31" si="4">IF(G3="","",G3*24*HourlyRate*2*(1+Super))</f>
        <v/>
      </c>
      <c r="K3" s="50" t="str">
        <f t="shared" si="1"/>
        <v/>
      </c>
      <c r="L3" s="9" t="str">
        <f t="shared" ref="L3:L31" si="5">IF(K3="","",IF(H3=0,1,J3/H3))</f>
        <v/>
      </c>
      <c r="N3" s="42" t="s">
        <v>84</v>
      </c>
      <c r="O3" s="23">
        <v>7.33</v>
      </c>
      <c r="P3" s="23">
        <v>7.83</v>
      </c>
      <c r="Q3" s="23">
        <v>8.5</v>
      </c>
      <c r="R3" s="23">
        <v>9.08</v>
      </c>
      <c r="S3" s="23">
        <v>6.92</v>
      </c>
      <c r="T3" s="10">
        <v>39.659999999999997</v>
      </c>
      <c r="U3" s="21"/>
      <c r="V3" s="24">
        <f>IF(N3="","",T3*HourlyRate)</f>
        <v>1193.3693999999998</v>
      </c>
      <c r="W3" s="25">
        <f>IF(N3="","",V3*Super)</f>
        <v>137.23748099999997</v>
      </c>
    </row>
    <row r="4" spans="1:23" ht="25" customHeight="1">
      <c r="A4" s="37"/>
      <c r="B4" s="15"/>
      <c r="D4" s="5"/>
      <c r="E4" s="5"/>
      <c r="F4" s="6" t="str">
        <f t="shared" si="0"/>
        <v/>
      </c>
      <c r="G4" s="6" t="str">
        <f t="shared" si="2"/>
        <v/>
      </c>
      <c r="H4" s="50" t="str">
        <f>_xlfn.IFNA(VLOOKUP(C:C,'Active Jobs'!B:K,8,0),"")</f>
        <v/>
      </c>
      <c r="I4" s="8" t="str">
        <f t="shared" si="3"/>
        <v/>
      </c>
      <c r="J4" s="50" t="str">
        <f t="shared" si="4"/>
        <v/>
      </c>
      <c r="K4" s="50" t="str">
        <f t="shared" si="1"/>
        <v/>
      </c>
      <c r="L4" s="9" t="str">
        <f t="shared" si="5"/>
        <v/>
      </c>
      <c r="N4" s="42" t="s">
        <v>335</v>
      </c>
      <c r="O4" s="23">
        <v>6.67</v>
      </c>
      <c r="P4" s="23">
        <v>8.42</v>
      </c>
      <c r="Q4" s="23">
        <v>8.5</v>
      </c>
      <c r="R4" s="23">
        <v>7.5</v>
      </c>
      <c r="S4" s="23">
        <v>6.92</v>
      </c>
      <c r="T4" s="10">
        <v>38.01</v>
      </c>
      <c r="U4" s="21"/>
      <c r="V4" s="24">
        <f>IF(N4="","",T4*HourlyRate)</f>
        <v>1143.7209</v>
      </c>
      <c r="W4" s="25">
        <f>IF(N4="","",V4*Super)</f>
        <v>131.52790350000001</v>
      </c>
    </row>
    <row r="5" spans="1:23" ht="25" customHeight="1">
      <c r="A5" s="37"/>
      <c r="B5" s="15"/>
      <c r="D5" s="5"/>
      <c r="E5" s="5"/>
      <c r="F5" s="6" t="str">
        <f t="shared" si="0"/>
        <v/>
      </c>
      <c r="G5" s="6" t="str">
        <f t="shared" si="2"/>
        <v/>
      </c>
      <c r="H5" s="50" t="str">
        <f>_xlfn.IFNA(VLOOKUP(C:C,'Active Jobs'!B:K,8,0),"")</f>
        <v/>
      </c>
      <c r="I5" s="8" t="str">
        <f t="shared" si="3"/>
        <v/>
      </c>
      <c r="J5" s="50" t="str">
        <f t="shared" si="4"/>
        <v/>
      </c>
      <c r="K5" s="50" t="str">
        <f t="shared" si="1"/>
        <v/>
      </c>
      <c r="L5" s="9" t="str">
        <f t="shared" si="5"/>
        <v/>
      </c>
      <c r="N5" s="42" t="s">
        <v>337</v>
      </c>
      <c r="O5" s="23">
        <v>6.67</v>
      </c>
      <c r="P5" s="23">
        <v>8.42</v>
      </c>
      <c r="Q5" s="23">
        <v>8.5</v>
      </c>
      <c r="R5" s="23">
        <v>7.5</v>
      </c>
      <c r="S5" s="23">
        <v>6.92</v>
      </c>
      <c r="T5" s="10">
        <v>38.01</v>
      </c>
      <c r="U5" s="21"/>
      <c r="V5" s="24">
        <f>IF(N5="","",T5*HourlyRate)</f>
        <v>1143.7209</v>
      </c>
      <c r="W5" s="25">
        <f>IF(N5="","",V5*Super)</f>
        <v>131.52790350000001</v>
      </c>
    </row>
    <row r="6" spans="1:23" ht="25" customHeight="1">
      <c r="A6" s="37"/>
      <c r="B6" s="15"/>
      <c r="D6" s="5"/>
      <c r="E6" s="5"/>
      <c r="F6" s="6" t="str">
        <f t="shared" si="0"/>
        <v/>
      </c>
      <c r="G6" s="6" t="str">
        <f t="shared" si="2"/>
        <v/>
      </c>
      <c r="H6" s="50" t="str">
        <f>_xlfn.IFNA(VLOOKUP(C:C,'Active Jobs'!B:K,8,0),"")</f>
        <v/>
      </c>
      <c r="I6" s="8" t="str">
        <f t="shared" si="3"/>
        <v/>
      </c>
      <c r="J6" s="50" t="str">
        <f t="shared" si="4"/>
        <v/>
      </c>
      <c r="K6" s="50" t="str">
        <f t="shared" si="1"/>
        <v/>
      </c>
      <c r="L6" s="9" t="str">
        <f t="shared" si="5"/>
        <v/>
      </c>
      <c r="O6" s="23" t="str">
        <f t="shared" ref="O6:S17" si="6">IF(N6="","",ROUND(SUMIFS($I:$I,$A:$A,O$1,$B:$B,"*"&amp;$N6&amp;"*"),2))</f>
        <v/>
      </c>
      <c r="P6" s="23" t="str">
        <f t="shared" si="6"/>
        <v/>
      </c>
      <c r="Q6" s="23" t="str">
        <f t="shared" si="6"/>
        <v/>
      </c>
      <c r="R6" s="23" t="str">
        <f t="shared" si="6"/>
        <v/>
      </c>
      <c r="S6" s="23" t="str">
        <f t="shared" si="6"/>
        <v/>
      </c>
      <c r="T6" s="10" t="str">
        <f t="shared" ref="T6:T42" si="7">IF(N6="","",SUM(O6:S6))</f>
        <v/>
      </c>
      <c r="U6" s="21"/>
      <c r="V6" s="24"/>
      <c r="W6" s="25"/>
    </row>
    <row r="7" spans="1:23" ht="25" customHeight="1">
      <c r="A7" s="37"/>
      <c r="B7" s="15"/>
      <c r="D7" s="5"/>
      <c r="E7" s="5"/>
      <c r="F7" s="6" t="str">
        <f t="shared" si="0"/>
        <v/>
      </c>
      <c r="G7" s="6" t="str">
        <f t="shared" si="2"/>
        <v/>
      </c>
      <c r="H7" s="50" t="str">
        <f>_xlfn.IFNA(VLOOKUP(C:C,'Active Jobs'!B:K,8,0),"")</f>
        <v/>
      </c>
      <c r="I7" s="8" t="str">
        <f t="shared" si="3"/>
        <v/>
      </c>
      <c r="J7" s="50" t="str">
        <f t="shared" si="4"/>
        <v/>
      </c>
      <c r="K7" s="50" t="str">
        <f t="shared" si="1"/>
        <v/>
      </c>
      <c r="L7" s="9" t="str">
        <f t="shared" si="5"/>
        <v/>
      </c>
      <c r="N7" s="47"/>
      <c r="O7" s="23" t="str">
        <f t="shared" si="6"/>
        <v/>
      </c>
      <c r="P7" s="23" t="str">
        <f t="shared" si="6"/>
        <v/>
      </c>
      <c r="Q7" s="23" t="str">
        <f t="shared" si="6"/>
        <v/>
      </c>
      <c r="R7" s="23" t="str">
        <f t="shared" si="6"/>
        <v/>
      </c>
      <c r="S7" s="23" t="str">
        <f t="shared" si="6"/>
        <v/>
      </c>
      <c r="T7" s="10" t="str">
        <f t="shared" si="7"/>
        <v/>
      </c>
      <c r="U7" s="21"/>
      <c r="V7" s="26">
        <f>SUM(V2:V5)</f>
        <v>4674.1805999999997</v>
      </c>
      <c r="W7" s="26">
        <f>SUM(W2:W5)</f>
        <v>537.53076899999996</v>
      </c>
    </row>
    <row r="8" spans="1:23" ht="25" customHeight="1">
      <c r="B8" s="15"/>
      <c r="C8" s="49"/>
      <c r="D8" s="5"/>
      <c r="E8" s="5"/>
      <c r="F8" s="6" t="str">
        <f t="shared" si="0"/>
        <v/>
      </c>
      <c r="G8" s="6" t="str">
        <f t="shared" si="2"/>
        <v/>
      </c>
      <c r="H8" s="50" t="str">
        <f>_xlfn.IFNA(VLOOKUP(C:C,'Active Jobs'!B:K,8,0),"")</f>
        <v/>
      </c>
      <c r="I8" s="8" t="str">
        <f t="shared" si="3"/>
        <v/>
      </c>
      <c r="J8" s="50" t="str">
        <f t="shared" si="4"/>
        <v/>
      </c>
      <c r="K8" s="50" t="str">
        <f t="shared" si="1"/>
        <v/>
      </c>
      <c r="L8" s="9" t="str">
        <f t="shared" si="5"/>
        <v/>
      </c>
      <c r="N8" s="41"/>
      <c r="O8" s="23" t="str">
        <f t="shared" si="6"/>
        <v/>
      </c>
      <c r="P8" s="23" t="str">
        <f t="shared" si="6"/>
        <v/>
      </c>
      <c r="Q8" s="23" t="str">
        <f t="shared" si="6"/>
        <v/>
      </c>
      <c r="R8" s="23" t="str">
        <f t="shared" si="6"/>
        <v/>
      </c>
      <c r="S8" s="23" t="str">
        <f t="shared" si="6"/>
        <v/>
      </c>
      <c r="T8" s="10" t="str">
        <f t="shared" si="7"/>
        <v/>
      </c>
      <c r="U8" s="21"/>
      <c r="V8" s="21"/>
      <c r="W8" s="21"/>
    </row>
    <row r="9" spans="1:23" ht="25" customHeight="1">
      <c r="B9" s="15"/>
      <c r="D9" s="5"/>
      <c r="E9" s="5"/>
      <c r="F9" s="6" t="str">
        <f t="shared" si="0"/>
        <v/>
      </c>
      <c r="G9" s="6" t="str">
        <f t="shared" si="2"/>
        <v/>
      </c>
      <c r="H9" s="50" t="str">
        <f>_xlfn.IFNA(VLOOKUP(C:C,'Active Jobs'!B:K,8,0),"")</f>
        <v/>
      </c>
      <c r="I9" s="8" t="str">
        <f t="shared" si="3"/>
        <v/>
      </c>
      <c r="J9" s="50" t="str">
        <f t="shared" si="4"/>
        <v/>
      </c>
      <c r="K9" s="50" t="str">
        <f t="shared" si="1"/>
        <v/>
      </c>
      <c r="L9" s="9" t="str">
        <f t="shared" si="5"/>
        <v/>
      </c>
      <c r="N9" s="47"/>
      <c r="O9" s="23" t="str">
        <f t="shared" si="6"/>
        <v/>
      </c>
      <c r="P9" s="23" t="str">
        <f t="shared" si="6"/>
        <v/>
      </c>
      <c r="Q9" s="23" t="str">
        <f t="shared" si="6"/>
        <v/>
      </c>
      <c r="R9" s="23" t="str">
        <f t="shared" si="6"/>
        <v/>
      </c>
      <c r="S9" s="23" t="str">
        <f t="shared" si="6"/>
        <v/>
      </c>
      <c r="T9" s="10" t="str">
        <f t="shared" si="7"/>
        <v/>
      </c>
      <c r="U9" s="21"/>
      <c r="V9" s="24"/>
      <c r="W9" s="25"/>
    </row>
    <row r="10" spans="1:23" ht="25" customHeight="1">
      <c r="B10" s="15"/>
      <c r="D10" s="5"/>
      <c r="E10" s="5"/>
      <c r="F10" s="6" t="str">
        <f t="shared" si="0"/>
        <v/>
      </c>
      <c r="G10" s="6" t="str">
        <f t="shared" si="2"/>
        <v/>
      </c>
      <c r="H10" s="50" t="str">
        <f>_xlfn.IFNA(VLOOKUP(C:C,'Active Jobs'!B:K,8,0),"")</f>
        <v/>
      </c>
      <c r="I10" s="8" t="str">
        <f t="shared" si="3"/>
        <v/>
      </c>
      <c r="J10" s="50" t="str">
        <f t="shared" si="4"/>
        <v/>
      </c>
      <c r="K10" s="50" t="str">
        <f t="shared" si="1"/>
        <v/>
      </c>
      <c r="L10" s="9" t="str">
        <f t="shared" si="5"/>
        <v/>
      </c>
      <c r="O10" s="23" t="str">
        <f t="shared" si="6"/>
        <v/>
      </c>
      <c r="P10" s="23" t="str">
        <f t="shared" si="6"/>
        <v/>
      </c>
      <c r="Q10" s="23" t="str">
        <f t="shared" si="6"/>
        <v/>
      </c>
      <c r="R10" s="23" t="str">
        <f t="shared" si="6"/>
        <v/>
      </c>
      <c r="S10" s="23" t="str">
        <f t="shared" si="6"/>
        <v/>
      </c>
      <c r="T10" s="10" t="str">
        <f t="shared" si="7"/>
        <v/>
      </c>
      <c r="U10" s="21"/>
      <c r="V10" s="21"/>
      <c r="W10" s="10"/>
    </row>
    <row r="11" spans="1:23" ht="25" customHeight="1">
      <c r="B11" s="15"/>
      <c r="D11" s="5"/>
      <c r="E11" s="5"/>
      <c r="F11" s="6" t="str">
        <f t="shared" si="0"/>
        <v/>
      </c>
      <c r="G11" s="6" t="str">
        <f t="shared" si="2"/>
        <v/>
      </c>
      <c r="H11" s="50" t="str">
        <f>_xlfn.IFNA(VLOOKUP(C:C,'Active Jobs'!B:K,8,0),"")</f>
        <v/>
      </c>
      <c r="I11" s="8" t="str">
        <f t="shared" si="3"/>
        <v/>
      </c>
      <c r="J11" s="50" t="str">
        <f t="shared" si="4"/>
        <v/>
      </c>
      <c r="K11" s="50" t="str">
        <f t="shared" si="1"/>
        <v/>
      </c>
      <c r="L11" s="9" t="str">
        <f t="shared" si="5"/>
        <v/>
      </c>
      <c r="O11" s="23" t="str">
        <f t="shared" si="6"/>
        <v/>
      </c>
      <c r="P11" s="23" t="str">
        <f t="shared" si="6"/>
        <v/>
      </c>
      <c r="Q11" s="23" t="str">
        <f t="shared" si="6"/>
        <v/>
      </c>
      <c r="R11" s="23" t="str">
        <f t="shared" si="6"/>
        <v/>
      </c>
      <c r="S11" s="23" t="str">
        <f t="shared" si="6"/>
        <v/>
      </c>
      <c r="T11" s="10" t="str">
        <f t="shared" si="7"/>
        <v/>
      </c>
      <c r="U11" s="21"/>
      <c r="V11" s="54"/>
      <c r="W11" s="21"/>
    </row>
    <row r="12" spans="1:23" ht="25" customHeight="1">
      <c r="B12" s="15"/>
      <c r="D12" s="5"/>
      <c r="E12" s="5"/>
      <c r="F12" s="6" t="str">
        <f t="shared" si="0"/>
        <v/>
      </c>
      <c r="G12" s="6" t="str">
        <f t="shared" si="2"/>
        <v/>
      </c>
      <c r="H12" s="50" t="str">
        <f>_xlfn.IFNA(VLOOKUP(C:C,'Active Jobs'!B:K,8,0),"")</f>
        <v/>
      </c>
      <c r="I12" s="8" t="str">
        <f t="shared" si="3"/>
        <v/>
      </c>
      <c r="J12" s="50" t="str">
        <f t="shared" si="4"/>
        <v/>
      </c>
      <c r="K12" s="50" t="str">
        <f t="shared" si="1"/>
        <v/>
      </c>
      <c r="L12" s="9" t="str">
        <f t="shared" si="5"/>
        <v/>
      </c>
      <c r="O12" s="23" t="str">
        <f t="shared" si="6"/>
        <v/>
      </c>
      <c r="P12" s="23" t="str">
        <f t="shared" si="6"/>
        <v/>
      </c>
      <c r="Q12" s="23" t="str">
        <f t="shared" si="6"/>
        <v/>
      </c>
      <c r="R12" s="23" t="str">
        <f t="shared" si="6"/>
        <v/>
      </c>
      <c r="S12" s="23" t="str">
        <f t="shared" si="6"/>
        <v/>
      </c>
      <c r="T12" s="10" t="str">
        <f t="shared" si="7"/>
        <v/>
      </c>
    </row>
    <row r="13" spans="1:23" ht="25" customHeight="1">
      <c r="B13" s="15"/>
      <c r="D13" s="5"/>
      <c r="E13" s="5"/>
      <c r="F13" s="6" t="str">
        <f t="shared" si="0"/>
        <v/>
      </c>
      <c r="G13" s="6" t="str">
        <f t="shared" si="2"/>
        <v/>
      </c>
      <c r="H13" s="50" t="str">
        <f>_xlfn.IFNA(VLOOKUP(C:C,'Active Jobs'!B:K,8,0),"")</f>
        <v/>
      </c>
      <c r="I13" s="8" t="str">
        <f t="shared" si="3"/>
        <v/>
      </c>
      <c r="J13" s="50" t="str">
        <f t="shared" si="4"/>
        <v/>
      </c>
      <c r="K13" s="50" t="str">
        <f t="shared" si="1"/>
        <v/>
      </c>
      <c r="L13" s="9" t="str">
        <f t="shared" si="5"/>
        <v/>
      </c>
      <c r="O13" s="23" t="str">
        <f t="shared" si="6"/>
        <v/>
      </c>
      <c r="P13" s="23" t="str">
        <f t="shared" si="6"/>
        <v/>
      </c>
      <c r="Q13" s="23" t="str">
        <f t="shared" si="6"/>
        <v/>
      </c>
      <c r="R13" s="23" t="str">
        <f t="shared" si="6"/>
        <v/>
      </c>
      <c r="S13" s="23" t="str">
        <f t="shared" si="6"/>
        <v/>
      </c>
      <c r="T13" s="10" t="str">
        <f t="shared" si="7"/>
        <v/>
      </c>
    </row>
    <row r="14" spans="1:23" ht="25" customHeight="1">
      <c r="B14" s="15"/>
      <c r="D14" s="5"/>
      <c r="E14" s="5"/>
      <c r="F14" s="6" t="str">
        <f t="shared" si="0"/>
        <v/>
      </c>
      <c r="G14" s="6" t="str">
        <f t="shared" si="2"/>
        <v/>
      </c>
      <c r="H14" s="50" t="str">
        <f>_xlfn.IFNA(VLOOKUP(C:C,'Active Jobs'!B:K,8,0),"")</f>
        <v/>
      </c>
      <c r="I14" s="8" t="str">
        <f t="shared" si="3"/>
        <v/>
      </c>
      <c r="J14" s="50" t="str">
        <f t="shared" si="4"/>
        <v/>
      </c>
      <c r="K14" s="50" t="str">
        <f t="shared" si="1"/>
        <v/>
      </c>
      <c r="L14" s="9" t="str">
        <f t="shared" si="5"/>
        <v/>
      </c>
      <c r="O14" s="23" t="str">
        <f t="shared" si="6"/>
        <v/>
      </c>
      <c r="P14" s="23" t="str">
        <f t="shared" si="6"/>
        <v/>
      </c>
      <c r="Q14" s="23" t="str">
        <f t="shared" si="6"/>
        <v/>
      </c>
      <c r="R14" s="23" t="str">
        <f t="shared" si="6"/>
        <v/>
      </c>
      <c r="S14" s="23" t="str">
        <f t="shared" si="6"/>
        <v/>
      </c>
      <c r="T14" s="10" t="str">
        <f t="shared" si="7"/>
        <v/>
      </c>
    </row>
    <row r="15" spans="1:23" ht="25" customHeight="1">
      <c r="B15" s="15"/>
      <c r="D15" s="5"/>
      <c r="E15" s="5"/>
      <c r="F15" s="6" t="str">
        <f t="shared" si="0"/>
        <v/>
      </c>
      <c r="G15" s="6" t="str">
        <f t="shared" si="2"/>
        <v/>
      </c>
      <c r="H15" s="50" t="str">
        <f>_xlfn.IFNA(VLOOKUP(C:C,'Active Jobs'!B:K,8,0),"")</f>
        <v/>
      </c>
      <c r="I15" s="8" t="str">
        <f t="shared" si="3"/>
        <v/>
      </c>
      <c r="J15" s="50" t="str">
        <f t="shared" si="4"/>
        <v/>
      </c>
      <c r="K15" s="50" t="str">
        <f t="shared" si="1"/>
        <v/>
      </c>
      <c r="L15" s="9" t="str">
        <f t="shared" si="5"/>
        <v/>
      </c>
      <c r="O15" s="23" t="str">
        <f t="shared" si="6"/>
        <v/>
      </c>
      <c r="P15" s="23" t="str">
        <f t="shared" si="6"/>
        <v/>
      </c>
      <c r="Q15" s="23" t="str">
        <f t="shared" si="6"/>
        <v/>
      </c>
      <c r="R15" s="23" t="str">
        <f t="shared" si="6"/>
        <v/>
      </c>
      <c r="S15" s="23" t="str">
        <f t="shared" si="6"/>
        <v/>
      </c>
      <c r="T15" s="74" t="str">
        <f t="shared" si="7"/>
        <v/>
      </c>
    </row>
    <row r="16" spans="1:23" ht="25" customHeight="1">
      <c r="B16" s="15"/>
      <c r="D16" s="5"/>
      <c r="E16" s="5"/>
      <c r="F16" s="6" t="str">
        <f t="shared" si="0"/>
        <v/>
      </c>
      <c r="G16" s="6" t="str">
        <f t="shared" si="2"/>
        <v/>
      </c>
      <c r="H16" s="50" t="str">
        <f>_xlfn.IFNA(VLOOKUP(C:C,'Active Jobs'!B:K,8,0),"")</f>
        <v/>
      </c>
      <c r="I16" s="8" t="str">
        <f t="shared" si="3"/>
        <v/>
      </c>
      <c r="J16" s="50" t="str">
        <f t="shared" si="4"/>
        <v/>
      </c>
      <c r="K16" s="50" t="str">
        <f t="shared" si="1"/>
        <v/>
      </c>
      <c r="L16" s="9" t="str">
        <f t="shared" si="5"/>
        <v/>
      </c>
      <c r="O16" s="23" t="str">
        <f t="shared" si="6"/>
        <v/>
      </c>
      <c r="P16" s="23" t="str">
        <f t="shared" si="6"/>
        <v/>
      </c>
      <c r="Q16" s="23" t="str">
        <f t="shared" si="6"/>
        <v/>
      </c>
      <c r="R16" s="23" t="str">
        <f t="shared" si="6"/>
        <v/>
      </c>
      <c r="S16" s="23" t="str">
        <f t="shared" si="6"/>
        <v/>
      </c>
      <c r="T16" s="74" t="str">
        <f t="shared" si="7"/>
        <v/>
      </c>
    </row>
    <row r="17" spans="1:20" ht="25" customHeight="1">
      <c r="B17" s="15"/>
      <c r="D17" s="5"/>
      <c r="E17" s="5"/>
      <c r="F17" s="6" t="str">
        <f t="shared" si="0"/>
        <v/>
      </c>
      <c r="G17" s="6" t="str">
        <f t="shared" si="2"/>
        <v/>
      </c>
      <c r="H17" s="50" t="str">
        <f>_xlfn.IFNA(VLOOKUP(C:C,'Active Jobs'!B:K,8,0),"")</f>
        <v/>
      </c>
      <c r="I17" s="8" t="str">
        <f t="shared" si="3"/>
        <v/>
      </c>
      <c r="J17" s="50" t="str">
        <f t="shared" si="4"/>
        <v/>
      </c>
      <c r="K17" s="50" t="str">
        <f t="shared" si="1"/>
        <v/>
      </c>
      <c r="L17" s="9" t="str">
        <f t="shared" si="5"/>
        <v/>
      </c>
      <c r="O17" s="23" t="str">
        <f t="shared" si="6"/>
        <v/>
      </c>
      <c r="P17" s="23" t="str">
        <f t="shared" si="6"/>
        <v/>
      </c>
      <c r="Q17" s="23" t="str">
        <f t="shared" si="6"/>
        <v/>
      </c>
      <c r="R17" s="23" t="str">
        <f t="shared" si="6"/>
        <v/>
      </c>
      <c r="S17" s="23" t="str">
        <f t="shared" si="6"/>
        <v/>
      </c>
      <c r="T17" s="10" t="str">
        <f t="shared" si="7"/>
        <v/>
      </c>
    </row>
    <row r="18" spans="1:20" ht="25" customHeight="1">
      <c r="B18" s="15"/>
      <c r="D18" s="5"/>
      <c r="E18" s="5"/>
      <c r="F18" s="6" t="str">
        <f t="shared" si="0"/>
        <v/>
      </c>
      <c r="G18" s="6" t="str">
        <f t="shared" si="2"/>
        <v/>
      </c>
      <c r="H18" s="50" t="str">
        <f>_xlfn.IFNA(VLOOKUP(C:C,'Active Jobs'!B:K,8,0),"")</f>
        <v/>
      </c>
      <c r="I18" s="8" t="str">
        <f t="shared" si="3"/>
        <v/>
      </c>
      <c r="J18" s="50" t="str">
        <f t="shared" si="4"/>
        <v/>
      </c>
      <c r="K18" s="50" t="str">
        <f t="shared" si="1"/>
        <v/>
      </c>
      <c r="L18" s="9" t="str">
        <f t="shared" si="5"/>
        <v/>
      </c>
      <c r="O18" s="23" t="str">
        <f t="shared" ref="O18:S33" si="8">IF(N18="","",ROUND(SUMIFS($I:$I,$A:$A,O$1,$B:$B,"*"&amp;$N18&amp;"*"),2))</f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7"/>
        <v/>
      </c>
    </row>
    <row r="19" spans="1:20" ht="25" customHeight="1">
      <c r="B19" s="15"/>
      <c r="D19" s="5"/>
      <c r="E19" s="5"/>
      <c r="F19" s="6" t="str">
        <f t="shared" si="0"/>
        <v/>
      </c>
      <c r="G19" s="6" t="str">
        <f t="shared" si="2"/>
        <v/>
      </c>
      <c r="H19" s="50" t="str">
        <f>_xlfn.IFNA(VLOOKUP(C:C,'Active Jobs'!B:K,8,0),"")</f>
        <v/>
      </c>
      <c r="I19" s="8" t="str">
        <f t="shared" si="3"/>
        <v/>
      </c>
      <c r="J19" s="50" t="str">
        <f t="shared" si="4"/>
        <v/>
      </c>
      <c r="K19" s="50" t="str">
        <f t="shared" si="1"/>
        <v/>
      </c>
      <c r="L19" s="9" t="str">
        <f t="shared" si="5"/>
        <v/>
      </c>
      <c r="O19" s="23" t="str">
        <f t="shared" si="8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7"/>
        <v/>
      </c>
    </row>
    <row r="20" spans="1:20" ht="25" customHeight="1">
      <c r="B20" s="15"/>
      <c r="D20" s="5"/>
      <c r="E20" s="5"/>
      <c r="F20" s="6" t="str">
        <f t="shared" si="0"/>
        <v/>
      </c>
      <c r="G20" s="62" t="str">
        <f t="shared" si="2"/>
        <v/>
      </c>
      <c r="H20" s="50" t="str">
        <f>_xlfn.IFNA(VLOOKUP(C:C,'Active Jobs'!B:K,8,0),"")</f>
        <v/>
      </c>
      <c r="I20" s="8" t="str">
        <f t="shared" si="3"/>
        <v/>
      </c>
      <c r="J20" s="50" t="str">
        <f t="shared" si="4"/>
        <v/>
      </c>
      <c r="K20" s="50" t="str">
        <f t="shared" si="1"/>
        <v/>
      </c>
      <c r="L20" s="9" t="str">
        <f t="shared" si="5"/>
        <v/>
      </c>
      <c r="O20" s="23" t="str">
        <f t="shared" si="8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7"/>
        <v/>
      </c>
    </row>
    <row r="21" spans="1:20" ht="25" customHeight="1">
      <c r="B21" s="15"/>
      <c r="D21" s="5"/>
      <c r="E21" s="5"/>
      <c r="F21" s="6" t="str">
        <f t="shared" si="0"/>
        <v/>
      </c>
      <c r="G21" s="6" t="str">
        <f t="shared" si="2"/>
        <v/>
      </c>
      <c r="H21" s="50" t="str">
        <f>_xlfn.IFNA(VLOOKUP(C:C,'Active Jobs'!B:K,8,0),"")</f>
        <v/>
      </c>
      <c r="I21" s="8" t="str">
        <f t="shared" si="3"/>
        <v/>
      </c>
      <c r="J21" s="50" t="str">
        <f t="shared" si="4"/>
        <v/>
      </c>
      <c r="K21" s="50" t="str">
        <f t="shared" si="1"/>
        <v/>
      </c>
      <c r="L21" s="9" t="str">
        <f t="shared" si="5"/>
        <v/>
      </c>
      <c r="O21" s="23" t="str">
        <f t="shared" si="8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7"/>
        <v/>
      </c>
    </row>
    <row r="22" spans="1:20" ht="25" customHeight="1">
      <c r="B22" s="15"/>
      <c r="D22" s="5"/>
      <c r="E22" s="5"/>
      <c r="F22" s="6" t="str">
        <f t="shared" si="0"/>
        <v/>
      </c>
      <c r="G22" s="6" t="str">
        <f t="shared" si="2"/>
        <v/>
      </c>
      <c r="H22" s="50" t="str">
        <f>_xlfn.IFNA(VLOOKUP(C:C,'Active Jobs'!B:K,8,0),"")</f>
        <v/>
      </c>
      <c r="I22" s="8" t="str">
        <f t="shared" si="3"/>
        <v/>
      </c>
      <c r="J22" s="50" t="str">
        <f t="shared" si="4"/>
        <v/>
      </c>
      <c r="K22" s="50" t="str">
        <f t="shared" si="1"/>
        <v/>
      </c>
      <c r="L22" s="9" t="str">
        <f t="shared" si="5"/>
        <v/>
      </c>
      <c r="O22" s="23" t="str">
        <f t="shared" si="8"/>
        <v/>
      </c>
      <c r="P22" s="23" t="str">
        <f t="shared" si="8"/>
        <v/>
      </c>
      <c r="Q22" s="23" t="str">
        <f t="shared" si="8"/>
        <v/>
      </c>
      <c r="R22" s="23" t="str">
        <f t="shared" si="8"/>
        <v/>
      </c>
      <c r="S22" s="23" t="str">
        <f t="shared" si="8"/>
        <v/>
      </c>
      <c r="T22" s="74" t="str">
        <f t="shared" si="7"/>
        <v/>
      </c>
    </row>
    <row r="23" spans="1:20" ht="25" customHeight="1">
      <c r="B23" s="15"/>
      <c r="D23" s="5"/>
      <c r="E23" s="5"/>
      <c r="F23" s="6" t="str">
        <f t="shared" si="0"/>
        <v/>
      </c>
      <c r="G23" s="6" t="str">
        <f t="shared" si="2"/>
        <v/>
      </c>
      <c r="H23" s="50" t="str">
        <f>_xlfn.IFNA(VLOOKUP(C:C,'Active Jobs'!B:K,8,0),"")</f>
        <v/>
      </c>
      <c r="I23" s="8" t="str">
        <f t="shared" si="3"/>
        <v/>
      </c>
      <c r="J23" s="50" t="str">
        <f t="shared" si="4"/>
        <v/>
      </c>
      <c r="K23" s="50" t="str">
        <f t="shared" si="1"/>
        <v/>
      </c>
      <c r="L23" s="9" t="str">
        <f t="shared" si="5"/>
        <v/>
      </c>
      <c r="O23" s="23" t="str">
        <f t="shared" si="8"/>
        <v/>
      </c>
      <c r="P23" s="23" t="str">
        <f t="shared" si="8"/>
        <v/>
      </c>
      <c r="Q23" s="23" t="str">
        <f t="shared" si="8"/>
        <v/>
      </c>
      <c r="R23" s="23" t="str">
        <f t="shared" si="8"/>
        <v/>
      </c>
      <c r="S23" s="23" t="str">
        <f t="shared" si="8"/>
        <v/>
      </c>
      <c r="T23" s="74" t="str">
        <f t="shared" si="7"/>
        <v/>
      </c>
    </row>
    <row r="24" spans="1:20" ht="25" customHeight="1">
      <c r="B24" s="15"/>
      <c r="D24" s="5"/>
      <c r="E24" s="5"/>
      <c r="F24" s="6" t="str">
        <f t="shared" si="0"/>
        <v/>
      </c>
      <c r="G24" s="6" t="str">
        <f t="shared" si="2"/>
        <v/>
      </c>
      <c r="H24" s="50" t="str">
        <f>_xlfn.IFNA(VLOOKUP(C:C,'Active Jobs'!B:K,8,0),"")</f>
        <v/>
      </c>
      <c r="I24" s="8" t="str">
        <f t="shared" si="3"/>
        <v/>
      </c>
      <c r="J24" s="50" t="str">
        <f t="shared" si="4"/>
        <v/>
      </c>
      <c r="K24" s="50" t="str">
        <f t="shared" si="1"/>
        <v/>
      </c>
      <c r="L24" s="9" t="str">
        <f t="shared" si="5"/>
        <v/>
      </c>
      <c r="O24" s="23" t="str">
        <f t="shared" si="8"/>
        <v/>
      </c>
      <c r="P24" s="23" t="str">
        <f t="shared" si="8"/>
        <v/>
      </c>
      <c r="Q24" s="23" t="str">
        <f t="shared" si="8"/>
        <v/>
      </c>
      <c r="R24" s="23" t="str">
        <f t="shared" si="8"/>
        <v/>
      </c>
      <c r="S24" s="23" t="str">
        <f t="shared" si="8"/>
        <v/>
      </c>
      <c r="T24" s="74" t="str">
        <f t="shared" si="7"/>
        <v/>
      </c>
    </row>
    <row r="25" spans="1:20" ht="25" customHeight="1">
      <c r="B25" s="15"/>
      <c r="D25" s="5"/>
      <c r="E25" s="5"/>
      <c r="F25" s="6" t="str">
        <f t="shared" si="0"/>
        <v/>
      </c>
      <c r="G25" s="6" t="str">
        <f t="shared" si="2"/>
        <v/>
      </c>
      <c r="H25" s="50" t="str">
        <f>_xlfn.IFNA(VLOOKUP(C:C,'Active Jobs'!B:K,8,0),"")</f>
        <v/>
      </c>
      <c r="I25" s="8" t="str">
        <f t="shared" si="3"/>
        <v/>
      </c>
      <c r="J25" s="50" t="str">
        <f t="shared" si="4"/>
        <v/>
      </c>
      <c r="K25" s="50" t="str">
        <f t="shared" si="1"/>
        <v/>
      </c>
      <c r="L25" s="9" t="str">
        <f t="shared" si="5"/>
        <v/>
      </c>
      <c r="O25" s="23" t="str">
        <f t="shared" si="8"/>
        <v/>
      </c>
      <c r="P25" s="23" t="str">
        <f t="shared" si="8"/>
        <v/>
      </c>
      <c r="Q25" s="23" t="str">
        <f t="shared" si="8"/>
        <v/>
      </c>
      <c r="R25" s="23" t="str">
        <f t="shared" si="8"/>
        <v/>
      </c>
      <c r="S25" s="23" t="str">
        <f t="shared" si="8"/>
        <v/>
      </c>
      <c r="T25" s="74" t="str">
        <f t="shared" si="7"/>
        <v/>
      </c>
    </row>
    <row r="26" spans="1:20" ht="25" customHeight="1">
      <c r="B26" s="15"/>
      <c r="D26" s="5"/>
      <c r="E26" s="5"/>
      <c r="F26" s="6" t="str">
        <f t="shared" si="0"/>
        <v/>
      </c>
      <c r="G26" s="6" t="str">
        <f t="shared" si="2"/>
        <v/>
      </c>
      <c r="H26" s="50" t="str">
        <f>_xlfn.IFNA(VLOOKUP(C:C,'Active Jobs'!B:K,8,0),"")</f>
        <v/>
      </c>
      <c r="I26" s="8" t="str">
        <f t="shared" si="3"/>
        <v/>
      </c>
      <c r="J26" s="50" t="str">
        <f t="shared" si="4"/>
        <v/>
      </c>
      <c r="K26" s="50" t="str">
        <f t="shared" si="1"/>
        <v/>
      </c>
      <c r="L26" s="9" t="str">
        <f t="shared" si="5"/>
        <v/>
      </c>
      <c r="O26" s="23" t="str">
        <f t="shared" si="8"/>
        <v/>
      </c>
      <c r="P26" s="23" t="str">
        <f t="shared" si="8"/>
        <v/>
      </c>
      <c r="Q26" s="23" t="str">
        <f t="shared" si="8"/>
        <v/>
      </c>
      <c r="R26" s="23" t="str">
        <f t="shared" si="8"/>
        <v/>
      </c>
      <c r="S26" s="23" t="str">
        <f t="shared" si="8"/>
        <v/>
      </c>
      <c r="T26" s="74" t="str">
        <f t="shared" si="7"/>
        <v/>
      </c>
    </row>
    <row r="27" spans="1:20" ht="25" customHeight="1">
      <c r="B27" s="15"/>
      <c r="D27" s="5"/>
      <c r="E27" s="5"/>
      <c r="F27" s="6" t="str">
        <f t="shared" si="0"/>
        <v/>
      </c>
      <c r="G27" s="6" t="str">
        <f t="shared" si="2"/>
        <v/>
      </c>
      <c r="H27" s="50" t="str">
        <f>_xlfn.IFNA(VLOOKUP(C:C,'Active Jobs'!B:K,8,0),"")</f>
        <v/>
      </c>
      <c r="I27" s="8" t="str">
        <f t="shared" si="3"/>
        <v/>
      </c>
      <c r="J27" s="50" t="str">
        <f t="shared" si="4"/>
        <v/>
      </c>
      <c r="K27" s="50" t="str">
        <f t="shared" si="1"/>
        <v/>
      </c>
      <c r="L27" s="9" t="str">
        <f t="shared" si="5"/>
        <v/>
      </c>
      <c r="O27" s="23" t="str">
        <f t="shared" si="8"/>
        <v/>
      </c>
      <c r="P27" s="23" t="str">
        <f t="shared" si="8"/>
        <v/>
      </c>
      <c r="Q27" s="23" t="str">
        <f t="shared" si="8"/>
        <v/>
      </c>
      <c r="R27" s="23" t="str">
        <f t="shared" si="8"/>
        <v/>
      </c>
      <c r="S27" s="23" t="str">
        <f t="shared" si="8"/>
        <v/>
      </c>
      <c r="T27" s="74" t="str">
        <f t="shared" si="7"/>
        <v/>
      </c>
    </row>
    <row r="28" spans="1:20" ht="25" customHeight="1">
      <c r="B28" s="15"/>
      <c r="D28" s="5"/>
      <c r="E28" s="5"/>
      <c r="F28" s="6" t="str">
        <f t="shared" si="0"/>
        <v/>
      </c>
      <c r="G28" s="6" t="str">
        <f t="shared" si="2"/>
        <v/>
      </c>
      <c r="H28" s="50" t="str">
        <f>_xlfn.IFNA(VLOOKUP(C:C,'Active Jobs'!B:K,8,0),"")</f>
        <v/>
      </c>
      <c r="I28" s="8" t="str">
        <f t="shared" si="3"/>
        <v/>
      </c>
      <c r="J28" s="50" t="str">
        <f t="shared" si="4"/>
        <v/>
      </c>
      <c r="K28" s="50" t="str">
        <f t="shared" si="1"/>
        <v/>
      </c>
      <c r="L28" s="9" t="str">
        <f t="shared" si="5"/>
        <v/>
      </c>
      <c r="O28" s="23" t="str">
        <f t="shared" si="8"/>
        <v/>
      </c>
      <c r="P28" s="23" t="str">
        <f t="shared" si="8"/>
        <v/>
      </c>
      <c r="Q28" s="23" t="str">
        <f t="shared" si="8"/>
        <v/>
      </c>
      <c r="R28" s="23" t="str">
        <f t="shared" si="8"/>
        <v/>
      </c>
      <c r="S28" s="23" t="str">
        <f t="shared" si="8"/>
        <v/>
      </c>
      <c r="T28" s="74" t="str">
        <f t="shared" si="7"/>
        <v/>
      </c>
    </row>
    <row r="29" spans="1:20" ht="25" customHeight="1">
      <c r="B29" s="15"/>
      <c r="D29" s="5"/>
      <c r="E29" s="5"/>
      <c r="F29" s="6" t="str">
        <f t="shared" si="0"/>
        <v/>
      </c>
      <c r="G29" s="6" t="str">
        <f t="shared" si="2"/>
        <v/>
      </c>
      <c r="H29" s="50" t="str">
        <f>_xlfn.IFNA(VLOOKUP(C:C,'Active Jobs'!B:K,8,0),"")</f>
        <v/>
      </c>
      <c r="I29" s="8" t="str">
        <f t="shared" si="3"/>
        <v/>
      </c>
      <c r="J29" s="50" t="str">
        <f t="shared" si="4"/>
        <v/>
      </c>
      <c r="K29" s="50" t="str">
        <f t="shared" si="1"/>
        <v/>
      </c>
      <c r="L29" s="9" t="str">
        <f t="shared" si="5"/>
        <v/>
      </c>
      <c r="O29" s="23" t="str">
        <f t="shared" si="8"/>
        <v/>
      </c>
      <c r="P29" s="23" t="str">
        <f t="shared" si="8"/>
        <v/>
      </c>
      <c r="Q29" s="23" t="str">
        <f t="shared" si="8"/>
        <v/>
      </c>
      <c r="R29" s="23" t="str">
        <f t="shared" si="8"/>
        <v/>
      </c>
      <c r="S29" s="23" t="str">
        <f t="shared" si="8"/>
        <v/>
      </c>
      <c r="T29" s="74" t="str">
        <f t="shared" si="7"/>
        <v/>
      </c>
    </row>
    <row r="30" spans="1:20" ht="25" customHeight="1">
      <c r="B30" s="15"/>
      <c r="D30" s="5"/>
      <c r="E30" s="5"/>
      <c r="F30" s="6" t="str">
        <f t="shared" si="0"/>
        <v/>
      </c>
      <c r="G30" s="6" t="str">
        <f>IF(E30="","",IF(F30="Yes",(E30-D30)-TIME(0,30,0),E30-D30))</f>
        <v/>
      </c>
      <c r="H30" s="50" t="str">
        <f>_xlfn.IFNA(VLOOKUP(C:C,'Active Jobs'!B:K,8,0),"")</f>
        <v/>
      </c>
      <c r="I30" s="8" t="str">
        <f>IF(F30="Yes",(E30-D30)*24-0.5,IF(F30="No",(E30-D30)*24,""))</f>
        <v/>
      </c>
      <c r="J30" s="50" t="str">
        <f>IF(G30="","",G30*24*HourlyRate*2*(1+Super))</f>
        <v/>
      </c>
      <c r="K30" s="50" t="str">
        <f t="shared" si="1"/>
        <v/>
      </c>
      <c r="L30" s="9" t="str">
        <f>IF(K30="","",IF(H30=0,1,J30/H30))</f>
        <v/>
      </c>
      <c r="O30" s="23" t="str">
        <f t="shared" si="8"/>
        <v/>
      </c>
      <c r="P30" s="23" t="str">
        <f t="shared" si="8"/>
        <v/>
      </c>
      <c r="Q30" s="23" t="str">
        <f t="shared" si="8"/>
        <v/>
      </c>
      <c r="R30" s="23" t="str">
        <f t="shared" si="8"/>
        <v/>
      </c>
      <c r="S30" s="23" t="str">
        <f t="shared" si="8"/>
        <v/>
      </c>
      <c r="T30" s="74" t="str">
        <f t="shared" si="7"/>
        <v/>
      </c>
    </row>
    <row r="31" spans="1:20" ht="25" customHeight="1">
      <c r="B31" s="15"/>
      <c r="C31" s="49"/>
      <c r="D31" s="5"/>
      <c r="E31" s="5"/>
      <c r="F31" s="6" t="str">
        <f t="shared" si="0"/>
        <v/>
      </c>
      <c r="G31" s="6" t="str">
        <f t="shared" si="2"/>
        <v/>
      </c>
      <c r="H31" s="50" t="str">
        <f>_xlfn.IFNA(VLOOKUP(C:C,'Active Jobs'!B:K,8,0),"")</f>
        <v/>
      </c>
      <c r="I31" s="8" t="str">
        <f t="shared" si="3"/>
        <v/>
      </c>
      <c r="J31" s="50" t="str">
        <f t="shared" si="4"/>
        <v/>
      </c>
      <c r="K31" s="50" t="str">
        <f t="shared" si="1"/>
        <v/>
      </c>
      <c r="L31" s="9" t="str">
        <f t="shared" si="5"/>
        <v/>
      </c>
      <c r="O31" s="23" t="str">
        <f t="shared" si="8"/>
        <v/>
      </c>
      <c r="P31" s="23" t="str">
        <f t="shared" si="8"/>
        <v/>
      </c>
      <c r="Q31" s="23" t="str">
        <f t="shared" si="8"/>
        <v/>
      </c>
      <c r="R31" s="23" t="str">
        <f t="shared" si="8"/>
        <v/>
      </c>
      <c r="S31" s="23" t="str">
        <f t="shared" si="8"/>
        <v/>
      </c>
      <c r="T31" s="74" t="str">
        <f t="shared" si="7"/>
        <v/>
      </c>
    </row>
    <row r="32" spans="1:20" ht="25" customHeight="1">
      <c r="A32" s="39"/>
      <c r="B32" s="29"/>
      <c r="C32" s="30"/>
      <c r="D32" s="1"/>
      <c r="E32" s="1"/>
      <c r="F32" s="31"/>
      <c r="G32" s="32"/>
      <c r="H32" s="53">
        <f>SUBTOTAL(109,Table2261210141624[Quoted])</f>
        <v>0</v>
      </c>
      <c r="I32" s="34">
        <f>SUBTOTAL(109,Table2261210141624[Hours Payable])</f>
        <v>0</v>
      </c>
      <c r="J32" s="53">
        <f>SUBTOTAL(109,Table2261210141624[Wages (Incl. Super)])</f>
        <v>0</v>
      </c>
      <c r="K32" s="53">
        <f>SUBTOTAL(109,Table2261210141624[Profit])</f>
        <v>0</v>
      </c>
      <c r="L32" s="35" t="str">
        <f>IF(L2="","",SUBTOTAL(101,Table2261210141624[Quote/Wages]))</f>
        <v/>
      </c>
      <c r="O32" s="23" t="str">
        <f t="shared" si="8"/>
        <v/>
      </c>
      <c r="P32" s="23" t="str">
        <f t="shared" si="8"/>
        <v/>
      </c>
      <c r="Q32" s="23" t="str">
        <f t="shared" si="8"/>
        <v/>
      </c>
      <c r="R32" s="23" t="str">
        <f t="shared" si="8"/>
        <v/>
      </c>
      <c r="S32" s="23" t="str">
        <f t="shared" si="8"/>
        <v/>
      </c>
      <c r="T32" s="74" t="str">
        <f t="shared" si="7"/>
        <v/>
      </c>
    </row>
    <row r="33" spans="15:20" ht="25" customHeight="1">
      <c r="O33" s="23" t="str">
        <f t="shared" si="8"/>
        <v/>
      </c>
      <c r="P33" s="23" t="str">
        <f t="shared" si="8"/>
        <v/>
      </c>
      <c r="Q33" s="23" t="str">
        <f t="shared" si="8"/>
        <v/>
      </c>
      <c r="R33" s="23" t="str">
        <f t="shared" si="8"/>
        <v/>
      </c>
      <c r="S33" s="23" t="str">
        <f t="shared" si="8"/>
        <v/>
      </c>
      <c r="T33" s="74" t="str">
        <f t="shared" si="7"/>
        <v/>
      </c>
    </row>
    <row r="34" spans="15:20" ht="25" customHeight="1">
      <c r="O34" s="23" t="str">
        <f t="shared" ref="O34:S42" si="9">IF(N34="","",ROUND(SUMIFS($I:$I,$A:$A,O$1,$B:$B,"*"&amp;$N34&amp;"*"),2))</f>
        <v/>
      </c>
      <c r="P34" s="23" t="str">
        <f t="shared" si="9"/>
        <v/>
      </c>
      <c r="Q34" s="23" t="str">
        <f t="shared" si="9"/>
        <v/>
      </c>
      <c r="R34" s="23" t="str">
        <f t="shared" si="9"/>
        <v/>
      </c>
      <c r="S34" s="23" t="str">
        <f t="shared" si="9"/>
        <v/>
      </c>
      <c r="T34" s="74" t="str">
        <f t="shared" si="7"/>
        <v/>
      </c>
    </row>
    <row r="35" spans="15:20" ht="25" customHeight="1">
      <c r="O35" s="23" t="str">
        <f t="shared" si="9"/>
        <v/>
      </c>
      <c r="P35" s="23" t="str">
        <f t="shared" si="9"/>
        <v/>
      </c>
      <c r="Q35" s="23" t="str">
        <f t="shared" si="9"/>
        <v/>
      </c>
      <c r="R35" s="23" t="str">
        <f t="shared" si="9"/>
        <v/>
      </c>
      <c r="S35" s="23" t="str">
        <f t="shared" si="9"/>
        <v/>
      </c>
      <c r="T35" s="74" t="str">
        <f t="shared" si="7"/>
        <v/>
      </c>
    </row>
    <row r="36" spans="15:20" ht="25" customHeight="1">
      <c r="O36" s="23" t="str">
        <f t="shared" si="9"/>
        <v/>
      </c>
      <c r="P36" s="23" t="str">
        <f t="shared" si="9"/>
        <v/>
      </c>
      <c r="Q36" s="23" t="str">
        <f t="shared" si="9"/>
        <v/>
      </c>
      <c r="R36" s="23" t="str">
        <f t="shared" si="9"/>
        <v/>
      </c>
      <c r="S36" s="23" t="str">
        <f t="shared" si="9"/>
        <v/>
      </c>
      <c r="T36" s="74" t="str">
        <f t="shared" si="7"/>
        <v/>
      </c>
    </row>
    <row r="37" spans="15:20" ht="25" customHeight="1">
      <c r="O37" s="23" t="str">
        <f t="shared" si="9"/>
        <v/>
      </c>
      <c r="P37" s="23" t="str">
        <f t="shared" si="9"/>
        <v/>
      </c>
      <c r="Q37" s="23" t="str">
        <f t="shared" si="9"/>
        <v/>
      </c>
      <c r="R37" s="23" t="str">
        <f t="shared" si="9"/>
        <v/>
      </c>
      <c r="S37" s="23" t="str">
        <f t="shared" si="9"/>
        <v/>
      </c>
      <c r="T37" s="74" t="str">
        <f t="shared" si="7"/>
        <v/>
      </c>
    </row>
    <row r="38" spans="15:20" ht="25" customHeight="1">
      <c r="O38" s="23" t="str">
        <f t="shared" si="9"/>
        <v/>
      </c>
      <c r="P38" s="23" t="str">
        <f t="shared" si="9"/>
        <v/>
      </c>
      <c r="Q38" s="23" t="str">
        <f t="shared" si="9"/>
        <v/>
      </c>
      <c r="R38" s="23" t="str">
        <f t="shared" si="9"/>
        <v/>
      </c>
      <c r="S38" s="23" t="str">
        <f t="shared" si="9"/>
        <v/>
      </c>
      <c r="T38" s="74" t="str">
        <f t="shared" si="7"/>
        <v/>
      </c>
    </row>
    <row r="39" spans="15:20" ht="25" customHeight="1">
      <c r="O39" s="23" t="str">
        <f t="shared" si="9"/>
        <v/>
      </c>
      <c r="P39" s="23" t="str">
        <f t="shared" si="9"/>
        <v/>
      </c>
      <c r="Q39" s="23" t="str">
        <f t="shared" si="9"/>
        <v/>
      </c>
      <c r="R39" s="23" t="str">
        <f t="shared" si="9"/>
        <v/>
      </c>
      <c r="S39" s="23" t="str">
        <f t="shared" si="9"/>
        <v/>
      </c>
      <c r="T39" s="74" t="str">
        <f t="shared" si="7"/>
        <v/>
      </c>
    </row>
    <row r="40" spans="15:20" ht="25" customHeight="1">
      <c r="O40" s="23" t="str">
        <f t="shared" si="9"/>
        <v/>
      </c>
      <c r="P40" s="23" t="str">
        <f t="shared" si="9"/>
        <v/>
      </c>
      <c r="Q40" s="23" t="str">
        <f t="shared" si="9"/>
        <v/>
      </c>
      <c r="R40" s="23" t="str">
        <f t="shared" si="9"/>
        <v/>
      </c>
      <c r="S40" s="23" t="str">
        <f t="shared" si="9"/>
        <v/>
      </c>
      <c r="T40" s="74" t="str">
        <f t="shared" si="7"/>
        <v/>
      </c>
    </row>
    <row r="41" spans="15:20" ht="25" customHeight="1">
      <c r="O41" s="23" t="str">
        <f t="shared" si="9"/>
        <v/>
      </c>
      <c r="P41" s="23" t="str">
        <f t="shared" si="9"/>
        <v/>
      </c>
      <c r="Q41" s="23" t="str">
        <f t="shared" si="9"/>
        <v/>
      </c>
      <c r="R41" s="23" t="str">
        <f t="shared" si="9"/>
        <v/>
      </c>
      <c r="S41" s="23" t="str">
        <f t="shared" si="9"/>
        <v/>
      </c>
      <c r="T41" s="74" t="str">
        <f t="shared" si="7"/>
        <v/>
      </c>
    </row>
    <row r="42" spans="15:20" ht="25" customHeight="1">
      <c r="O42" s="23" t="str">
        <f t="shared" si="9"/>
        <v/>
      </c>
      <c r="P42" s="23" t="str">
        <f t="shared" si="9"/>
        <v/>
      </c>
      <c r="Q42" s="23" t="str">
        <f t="shared" si="9"/>
        <v/>
      </c>
      <c r="R42" s="23" t="str">
        <f t="shared" si="9"/>
        <v/>
      </c>
      <c r="S42" s="23" t="str">
        <f t="shared" si="9"/>
        <v/>
      </c>
      <c r="T42" s="74" t="str">
        <f t="shared" si="7"/>
        <v/>
      </c>
    </row>
  </sheetData>
  <conditionalFormatting sqref="B1:B31 B33:B253">
    <cfRule type="expression" dxfId="36" priority="1">
      <formula>AND(ROW()&gt;1, E1&lt;&gt;"", COUNTIFS(A:A, $A1, B:B, $B1, F:F, "Yes")=0)</formula>
    </cfRule>
  </conditionalFormatting>
  <conditionalFormatting sqref="F1:F31 F33:F253">
    <cfRule type="expression" dxfId="35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1" xr:uid="{C415F1D9-42A0-440E-85D7-CED095DFAF7D}">
      <formula1>"No, Yes"</formula1>
    </dataValidation>
    <dataValidation type="list" allowBlank="1" showErrorMessage="1" promptTitle="Select" sqref="B2:B31" xr:uid="{B46BA33B-031A-4AAE-B6C4-E839A5F50390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4F77BC7-309E-4838-B6FB-914C09E97118}">
          <x14:formula1>
            <xm:f>'Active Jobs'!$B$2:$B$154</xm:f>
          </x14:formula1>
          <xm:sqref>C2:C31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4D566-C152-614B-9B30-405D782572B3}">
  <sheetPr codeName="Sheet14"/>
  <dimension ref="A1:W41"/>
  <sheetViews>
    <sheetView zoomScale="125" zoomScaleNormal="125" workbookViewId="0">
      <selection activeCell="B19" sqref="B19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S1">IF(B2="","",TRANSPOSE(_xlfn._xlws.FILTER(_xlfn.UNIQUE(A2:A202), _xlfn.UNIQUE(A2:A202)&lt;&gt;"")))</f>
        <v>45691</v>
      </c>
      <c r="P1" s="63">
        <v>45692</v>
      </c>
      <c r="Q1" s="63">
        <v>45693</v>
      </c>
      <c r="R1" s="63">
        <v>45694</v>
      </c>
      <c r="S1" s="63">
        <v>45695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45691</v>
      </c>
      <c r="B2" s="15" t="s">
        <v>339</v>
      </c>
      <c r="C2" s="16" t="s">
        <v>118</v>
      </c>
      <c r="D2" s="5">
        <v>0.36736111111111114</v>
      </c>
      <c r="E2" s="5">
        <v>0.45</v>
      </c>
      <c r="F2" s="6" t="str">
        <f t="shared" ref="F2:F30" si="0">IF(E2="","","No")</f>
        <v>No</v>
      </c>
      <c r="G2" s="6">
        <f>IF(E2="","",IF(F2="Yes",(E2-D2)-TIME(0,30,0),E2-D2))</f>
        <v>8.2638888888888873E-2</v>
      </c>
      <c r="H2" s="50">
        <f>_xlfn.IFNA(VLOOKUP(C:C,'Active Jobs'!B:K,8,0),"")</f>
        <v>200</v>
      </c>
      <c r="I2" s="8">
        <f>IF(F2="Yes",(E2-D2)*24-0.5,IF(F2="No",(E2-D2)*24,""))</f>
        <v>1.9833333333333329</v>
      </c>
      <c r="J2" s="50">
        <f>IF(G2="","",G2*24*HourlyRate*2*(1+Super))</f>
        <v>133.08305499999997</v>
      </c>
      <c r="K2" s="50">
        <f t="shared" ref="K2:K30" si="1">IF(H2="","",IF(J2=0,0,H2-J2))</f>
        <v>66.916945000000027</v>
      </c>
      <c r="L2" s="9">
        <f>IF(K2="","",IF(H2=0,1,J2/H2))</f>
        <v>0.66541527499999986</v>
      </c>
      <c r="M2" s="16">
        <v>2</v>
      </c>
      <c r="N2" s="41" t="str" cm="1">
        <f t="array" ref="N2:N5">IF(B2="","",_xlfn.UNIQUE(TRANSPOSE(_xlfn.TEXTSPLIT(_xlfn.TEXTJOIN(" &amp; ", TRUE, TRIM(B2:B202)), " &amp; "))))</f>
        <v>Orla Shelly</v>
      </c>
      <c r="O2" s="23">
        <f t="shared" ref="O2:S11" si="2">IF(N2="","",ROUND(SUMIFS($I:$I,$A:$A,O$1,$B:$B,"*"&amp;$N2&amp;"*"),2))</f>
        <v>6.45</v>
      </c>
      <c r="P2" s="23">
        <f t="shared" si="2"/>
        <v>8.17</v>
      </c>
      <c r="Q2" s="23">
        <f t="shared" si="2"/>
        <v>7.42</v>
      </c>
      <c r="R2" s="23">
        <f t="shared" si="2"/>
        <v>7.5</v>
      </c>
      <c r="S2" s="23">
        <f t="shared" si="2"/>
        <v>8</v>
      </c>
      <c r="T2" s="10">
        <f t="shared" ref="T2:T8" si="3">IF(N2="","",SUM(O2:S2))</f>
        <v>37.54</v>
      </c>
      <c r="U2" s="24"/>
      <c r="V2" s="24">
        <f>IF(N2="","",T2*HourlyRate)</f>
        <v>1129.5786000000001</v>
      </c>
      <c r="W2" s="25">
        <f>IF(N2="","",V2*Super)</f>
        <v>129.90153900000001</v>
      </c>
    </row>
    <row r="3" spans="1:23" ht="25" customHeight="1">
      <c r="A3" s="37">
        <v>45691</v>
      </c>
      <c r="B3" s="15" t="s">
        <v>339</v>
      </c>
      <c r="C3" s="16" t="s">
        <v>108</v>
      </c>
      <c r="D3" s="5">
        <v>0.45</v>
      </c>
      <c r="E3" s="5">
        <v>0.57499999999999996</v>
      </c>
      <c r="F3" s="6" t="s">
        <v>17</v>
      </c>
      <c r="G3" s="6">
        <f t="shared" ref="G3:G30" si="4">IF(E3="","",IF(F3="Yes",(E3-D3)-TIME(0,30,0),E3-D3))</f>
        <v>0.10416666666666662</v>
      </c>
      <c r="H3" s="50">
        <v>200</v>
      </c>
      <c r="I3" s="8">
        <f t="shared" ref="I3:I30" si="5">IF(F3="Yes",(E3-D3)*24-0.5,IF(F3="No",(E3-D3)*24,""))</f>
        <v>2.4999999999999987</v>
      </c>
      <c r="J3" s="50">
        <f t="shared" ref="J3:J30" si="6">IF(G3="","",G3*24*HourlyRate*2*(1+Super))</f>
        <v>167.75174999999993</v>
      </c>
      <c r="K3" s="50">
        <f t="shared" si="1"/>
        <v>32.24825000000007</v>
      </c>
      <c r="L3" s="9">
        <f t="shared" ref="L3:L30" si="7">IF(K3="","",IF(H3=0,1,J3/H3))</f>
        <v>0.83875874999999966</v>
      </c>
      <c r="M3" s="16">
        <v>2</v>
      </c>
      <c r="N3" s="42" t="str">
        <v>Julie Roccati</v>
      </c>
      <c r="O3" s="23">
        <f t="shared" si="2"/>
        <v>6.45</v>
      </c>
      <c r="P3" s="23">
        <f t="shared" si="2"/>
        <v>8.17</v>
      </c>
      <c r="Q3" s="23">
        <f t="shared" si="2"/>
        <v>0</v>
      </c>
      <c r="R3" s="23">
        <f t="shared" si="2"/>
        <v>7.5</v>
      </c>
      <c r="S3" s="23">
        <f t="shared" si="2"/>
        <v>7.17</v>
      </c>
      <c r="T3" s="10">
        <f t="shared" si="3"/>
        <v>29.29</v>
      </c>
      <c r="U3" s="21"/>
      <c r="V3" s="24">
        <f>IF(N3="","",T3*HourlyRate)</f>
        <v>881.33609999999999</v>
      </c>
      <c r="W3" s="25">
        <f>IF(N3="","",V3*Super)</f>
        <v>101.3536515</v>
      </c>
    </row>
    <row r="4" spans="1:23" ht="25" customHeight="1">
      <c r="A4" s="37">
        <v>45691</v>
      </c>
      <c r="B4" s="15" t="s">
        <v>339</v>
      </c>
      <c r="C4" s="16" t="s">
        <v>49</v>
      </c>
      <c r="D4" s="5">
        <v>0.57499999999999996</v>
      </c>
      <c r="E4" s="5">
        <v>0.65694444444444444</v>
      </c>
      <c r="F4" s="6" t="s">
        <v>53</v>
      </c>
      <c r="G4" s="6">
        <f t="shared" si="4"/>
        <v>8.1944444444444486E-2</v>
      </c>
      <c r="H4" s="50">
        <v>240</v>
      </c>
      <c r="I4" s="8">
        <f t="shared" si="5"/>
        <v>1.9666666666666677</v>
      </c>
      <c r="J4" s="50">
        <f t="shared" si="6"/>
        <v>131.96471000000005</v>
      </c>
      <c r="K4" s="50">
        <f t="shared" si="1"/>
        <v>108.03528999999995</v>
      </c>
      <c r="L4" s="9">
        <f t="shared" si="7"/>
        <v>0.54985295833333359</v>
      </c>
      <c r="M4" s="16">
        <v>2</v>
      </c>
      <c r="N4" s="42" t="str">
        <v>Aoife O'Gorman</v>
      </c>
      <c r="O4" s="23">
        <f t="shared" si="2"/>
        <v>6.17</v>
      </c>
      <c r="P4" s="23">
        <f t="shared" si="2"/>
        <v>6.48</v>
      </c>
      <c r="Q4" s="23">
        <f t="shared" si="2"/>
        <v>7</v>
      </c>
      <c r="R4" s="23">
        <f t="shared" si="2"/>
        <v>8.83</v>
      </c>
      <c r="S4" s="23">
        <f t="shared" si="2"/>
        <v>8.67</v>
      </c>
      <c r="T4" s="10">
        <f t="shared" si="3"/>
        <v>37.15</v>
      </c>
      <c r="U4" s="21"/>
      <c r="V4" s="24">
        <f>IF(N4="","",T4*HourlyRate)</f>
        <v>1117.8434999999999</v>
      </c>
      <c r="W4" s="25">
        <f>IF(N4="","",V4*Super)</f>
        <v>128.55200249999999</v>
      </c>
    </row>
    <row r="5" spans="1:23" ht="25" customHeight="1">
      <c r="A5" s="37">
        <v>45691</v>
      </c>
      <c r="B5" s="15" t="s">
        <v>336</v>
      </c>
      <c r="C5" s="16" t="s">
        <v>93</v>
      </c>
      <c r="D5" s="5">
        <v>0.36805555555555558</v>
      </c>
      <c r="E5" s="5">
        <v>0.45833333333333331</v>
      </c>
      <c r="F5" s="6" t="str">
        <f t="shared" si="0"/>
        <v>No</v>
      </c>
      <c r="G5" s="6">
        <f t="shared" si="4"/>
        <v>9.0277777777777735E-2</v>
      </c>
      <c r="H5" s="50">
        <f>_xlfn.IFNA(VLOOKUP(C:C,'Active Jobs'!B:K,8,0),"")</f>
        <v>230</v>
      </c>
      <c r="I5" s="8">
        <f t="shared" si="5"/>
        <v>2.1666666666666656</v>
      </c>
      <c r="J5" s="50">
        <f t="shared" si="6"/>
        <v>145.38484999999991</v>
      </c>
      <c r="K5" s="50">
        <f t="shared" si="1"/>
        <v>84.615150000000085</v>
      </c>
      <c r="L5" s="9">
        <f t="shared" si="7"/>
        <v>0.63210804347826055</v>
      </c>
      <c r="M5" s="16">
        <v>1</v>
      </c>
      <c r="N5" s="42" t="str">
        <v>Aoife Carroll</v>
      </c>
      <c r="O5" s="23">
        <f t="shared" si="2"/>
        <v>6.17</v>
      </c>
      <c r="P5" s="23">
        <f t="shared" si="2"/>
        <v>6.48</v>
      </c>
      <c r="Q5" s="23">
        <f t="shared" si="2"/>
        <v>7</v>
      </c>
      <c r="R5" s="23">
        <f t="shared" si="2"/>
        <v>8.83</v>
      </c>
      <c r="S5" s="23">
        <f t="shared" si="2"/>
        <v>8.67</v>
      </c>
      <c r="T5" s="10">
        <f t="shared" si="3"/>
        <v>37.15</v>
      </c>
      <c r="U5" s="21"/>
      <c r="V5" s="24">
        <f>IF(N5="","",T5*HourlyRate)</f>
        <v>1117.8434999999999</v>
      </c>
      <c r="W5" s="25">
        <f>IF(N5="","",V5*Super)</f>
        <v>128.55200249999999</v>
      </c>
    </row>
    <row r="6" spans="1:23" ht="25" customHeight="1">
      <c r="A6" s="37">
        <v>45691</v>
      </c>
      <c r="B6" s="15" t="s">
        <v>336</v>
      </c>
      <c r="C6" s="16" t="s">
        <v>159</v>
      </c>
      <c r="D6" s="5">
        <v>0.45833333333333331</v>
      </c>
      <c r="E6" s="5">
        <v>0.55208333333333337</v>
      </c>
      <c r="F6" s="6" t="s">
        <v>17</v>
      </c>
      <c r="G6" s="6">
        <f t="shared" si="4"/>
        <v>7.2916666666666727E-2</v>
      </c>
      <c r="H6" s="50">
        <f>_xlfn.IFNA(VLOOKUP(C:C,'Active Jobs'!B:K,8,0),"")</f>
        <v>200</v>
      </c>
      <c r="I6" s="8">
        <f t="shared" si="5"/>
        <v>1.7500000000000013</v>
      </c>
      <c r="J6" s="50">
        <f t="shared" si="6"/>
        <v>117.42622500000009</v>
      </c>
      <c r="K6" s="50">
        <f t="shared" si="1"/>
        <v>82.573774999999912</v>
      </c>
      <c r="L6" s="9">
        <f t="shared" si="7"/>
        <v>0.58713112500000042</v>
      </c>
      <c r="M6" s="16">
        <v>1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45691</v>
      </c>
      <c r="B7" s="15" t="s">
        <v>336</v>
      </c>
      <c r="C7" s="16" t="s">
        <v>50</v>
      </c>
      <c r="D7" s="5">
        <v>0.55208333333333337</v>
      </c>
      <c r="E7" s="5">
        <v>0.64583333333333337</v>
      </c>
      <c r="F7" s="6" t="str">
        <f t="shared" si="0"/>
        <v>No</v>
      </c>
      <c r="G7" s="6">
        <f t="shared" si="4"/>
        <v>9.375E-2</v>
      </c>
      <c r="H7" s="50">
        <v>250</v>
      </c>
      <c r="I7" s="8">
        <f t="shared" si="5"/>
        <v>2.25</v>
      </c>
      <c r="J7" s="50">
        <f t="shared" si="6"/>
        <v>150.976575</v>
      </c>
      <c r="K7" s="50">
        <f t="shared" si="1"/>
        <v>99.023425000000003</v>
      </c>
      <c r="L7" s="9">
        <f t="shared" si="7"/>
        <v>0.60390630000000001</v>
      </c>
      <c r="M7" s="16">
        <v>1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4246.6017000000002</v>
      </c>
      <c r="W7" s="26">
        <f>SUM(W2:W5)</f>
        <v>488.35919549999994</v>
      </c>
    </row>
    <row r="8" spans="1:23" ht="25" customHeight="1">
      <c r="A8" s="38">
        <v>45692</v>
      </c>
      <c r="B8" s="15" t="s">
        <v>336</v>
      </c>
      <c r="C8" s="16" t="s">
        <v>182</v>
      </c>
      <c r="D8" s="5">
        <v>0.36458333333333331</v>
      </c>
      <c r="E8" s="5">
        <v>0.45833333333333331</v>
      </c>
      <c r="F8" s="6" t="str">
        <f t="shared" si="0"/>
        <v>No</v>
      </c>
      <c r="G8" s="6">
        <f t="shared" si="4"/>
        <v>9.375E-2</v>
      </c>
      <c r="H8" s="50" t="str">
        <f>_xlfn.IFNA(VLOOKUP(C:C,'Active Jobs'!B:K,8,0),"")</f>
        <v/>
      </c>
      <c r="I8" s="8">
        <f t="shared" si="5"/>
        <v>2.25</v>
      </c>
      <c r="J8" s="50">
        <f t="shared" si="6"/>
        <v>150.976575</v>
      </c>
      <c r="K8" s="50" t="str">
        <f t="shared" si="1"/>
        <v/>
      </c>
      <c r="L8" s="9" t="str">
        <f t="shared" si="7"/>
        <v/>
      </c>
      <c r="M8" s="16">
        <v>1</v>
      </c>
      <c r="N8" s="47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4"/>
      <c r="W8" s="25"/>
    </row>
    <row r="9" spans="1:23" ht="25" customHeight="1">
      <c r="A9" s="38">
        <v>45692</v>
      </c>
      <c r="B9" s="15" t="s">
        <v>336</v>
      </c>
      <c r="C9" s="16" t="s">
        <v>95</v>
      </c>
      <c r="D9" s="5">
        <v>0.45833333333333331</v>
      </c>
      <c r="E9" s="5">
        <v>0.5625</v>
      </c>
      <c r="F9" s="6" t="s">
        <v>17</v>
      </c>
      <c r="G9" s="6">
        <f t="shared" si="4"/>
        <v>8.3333333333333356E-2</v>
      </c>
      <c r="H9" s="50">
        <v>210</v>
      </c>
      <c r="I9" s="8">
        <f t="shared" si="5"/>
        <v>2.0000000000000004</v>
      </c>
      <c r="J9" s="50">
        <f t="shared" si="6"/>
        <v>134.20140000000004</v>
      </c>
      <c r="K9" s="50">
        <f t="shared" si="1"/>
        <v>75.798599999999965</v>
      </c>
      <c r="L9" s="9">
        <f t="shared" si="7"/>
        <v>0.63905428571428591</v>
      </c>
      <c r="M9" s="16">
        <v>1</v>
      </c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ref="T9:T41" si="8">IF(N9="","",SUM(O9:S9))</f>
        <v/>
      </c>
      <c r="U9" s="21"/>
      <c r="V9" s="21"/>
      <c r="W9" s="10"/>
    </row>
    <row r="10" spans="1:23" ht="25" customHeight="1">
      <c r="A10" s="38">
        <v>45692</v>
      </c>
      <c r="B10" s="15" t="s">
        <v>336</v>
      </c>
      <c r="C10" s="16" t="s">
        <v>45</v>
      </c>
      <c r="D10" s="5">
        <v>0.5625</v>
      </c>
      <c r="E10" s="5">
        <v>0.65555555555555556</v>
      </c>
      <c r="F10" s="6" t="str">
        <f t="shared" si="0"/>
        <v>No</v>
      </c>
      <c r="G10" s="6">
        <f t="shared" si="4"/>
        <v>9.3055555555555558E-2</v>
      </c>
      <c r="H10" s="50">
        <v>275</v>
      </c>
      <c r="I10" s="8">
        <f t="shared" si="5"/>
        <v>2.2333333333333334</v>
      </c>
      <c r="J10" s="50">
        <f t="shared" si="6"/>
        <v>149.85823000000002</v>
      </c>
      <c r="K10" s="50">
        <f t="shared" si="1"/>
        <v>125.14176999999998</v>
      </c>
      <c r="L10" s="9">
        <f t="shared" si="7"/>
        <v>0.54493901818181822</v>
      </c>
      <c r="M10" s="16">
        <v>1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8"/>
        <v/>
      </c>
      <c r="U10" s="21"/>
      <c r="V10" s="54"/>
      <c r="W10" s="21"/>
    </row>
    <row r="11" spans="1:23" ht="25" customHeight="1">
      <c r="A11" s="38">
        <v>45692</v>
      </c>
      <c r="B11" s="15" t="s">
        <v>339</v>
      </c>
      <c r="C11" s="16" t="s">
        <v>21</v>
      </c>
      <c r="D11" s="5">
        <v>0.36805555555555558</v>
      </c>
      <c r="E11" s="5">
        <v>0.46319444444444446</v>
      </c>
      <c r="F11" s="6" t="str">
        <f t="shared" si="0"/>
        <v>No</v>
      </c>
      <c r="G11" s="6">
        <f t="shared" si="4"/>
        <v>9.5138888888888884E-2</v>
      </c>
      <c r="H11" s="50">
        <f>_xlfn.IFNA(VLOOKUP(C:C,'Active Jobs'!B:K,8,0),"")</f>
        <v>220</v>
      </c>
      <c r="I11" s="8">
        <f t="shared" si="5"/>
        <v>2.2833333333333332</v>
      </c>
      <c r="J11" s="50">
        <f t="shared" si="6"/>
        <v>153.21326500000001</v>
      </c>
      <c r="K11" s="50">
        <f t="shared" si="1"/>
        <v>66.786734999999993</v>
      </c>
      <c r="L11" s="9">
        <f t="shared" si="7"/>
        <v>0.69642393181818185</v>
      </c>
      <c r="M11" s="16">
        <v>2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8"/>
        <v/>
      </c>
    </row>
    <row r="12" spans="1:23" ht="25" customHeight="1">
      <c r="A12" s="38">
        <v>45692</v>
      </c>
      <c r="B12" s="15" t="s">
        <v>339</v>
      </c>
      <c r="C12" s="16" t="s">
        <v>175</v>
      </c>
      <c r="D12" s="5">
        <v>0.46319444444444446</v>
      </c>
      <c r="E12" s="5">
        <v>0.58750000000000002</v>
      </c>
      <c r="F12" s="6" t="s">
        <v>17</v>
      </c>
      <c r="G12" s="6">
        <f t="shared" si="4"/>
        <v>0.10347222222222223</v>
      </c>
      <c r="H12" s="50">
        <v>275</v>
      </c>
      <c r="I12" s="8">
        <f t="shared" si="5"/>
        <v>2.4833333333333334</v>
      </c>
      <c r="J12" s="50">
        <f t="shared" si="6"/>
        <v>166.63340500000001</v>
      </c>
      <c r="K12" s="50">
        <f t="shared" si="1"/>
        <v>108.36659499999999</v>
      </c>
      <c r="L12" s="9">
        <f t="shared" si="7"/>
        <v>0.60593965454545462</v>
      </c>
      <c r="M12" s="16">
        <v>2</v>
      </c>
      <c r="O12" s="23" t="str">
        <f t="shared" ref="O12:S21" si="9">IF(N12="","",ROUND(SUMIFS($I:$I,$A:$A,O$1,$B:$B,"*"&amp;$N12&amp;"*"),2))</f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8"/>
        <v/>
      </c>
    </row>
    <row r="13" spans="1:23" ht="25" customHeight="1">
      <c r="A13" s="38">
        <v>45692</v>
      </c>
      <c r="B13" s="15" t="s">
        <v>339</v>
      </c>
      <c r="C13" s="16" t="s">
        <v>22</v>
      </c>
      <c r="D13" s="5">
        <v>0.58750000000000002</v>
      </c>
      <c r="E13" s="5">
        <v>0.72916666666666663</v>
      </c>
      <c r="F13" s="6" t="str">
        <f t="shared" si="0"/>
        <v>No</v>
      </c>
      <c r="G13" s="6">
        <f t="shared" si="4"/>
        <v>0.14166666666666661</v>
      </c>
      <c r="H13" s="50">
        <v>380</v>
      </c>
      <c r="I13" s="8">
        <f t="shared" si="5"/>
        <v>3.3999999999999986</v>
      </c>
      <c r="J13" s="50">
        <f t="shared" si="6"/>
        <v>228.14237999999989</v>
      </c>
      <c r="K13" s="50">
        <f t="shared" si="1"/>
        <v>151.85762000000011</v>
      </c>
      <c r="L13" s="9">
        <f t="shared" si="7"/>
        <v>0.60037468421052598</v>
      </c>
      <c r="M13" s="16">
        <v>2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8"/>
        <v/>
      </c>
    </row>
    <row r="14" spans="1:23" ht="25" customHeight="1">
      <c r="A14" s="38">
        <v>45693</v>
      </c>
      <c r="B14" s="15" t="s">
        <v>84</v>
      </c>
      <c r="C14" s="16" t="s">
        <v>109</v>
      </c>
      <c r="D14" s="5">
        <v>0.36458333333333331</v>
      </c>
      <c r="E14" s="5">
        <v>0.45833333333333331</v>
      </c>
      <c r="F14" s="6" t="str">
        <f t="shared" si="0"/>
        <v>No</v>
      </c>
      <c r="G14" s="6">
        <f t="shared" si="4"/>
        <v>9.375E-2</v>
      </c>
      <c r="H14" s="50">
        <v>200</v>
      </c>
      <c r="I14" s="8">
        <f t="shared" si="5"/>
        <v>2.25</v>
      </c>
      <c r="J14" s="50">
        <f t="shared" si="6"/>
        <v>150.976575</v>
      </c>
      <c r="K14" s="50">
        <f t="shared" si="1"/>
        <v>49.023425000000003</v>
      </c>
      <c r="L14" s="9">
        <f t="shared" si="7"/>
        <v>0.75488287499999995</v>
      </c>
      <c r="M14" s="16">
        <v>2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74" t="str">
        <f t="shared" si="8"/>
        <v/>
      </c>
    </row>
    <row r="15" spans="1:23" ht="25" customHeight="1">
      <c r="A15" s="38">
        <v>45693</v>
      </c>
      <c r="B15" s="15" t="s">
        <v>84</v>
      </c>
      <c r="C15" s="16" t="s">
        <v>56</v>
      </c>
      <c r="D15" s="5">
        <v>0.45833333333333331</v>
      </c>
      <c r="E15" s="5">
        <v>0.60416666666666663</v>
      </c>
      <c r="F15" s="6" t="s">
        <v>17</v>
      </c>
      <c r="G15" s="6">
        <f t="shared" si="4"/>
        <v>0.12499999999999999</v>
      </c>
      <c r="H15" s="50">
        <v>220</v>
      </c>
      <c r="I15" s="8">
        <f t="shared" si="5"/>
        <v>2.9999999999999996</v>
      </c>
      <c r="J15" s="50">
        <f t="shared" si="6"/>
        <v>201.30209999999997</v>
      </c>
      <c r="K15" s="50">
        <f t="shared" si="1"/>
        <v>18.697900000000033</v>
      </c>
      <c r="L15" s="9">
        <f t="shared" si="7"/>
        <v>0.91500954545454527</v>
      </c>
      <c r="M15" s="16">
        <v>2</v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74" t="str">
        <f t="shared" si="8"/>
        <v/>
      </c>
    </row>
    <row r="16" spans="1:23" ht="25" customHeight="1">
      <c r="A16" s="38">
        <v>45693</v>
      </c>
      <c r="B16" s="15" t="s">
        <v>84</v>
      </c>
      <c r="C16" s="16" t="s">
        <v>25</v>
      </c>
      <c r="D16" s="5">
        <v>0.60416666666666663</v>
      </c>
      <c r="E16" s="5">
        <v>0.69444444444444442</v>
      </c>
      <c r="F16" s="6" t="str">
        <f t="shared" si="0"/>
        <v>No</v>
      </c>
      <c r="G16" s="6">
        <f t="shared" si="4"/>
        <v>9.027777777777779E-2</v>
      </c>
      <c r="H16" s="50">
        <f>_xlfn.IFNA(VLOOKUP(C:C,'Active Jobs'!B:K,8,0),"")</f>
        <v>220</v>
      </c>
      <c r="I16" s="8">
        <f t="shared" si="5"/>
        <v>2.166666666666667</v>
      </c>
      <c r="J16" s="50">
        <f t="shared" si="6"/>
        <v>145.38485000000003</v>
      </c>
      <c r="K16" s="50">
        <f t="shared" si="1"/>
        <v>74.615149999999971</v>
      </c>
      <c r="L16" s="9">
        <f t="shared" si="7"/>
        <v>0.6608402272727274</v>
      </c>
      <c r="M16" s="16">
        <v>2</v>
      </c>
      <c r="O16" s="23" t="str">
        <f t="shared" si="9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10" t="str">
        <f t="shared" si="8"/>
        <v/>
      </c>
    </row>
    <row r="17" spans="1:20" ht="25" customHeight="1">
      <c r="A17" s="38">
        <v>45693</v>
      </c>
      <c r="B17" s="15" t="s">
        <v>336</v>
      </c>
      <c r="C17" s="16" t="s">
        <v>183</v>
      </c>
      <c r="D17" s="5">
        <v>0.36458333333333331</v>
      </c>
      <c r="E17" s="5">
        <v>0.45833333333333331</v>
      </c>
      <c r="F17" s="6" t="str">
        <f t="shared" si="0"/>
        <v>No</v>
      </c>
      <c r="G17" s="6">
        <f t="shared" si="4"/>
        <v>9.375E-2</v>
      </c>
      <c r="H17" s="50">
        <v>220</v>
      </c>
      <c r="I17" s="8">
        <f t="shared" si="5"/>
        <v>2.25</v>
      </c>
      <c r="J17" s="50">
        <f t="shared" si="6"/>
        <v>150.976575</v>
      </c>
      <c r="K17" s="50">
        <f t="shared" si="1"/>
        <v>69.023425000000003</v>
      </c>
      <c r="L17" s="9">
        <f t="shared" si="7"/>
        <v>0.68625715909090912</v>
      </c>
      <c r="M17" s="16">
        <v>1</v>
      </c>
      <c r="O17" s="23" t="str">
        <f t="shared" si="9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74" t="str">
        <f t="shared" si="8"/>
        <v/>
      </c>
    </row>
    <row r="18" spans="1:20" ht="25" customHeight="1">
      <c r="A18" s="38">
        <v>45693</v>
      </c>
      <c r="B18" s="15" t="s">
        <v>336</v>
      </c>
      <c r="C18" s="16" t="s">
        <v>98</v>
      </c>
      <c r="D18" s="5">
        <v>0.45833333333333331</v>
      </c>
      <c r="E18" s="5">
        <v>0.56944444444444442</v>
      </c>
      <c r="F18" s="6" t="s">
        <v>17</v>
      </c>
      <c r="G18" s="6">
        <f t="shared" si="4"/>
        <v>9.0277777777777776E-2</v>
      </c>
      <c r="H18" s="50">
        <f>_xlfn.IFNA(VLOOKUP(C:C,'Active Jobs'!B:K,8,0),"")</f>
        <v>250</v>
      </c>
      <c r="I18" s="8">
        <f t="shared" si="5"/>
        <v>2.1666666666666665</v>
      </c>
      <c r="J18" s="50">
        <f t="shared" si="6"/>
        <v>145.38484999999997</v>
      </c>
      <c r="K18" s="50">
        <f t="shared" si="1"/>
        <v>104.61515000000003</v>
      </c>
      <c r="L18" s="9">
        <f t="shared" si="7"/>
        <v>0.58153939999999993</v>
      </c>
      <c r="M18" s="16">
        <v>1</v>
      </c>
      <c r="O18" s="23" t="str">
        <f t="shared" si="9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74" t="str">
        <f t="shared" si="8"/>
        <v/>
      </c>
    </row>
    <row r="19" spans="1:20" ht="25" customHeight="1">
      <c r="A19" s="38">
        <v>45693</v>
      </c>
      <c r="B19" s="15" t="s">
        <v>336</v>
      </c>
      <c r="C19" s="16" t="s">
        <v>104</v>
      </c>
      <c r="D19" s="5">
        <v>0.56944444444444442</v>
      </c>
      <c r="E19" s="5">
        <v>0.625</v>
      </c>
      <c r="F19" s="6" t="str">
        <f t="shared" si="0"/>
        <v>No</v>
      </c>
      <c r="G19" s="6">
        <f t="shared" si="4"/>
        <v>5.555555555555558E-2</v>
      </c>
      <c r="H19" s="50">
        <v>130</v>
      </c>
      <c r="I19" s="8">
        <f t="shared" si="5"/>
        <v>1.3333333333333339</v>
      </c>
      <c r="J19" s="50">
        <f t="shared" si="6"/>
        <v>89.467600000000047</v>
      </c>
      <c r="K19" s="50">
        <f t="shared" si="1"/>
        <v>40.532399999999953</v>
      </c>
      <c r="L19" s="9">
        <f t="shared" si="7"/>
        <v>0.68821230769230801</v>
      </c>
      <c r="M19" s="16">
        <v>1</v>
      </c>
      <c r="O19" s="23" t="str">
        <f t="shared" si="9"/>
        <v/>
      </c>
      <c r="P19" s="23" t="str">
        <f t="shared" si="9"/>
        <v/>
      </c>
      <c r="Q19" s="23" t="str">
        <f t="shared" si="9"/>
        <v/>
      </c>
      <c r="R19" s="23" t="str">
        <f t="shared" si="9"/>
        <v/>
      </c>
      <c r="S19" s="23" t="str">
        <f t="shared" si="9"/>
        <v/>
      </c>
      <c r="T19" s="74" t="str">
        <f t="shared" si="8"/>
        <v/>
      </c>
    </row>
    <row r="20" spans="1:20" ht="25" customHeight="1">
      <c r="A20" s="38">
        <v>45693</v>
      </c>
      <c r="B20" s="15" t="s">
        <v>336</v>
      </c>
      <c r="C20" s="16" t="s">
        <v>160</v>
      </c>
      <c r="D20" s="5">
        <v>0.625</v>
      </c>
      <c r="E20" s="5">
        <v>0.67708333333333337</v>
      </c>
      <c r="F20" s="6" t="str">
        <f t="shared" si="0"/>
        <v>No</v>
      </c>
      <c r="G20" s="6">
        <f t="shared" si="4"/>
        <v>5.208333333333337E-2</v>
      </c>
      <c r="H20" s="50">
        <v>0</v>
      </c>
      <c r="I20" s="8">
        <f t="shared" si="5"/>
        <v>1.2500000000000009</v>
      </c>
      <c r="J20" s="50">
        <f t="shared" si="6"/>
        <v>83.87587500000005</v>
      </c>
      <c r="K20" s="50">
        <f t="shared" si="1"/>
        <v>-83.87587500000005</v>
      </c>
      <c r="L20" s="9">
        <f t="shared" si="7"/>
        <v>1</v>
      </c>
      <c r="M20" s="16">
        <v>1</v>
      </c>
      <c r="O20" s="23" t="str">
        <f t="shared" si="9"/>
        <v/>
      </c>
      <c r="P20" s="23" t="str">
        <f t="shared" si="9"/>
        <v/>
      </c>
      <c r="Q20" s="23" t="str">
        <f t="shared" si="9"/>
        <v/>
      </c>
      <c r="R20" s="23" t="str">
        <f t="shared" si="9"/>
        <v/>
      </c>
      <c r="S20" s="23" t="str">
        <f t="shared" si="9"/>
        <v/>
      </c>
      <c r="T20" s="74" t="str">
        <f t="shared" si="8"/>
        <v/>
      </c>
    </row>
    <row r="21" spans="1:20" ht="25" customHeight="1">
      <c r="A21" s="38">
        <v>45694</v>
      </c>
      <c r="B21" s="15" t="s">
        <v>336</v>
      </c>
      <c r="D21" s="5">
        <v>0.3611111111111111</v>
      </c>
      <c r="E21" s="5">
        <v>0.75</v>
      </c>
      <c r="F21" s="6" t="s">
        <v>17</v>
      </c>
      <c r="G21" s="6">
        <f t="shared" si="4"/>
        <v>0.36805555555555558</v>
      </c>
      <c r="H21" s="50" t="str">
        <f>_xlfn.IFNA(VLOOKUP(C:C,'Active Jobs'!B:K,8,0),"")</f>
        <v/>
      </c>
      <c r="I21" s="8">
        <f t="shared" si="5"/>
        <v>8.8333333333333339</v>
      </c>
      <c r="J21" s="50">
        <f t="shared" si="6"/>
        <v>592.72284999999999</v>
      </c>
      <c r="K21" s="50" t="str">
        <f t="shared" si="1"/>
        <v/>
      </c>
      <c r="L21" s="9" t="str">
        <f t="shared" si="7"/>
        <v/>
      </c>
      <c r="M21" s="16">
        <v>1</v>
      </c>
      <c r="N21" s="43">
        <v>8.83</v>
      </c>
      <c r="O21" s="23">
        <f t="shared" si="9"/>
        <v>0</v>
      </c>
      <c r="P21" s="23">
        <f t="shared" si="9"/>
        <v>0</v>
      </c>
      <c r="Q21" s="23">
        <f t="shared" si="9"/>
        <v>0</v>
      </c>
      <c r="R21" s="23">
        <f t="shared" si="9"/>
        <v>0</v>
      </c>
      <c r="S21" s="23">
        <f t="shared" si="9"/>
        <v>0</v>
      </c>
      <c r="T21" s="74">
        <f t="shared" si="8"/>
        <v>0</v>
      </c>
    </row>
    <row r="22" spans="1:20" ht="25" customHeight="1">
      <c r="A22" s="38">
        <v>45694</v>
      </c>
      <c r="B22" s="15" t="s">
        <v>339</v>
      </c>
      <c r="D22" s="5">
        <v>0.375</v>
      </c>
      <c r="E22" s="5">
        <v>0.70833333333333337</v>
      </c>
      <c r="F22" s="6" t="s">
        <v>17</v>
      </c>
      <c r="G22" s="6">
        <f t="shared" si="4"/>
        <v>0.31250000000000006</v>
      </c>
      <c r="H22" s="50" t="str">
        <f>_xlfn.IFNA(VLOOKUP(C:C,'Active Jobs'!B:K,8,0),"")</f>
        <v/>
      </c>
      <c r="I22" s="8">
        <f t="shared" si="5"/>
        <v>7.5</v>
      </c>
      <c r="J22" s="50">
        <f t="shared" si="6"/>
        <v>503.2552500000001</v>
      </c>
      <c r="K22" s="50" t="str">
        <f t="shared" si="1"/>
        <v/>
      </c>
      <c r="L22" s="9" t="str">
        <f t="shared" si="7"/>
        <v/>
      </c>
      <c r="M22" s="16">
        <v>2</v>
      </c>
      <c r="N22" s="43">
        <v>7.5</v>
      </c>
      <c r="O22" s="23">
        <f t="shared" ref="O22:S31" si="10">IF(N22="","",ROUND(SUMIFS($I:$I,$A:$A,O$1,$B:$B,"*"&amp;$N22&amp;"*"),2))</f>
        <v>0</v>
      </c>
      <c r="P22" s="23">
        <f t="shared" si="10"/>
        <v>0</v>
      </c>
      <c r="Q22" s="23">
        <f t="shared" si="10"/>
        <v>0</v>
      </c>
      <c r="R22" s="23">
        <f t="shared" si="10"/>
        <v>0</v>
      </c>
      <c r="S22" s="23">
        <f t="shared" si="10"/>
        <v>0</v>
      </c>
      <c r="T22" s="74">
        <f t="shared" si="8"/>
        <v>0</v>
      </c>
    </row>
    <row r="23" spans="1:20" ht="25" customHeight="1">
      <c r="A23" s="38">
        <v>45695</v>
      </c>
      <c r="B23" s="15" t="s">
        <v>336</v>
      </c>
      <c r="D23" s="5">
        <v>0.36805555555555558</v>
      </c>
      <c r="E23" s="5">
        <v>0.75</v>
      </c>
      <c r="F23" s="6" t="s">
        <v>17</v>
      </c>
      <c r="G23" s="6">
        <f t="shared" si="4"/>
        <v>0.3611111111111111</v>
      </c>
      <c r="H23" s="50" t="str">
        <f>_xlfn.IFNA(VLOOKUP(C:C,'Active Jobs'!B:K,8,0),"")</f>
        <v/>
      </c>
      <c r="I23" s="8">
        <f t="shared" si="5"/>
        <v>8.6666666666666661</v>
      </c>
      <c r="J23" s="50">
        <f t="shared" si="6"/>
        <v>581.53939999999989</v>
      </c>
      <c r="K23" s="50" t="str">
        <f t="shared" si="1"/>
        <v/>
      </c>
      <c r="L23" s="9" t="str">
        <f t="shared" si="7"/>
        <v/>
      </c>
      <c r="M23" s="16">
        <v>1</v>
      </c>
      <c r="N23" s="43">
        <v>8.67</v>
      </c>
      <c r="O23" s="23">
        <f t="shared" si="10"/>
        <v>0</v>
      </c>
      <c r="P23" s="23">
        <f t="shared" si="10"/>
        <v>0</v>
      </c>
      <c r="Q23" s="23">
        <f t="shared" si="10"/>
        <v>0</v>
      </c>
      <c r="R23" s="23">
        <f t="shared" si="10"/>
        <v>0</v>
      </c>
      <c r="S23" s="23">
        <f t="shared" si="10"/>
        <v>0</v>
      </c>
      <c r="T23" s="74">
        <f t="shared" si="8"/>
        <v>0</v>
      </c>
    </row>
    <row r="24" spans="1:20" ht="25" customHeight="1">
      <c r="A24" s="38">
        <v>45695</v>
      </c>
      <c r="B24" s="15" t="s">
        <v>90</v>
      </c>
      <c r="D24" s="5">
        <v>0.36805555555555558</v>
      </c>
      <c r="E24" s="5">
        <v>0.6875</v>
      </c>
      <c r="F24" s="6" t="s">
        <v>17</v>
      </c>
      <c r="G24" s="6">
        <f t="shared" si="4"/>
        <v>0.2986111111111111</v>
      </c>
      <c r="H24" s="50" t="str">
        <f>_xlfn.IFNA(VLOOKUP(C:C,'Active Jobs'!B:K,8,0),"")</f>
        <v/>
      </c>
      <c r="I24" s="8">
        <f t="shared" si="5"/>
        <v>7.1666666666666661</v>
      </c>
      <c r="J24" s="50">
        <f t="shared" si="6"/>
        <v>480.88834999999995</v>
      </c>
      <c r="K24" s="50" t="str">
        <f t="shared" si="1"/>
        <v/>
      </c>
      <c r="L24" s="9" t="str">
        <f t="shared" si="7"/>
        <v/>
      </c>
      <c r="M24" s="16">
        <v>2</v>
      </c>
      <c r="N24" s="43">
        <v>7.17</v>
      </c>
      <c r="O24" s="23">
        <f t="shared" si="10"/>
        <v>0</v>
      </c>
      <c r="P24" s="23">
        <f t="shared" si="10"/>
        <v>0</v>
      </c>
      <c r="Q24" s="23">
        <f t="shared" si="10"/>
        <v>0</v>
      </c>
      <c r="R24" s="23">
        <f t="shared" si="10"/>
        <v>0</v>
      </c>
      <c r="S24" s="23">
        <f t="shared" si="10"/>
        <v>0</v>
      </c>
      <c r="T24" s="74">
        <f t="shared" si="8"/>
        <v>0</v>
      </c>
    </row>
    <row r="25" spans="1:20" ht="25" customHeight="1">
      <c r="A25" s="38">
        <v>45695</v>
      </c>
      <c r="B25" s="15" t="s">
        <v>84</v>
      </c>
      <c r="D25" s="5">
        <v>0.36805555555555558</v>
      </c>
      <c r="E25" s="5">
        <v>0.72222222222222221</v>
      </c>
      <c r="F25" s="6" t="s">
        <v>17</v>
      </c>
      <c r="G25" s="6">
        <f t="shared" si="4"/>
        <v>0.33333333333333331</v>
      </c>
      <c r="H25" s="50" t="str">
        <f>_xlfn.IFNA(VLOOKUP(C:C,'Active Jobs'!B:K,8,0),"")</f>
        <v/>
      </c>
      <c r="I25" s="8">
        <f t="shared" si="5"/>
        <v>8</v>
      </c>
      <c r="J25" s="50">
        <f t="shared" si="6"/>
        <v>536.80560000000003</v>
      </c>
      <c r="K25" s="50" t="str">
        <f t="shared" si="1"/>
        <v/>
      </c>
      <c r="L25" s="9" t="str">
        <f t="shared" si="7"/>
        <v/>
      </c>
      <c r="M25" s="16">
        <v>2</v>
      </c>
      <c r="N25" s="43">
        <v>8</v>
      </c>
      <c r="O25" s="23">
        <f t="shared" si="10"/>
        <v>0</v>
      </c>
      <c r="P25" s="23">
        <f t="shared" si="10"/>
        <v>0</v>
      </c>
      <c r="Q25" s="23">
        <f t="shared" si="10"/>
        <v>0</v>
      </c>
      <c r="R25" s="23">
        <f t="shared" si="10"/>
        <v>0</v>
      </c>
      <c r="S25" s="23">
        <f t="shared" si="10"/>
        <v>0</v>
      </c>
      <c r="T25" s="74">
        <f t="shared" si="8"/>
        <v>0</v>
      </c>
    </row>
    <row r="26" spans="1:20" ht="25" customHeight="1">
      <c r="B26" s="15"/>
      <c r="D26" s="5"/>
      <c r="E26" s="5"/>
      <c r="F26" s="6" t="str">
        <f t="shared" si="0"/>
        <v/>
      </c>
      <c r="G26" s="6" t="str">
        <f t="shared" si="4"/>
        <v/>
      </c>
      <c r="H26" s="50" t="str">
        <f>_xlfn.IFNA(VLOOKUP(C:C,'Active Jobs'!B:K,8,0),"")</f>
        <v/>
      </c>
      <c r="I26" s="8" t="str">
        <f t="shared" si="5"/>
        <v/>
      </c>
      <c r="J26" s="50" t="str">
        <f t="shared" si="6"/>
        <v/>
      </c>
      <c r="K26" s="50" t="str">
        <f t="shared" si="1"/>
        <v/>
      </c>
      <c r="L26" s="9" t="str">
        <f t="shared" si="7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8"/>
        <v/>
      </c>
    </row>
    <row r="27" spans="1:20" ht="25" customHeight="1">
      <c r="B27" s="15"/>
      <c r="D27" s="5"/>
      <c r="E27" s="5"/>
      <c r="F27" s="6" t="str">
        <f t="shared" si="0"/>
        <v/>
      </c>
      <c r="G27" s="6" t="str">
        <f t="shared" si="4"/>
        <v/>
      </c>
      <c r="H27" s="50" t="str">
        <f>_xlfn.IFNA(VLOOKUP(C:C,'Active Jobs'!B:K,8,0),"")</f>
        <v/>
      </c>
      <c r="I27" s="8" t="str">
        <f t="shared" si="5"/>
        <v/>
      </c>
      <c r="J27" s="50" t="str">
        <f t="shared" si="6"/>
        <v/>
      </c>
      <c r="K27" s="50" t="str">
        <f t="shared" si="1"/>
        <v/>
      </c>
      <c r="L27" s="9" t="str">
        <f t="shared" si="7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8"/>
        <v/>
      </c>
    </row>
    <row r="28" spans="1:20" ht="25" customHeight="1">
      <c r="B28" s="15"/>
      <c r="D28" s="5"/>
      <c r="E28" s="5"/>
      <c r="F28" s="6" t="str">
        <f t="shared" si="0"/>
        <v/>
      </c>
      <c r="G28" s="6" t="str">
        <f t="shared" si="4"/>
        <v/>
      </c>
      <c r="H28" s="50" t="str">
        <f>_xlfn.IFNA(VLOOKUP(C:C,'Active Jobs'!B:K,8,0),"")</f>
        <v/>
      </c>
      <c r="I28" s="8" t="str">
        <f t="shared" si="5"/>
        <v/>
      </c>
      <c r="J28" s="50" t="str">
        <f t="shared" si="6"/>
        <v/>
      </c>
      <c r="K28" s="50" t="str">
        <f t="shared" si="1"/>
        <v/>
      </c>
      <c r="L28" s="9" t="str">
        <f t="shared" si="7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8"/>
        <v/>
      </c>
    </row>
    <row r="29" spans="1:20" ht="25" customHeight="1">
      <c r="B29" s="15"/>
      <c r="D29" s="5"/>
      <c r="E29" s="5"/>
      <c r="F29" s="6" t="str">
        <f t="shared" si="0"/>
        <v/>
      </c>
      <c r="G29" s="6" t="str">
        <f>IF(E29="","",IF(F29="Yes",(E29-D29)-TIME(0,30,0),E29-D29))</f>
        <v/>
      </c>
      <c r="H29" s="50" t="str">
        <f>_xlfn.IFNA(VLOOKUP(C:C,'Active Jobs'!B:K,8,0),"")</f>
        <v/>
      </c>
      <c r="I29" s="8" t="str">
        <f>IF(F29="Yes",(E29-D29)*24-0.5,IF(F29="No",(E29-D29)*24,""))</f>
        <v/>
      </c>
      <c r="J29" s="50" t="str">
        <f>IF(G29="","",G29*24*HourlyRate*2*(1+Super))</f>
        <v/>
      </c>
      <c r="K29" s="50" t="str">
        <f t="shared" si="1"/>
        <v/>
      </c>
      <c r="L29" s="9" t="str">
        <f>IF(K29="","",IF(H29=0,1,J29/H29))</f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8"/>
        <v/>
      </c>
    </row>
    <row r="30" spans="1:20" ht="25" customHeight="1">
      <c r="B30" s="15"/>
      <c r="C30" s="49"/>
      <c r="D30" s="5"/>
      <c r="E30" s="5"/>
      <c r="F30" s="6" t="str">
        <f t="shared" si="0"/>
        <v/>
      </c>
      <c r="G30" s="6" t="str">
        <f t="shared" si="4"/>
        <v/>
      </c>
      <c r="H30" s="50" t="str">
        <f>_xlfn.IFNA(VLOOKUP(C:C,'Active Jobs'!B:K,8,0),"")</f>
        <v/>
      </c>
      <c r="I30" s="8" t="str">
        <f t="shared" si="5"/>
        <v/>
      </c>
      <c r="J30" s="50" t="str">
        <f t="shared" si="6"/>
        <v/>
      </c>
      <c r="K30" s="50" t="str">
        <f t="shared" si="1"/>
        <v/>
      </c>
      <c r="L30" s="9" t="str">
        <f t="shared" si="7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8"/>
        <v/>
      </c>
    </row>
    <row r="31" spans="1:20" ht="25" customHeight="1">
      <c r="A31" s="39"/>
      <c r="B31" s="29"/>
      <c r="C31" s="30"/>
      <c r="D31" s="1"/>
      <c r="E31" s="1"/>
      <c r="F31" s="31"/>
      <c r="G31" s="32"/>
      <c r="H31" s="53">
        <f>SUBTOTAL(109,Table2261210141622[Quoted])</f>
        <v>3920</v>
      </c>
      <c r="I31" s="34">
        <f>SUBTOTAL(109,Table2261210141622[Hours Payable])</f>
        <v>81.850000000000009</v>
      </c>
      <c r="J31" s="53">
        <f>SUBTOTAL(109,Table2261210141622[Wages (Incl. Super)])</f>
        <v>5492.1922949999998</v>
      </c>
      <c r="K31" s="53">
        <f>SUBTOTAL(109,Table2261210141622[Profit])</f>
        <v>1273.9957300000005</v>
      </c>
      <c r="L31" s="35">
        <f>IF(L2="","",SUBTOTAL(101,Table2261210141622[Quote/Wages]))</f>
        <v>0.68059141893290831</v>
      </c>
      <c r="O31" s="23" t="str">
        <f t="shared" si="10"/>
        <v/>
      </c>
      <c r="P31" s="23" t="str">
        <f t="shared" si="10"/>
        <v/>
      </c>
      <c r="Q31" s="23" t="str">
        <f t="shared" si="10"/>
        <v/>
      </c>
      <c r="R31" s="23" t="str">
        <f t="shared" si="10"/>
        <v/>
      </c>
      <c r="S31" s="23" t="str">
        <f t="shared" si="10"/>
        <v/>
      </c>
      <c r="T31" s="74" t="str">
        <f t="shared" si="8"/>
        <v/>
      </c>
    </row>
    <row r="32" spans="1:20" ht="25" customHeight="1">
      <c r="O32" s="23" t="str">
        <f t="shared" ref="O32:S41" si="11">IF(N32="","",ROUND(SUMIFS($I:$I,$A:$A,O$1,$B:$B,"*"&amp;$N32&amp;"*"),2))</f>
        <v/>
      </c>
      <c r="P32" s="23" t="str">
        <f t="shared" si="11"/>
        <v/>
      </c>
      <c r="Q32" s="23" t="str">
        <f t="shared" si="11"/>
        <v/>
      </c>
      <c r="R32" s="23" t="str">
        <f t="shared" si="11"/>
        <v/>
      </c>
      <c r="S32" s="23" t="str">
        <f t="shared" si="11"/>
        <v/>
      </c>
      <c r="T32" s="74" t="str">
        <f t="shared" si="8"/>
        <v/>
      </c>
    </row>
    <row r="33" spans="15:20" ht="25" customHeight="1">
      <c r="O33" s="23" t="str">
        <f t="shared" si="11"/>
        <v/>
      </c>
      <c r="P33" s="23" t="str">
        <f t="shared" si="11"/>
        <v/>
      </c>
      <c r="Q33" s="23" t="str">
        <f t="shared" si="11"/>
        <v/>
      </c>
      <c r="R33" s="23" t="str">
        <f t="shared" si="11"/>
        <v/>
      </c>
      <c r="S33" s="23" t="str">
        <f t="shared" si="11"/>
        <v/>
      </c>
      <c r="T33" s="74" t="str">
        <f t="shared" si="8"/>
        <v/>
      </c>
    </row>
    <row r="34" spans="15:20" ht="25" customHeight="1">
      <c r="O34" s="23" t="str">
        <f t="shared" si="11"/>
        <v/>
      </c>
      <c r="P34" s="23" t="str">
        <f t="shared" si="11"/>
        <v/>
      </c>
      <c r="Q34" s="23" t="str">
        <f t="shared" si="11"/>
        <v/>
      </c>
      <c r="R34" s="23" t="str">
        <f t="shared" si="11"/>
        <v/>
      </c>
      <c r="S34" s="23" t="str">
        <f t="shared" si="11"/>
        <v/>
      </c>
      <c r="T34" s="74" t="str">
        <f t="shared" si="8"/>
        <v/>
      </c>
    </row>
    <row r="35" spans="15:20" ht="25" customHeight="1">
      <c r="O35" s="23" t="str">
        <f t="shared" si="11"/>
        <v/>
      </c>
      <c r="P35" s="23" t="str">
        <f t="shared" si="11"/>
        <v/>
      </c>
      <c r="Q35" s="23" t="str">
        <f t="shared" si="11"/>
        <v/>
      </c>
      <c r="R35" s="23" t="str">
        <f t="shared" si="11"/>
        <v/>
      </c>
      <c r="S35" s="23" t="str">
        <f t="shared" si="11"/>
        <v/>
      </c>
      <c r="T35" s="74" t="str">
        <f t="shared" si="8"/>
        <v/>
      </c>
    </row>
    <row r="36" spans="15:20" ht="25" customHeight="1">
      <c r="O36" s="23" t="str">
        <f t="shared" si="11"/>
        <v/>
      </c>
      <c r="P36" s="23" t="str">
        <f t="shared" si="11"/>
        <v/>
      </c>
      <c r="Q36" s="23" t="str">
        <f t="shared" si="11"/>
        <v/>
      </c>
      <c r="R36" s="23" t="str">
        <f t="shared" si="11"/>
        <v/>
      </c>
      <c r="S36" s="23" t="str">
        <f t="shared" si="11"/>
        <v/>
      </c>
      <c r="T36" s="74" t="str">
        <f t="shared" si="8"/>
        <v/>
      </c>
    </row>
    <row r="37" spans="15:20" ht="25" customHeight="1">
      <c r="O37" s="23" t="str">
        <f t="shared" si="11"/>
        <v/>
      </c>
      <c r="P37" s="23" t="str">
        <f t="shared" si="11"/>
        <v/>
      </c>
      <c r="Q37" s="23" t="str">
        <f t="shared" si="11"/>
        <v/>
      </c>
      <c r="R37" s="23" t="str">
        <f t="shared" si="11"/>
        <v/>
      </c>
      <c r="S37" s="23" t="str">
        <f t="shared" si="11"/>
        <v/>
      </c>
      <c r="T37" s="74" t="str">
        <f t="shared" si="8"/>
        <v/>
      </c>
    </row>
    <row r="38" spans="15:20" ht="25" customHeight="1">
      <c r="O38" s="23" t="str">
        <f t="shared" si="11"/>
        <v/>
      </c>
      <c r="P38" s="23" t="str">
        <f t="shared" si="11"/>
        <v/>
      </c>
      <c r="Q38" s="23" t="str">
        <f t="shared" si="11"/>
        <v/>
      </c>
      <c r="R38" s="23" t="str">
        <f t="shared" si="11"/>
        <v/>
      </c>
      <c r="S38" s="23" t="str">
        <f t="shared" si="11"/>
        <v/>
      </c>
      <c r="T38" s="74" t="str">
        <f t="shared" si="8"/>
        <v/>
      </c>
    </row>
    <row r="39" spans="15:20" ht="25" customHeight="1">
      <c r="O39" s="23" t="str">
        <f t="shared" si="11"/>
        <v/>
      </c>
      <c r="P39" s="23" t="str">
        <f t="shared" si="11"/>
        <v/>
      </c>
      <c r="Q39" s="23" t="str">
        <f t="shared" si="11"/>
        <v/>
      </c>
      <c r="R39" s="23" t="str">
        <f t="shared" si="11"/>
        <v/>
      </c>
      <c r="S39" s="23" t="str">
        <f t="shared" si="11"/>
        <v/>
      </c>
      <c r="T39" s="74" t="str">
        <f t="shared" si="8"/>
        <v/>
      </c>
    </row>
    <row r="40" spans="15:20" ht="25" customHeight="1">
      <c r="O40" s="23" t="str">
        <f t="shared" si="11"/>
        <v/>
      </c>
      <c r="P40" s="23" t="str">
        <f t="shared" si="11"/>
        <v/>
      </c>
      <c r="Q40" s="23" t="str">
        <f t="shared" si="11"/>
        <v/>
      </c>
      <c r="R40" s="23" t="str">
        <f t="shared" si="11"/>
        <v/>
      </c>
      <c r="S40" s="23" t="str">
        <f t="shared" si="11"/>
        <v/>
      </c>
      <c r="T40" s="74" t="str">
        <f t="shared" si="8"/>
        <v/>
      </c>
    </row>
    <row r="41" spans="15:20" ht="25" customHeight="1">
      <c r="O41" s="23" t="str">
        <f t="shared" si="11"/>
        <v/>
      </c>
      <c r="P41" s="23" t="str">
        <f t="shared" si="11"/>
        <v/>
      </c>
      <c r="Q41" s="23" t="str">
        <f t="shared" si="11"/>
        <v/>
      </c>
      <c r="R41" s="23" t="str">
        <f t="shared" si="11"/>
        <v/>
      </c>
      <c r="S41" s="23" t="str">
        <f t="shared" si="11"/>
        <v/>
      </c>
      <c r="T41" s="74" t="str">
        <f t="shared" si="8"/>
        <v/>
      </c>
    </row>
  </sheetData>
  <conditionalFormatting sqref="B32:B252 B1:B30">
    <cfRule type="expression" dxfId="34" priority="1">
      <formula>AND(ROW()&gt;1, E1&lt;&gt;"", COUNTIFS(A:A, $A1, B:B, $B1, F:F, "Yes")=0)</formula>
    </cfRule>
  </conditionalFormatting>
  <conditionalFormatting sqref="F32:F252 F1:F30">
    <cfRule type="expression" dxfId="33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0" xr:uid="{AC57DBC8-B0A5-B04A-AAC0-8488D7D42C03}">
      <formula1>"No, Yes"</formula1>
    </dataValidation>
    <dataValidation type="list" allowBlank="1" showErrorMessage="1" promptTitle="Select" sqref="B2:B30" xr:uid="{9AAC13F3-F041-E045-A5B0-D6131DB648B6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62D932D-0032-4949-BC59-F410FBA88AC1}">
          <x14:formula1>
            <xm:f>'Active Jobs'!$B$2:$B$154</xm:f>
          </x14:formula1>
          <xm:sqref>C2:C30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92E3-ACE5-4526-8CE8-69D49F8EEEEC}">
  <sheetPr codeName="Sheet13"/>
  <dimension ref="A1:W42"/>
  <sheetViews>
    <sheetView zoomScale="125" zoomScaleNormal="125" workbookViewId="0">
      <selection activeCell="G9" sqref="G9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10.710937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6" t="s">
        <v>341</v>
      </c>
      <c r="N1" s="40"/>
      <c r="O1" s="63" cm="1">
        <f t="array" ref="O1:R1">IF(B2="","",TRANSPOSE(_xlfn._xlws.FILTER(_xlfn.UNIQUE(A2:A203), _xlfn.UNIQUE(A2:A203)&lt;&gt;"")))</f>
        <v>45685</v>
      </c>
      <c r="P1" s="63">
        <v>45686</v>
      </c>
      <c r="Q1" s="63">
        <v>45687</v>
      </c>
      <c r="R1" s="63">
        <v>45688</v>
      </c>
      <c r="S1" s="63"/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45685</v>
      </c>
      <c r="B2" s="15" t="s">
        <v>339</v>
      </c>
      <c r="C2" s="16" t="s">
        <v>141</v>
      </c>
      <c r="D2" s="5">
        <v>0.35416666666666669</v>
      </c>
      <c r="E2" s="5">
        <v>0.46527777777777779</v>
      </c>
      <c r="F2" s="6" t="str">
        <f t="shared" ref="F2:F31" si="0">IF(E2="","","No")</f>
        <v>No</v>
      </c>
      <c r="G2" s="6">
        <f>IF(E2="","",IF(F2="Yes",(E2-D2)-TIME(0,30,0),E2-D2))</f>
        <v>0.1111111111111111</v>
      </c>
      <c r="H2" s="50">
        <f>_xlfn.IFNA(VLOOKUP(C:C,'Active Jobs'!B:K,8,0),"")</f>
        <v>250</v>
      </c>
      <c r="I2" s="8">
        <f>IF(F2="Yes",(E2-D2)*24-0.5,IF(F2="No",(E2-D2)*24,""))</f>
        <v>2.6666666666666665</v>
      </c>
      <c r="J2" s="50">
        <f>IF(G2="","",G2*24*HourlyRate*2*(1+Super))</f>
        <v>178.93519999999998</v>
      </c>
      <c r="K2" s="50">
        <f t="shared" ref="K2:K31" si="1">IF(H2="","",IF(J2=0,0,H2-J2))</f>
        <v>71.06480000000002</v>
      </c>
      <c r="L2" s="9">
        <f>IF(K2="","",IF(H2=0,1,J2/H2))</f>
        <v>0.71574079999999995</v>
      </c>
      <c r="M2" s="16">
        <v>2</v>
      </c>
      <c r="N2" s="41" t="str" cm="1">
        <f t="array" ref="N2:N5">IF(B2="","",_xlfn.UNIQUE(TRANSPOSE(_xlfn.TEXTSPLIT(_xlfn.TEXTJOIN(" &amp; ", TRUE, TRIM(B2:B203)), " &amp; "))))</f>
        <v>Orla Shelly</v>
      </c>
      <c r="O2" s="23">
        <f t="shared" ref="O2:S17" si="2">IF(N2="","",ROUND(SUMIFS($I:$I,$A:$A,O$1,$B:$B,"*"&amp;$N2&amp;"*"),2))</f>
        <v>6.32</v>
      </c>
      <c r="P2" s="23">
        <f t="shared" si="2"/>
        <v>7.75</v>
      </c>
      <c r="Q2" s="23">
        <f t="shared" si="2"/>
        <v>8.23</v>
      </c>
      <c r="R2" s="23">
        <f t="shared" si="2"/>
        <v>6.6</v>
      </c>
      <c r="S2" s="23">
        <f t="shared" si="2"/>
        <v>0</v>
      </c>
      <c r="T2" s="10">
        <f t="shared" ref="T2:T42" si="3">IF(N2="","",SUM(O2:S2))</f>
        <v>28.9</v>
      </c>
      <c r="U2" s="24"/>
      <c r="V2" s="24">
        <f>IF(N2="","",T2*HourlyRate)</f>
        <v>869.601</v>
      </c>
      <c r="W2" s="25">
        <f>IF(N2="","",V2*Super)</f>
        <v>100.004115</v>
      </c>
    </row>
    <row r="3" spans="1:23" ht="25" customHeight="1">
      <c r="A3" s="37">
        <v>45685</v>
      </c>
      <c r="B3" s="15" t="s">
        <v>339</v>
      </c>
      <c r="C3" s="16" t="s">
        <v>20</v>
      </c>
      <c r="D3" s="5">
        <v>0.47152777777777777</v>
      </c>
      <c r="E3" s="5">
        <v>0.57222222222222219</v>
      </c>
      <c r="F3" s="6" t="s">
        <v>17</v>
      </c>
      <c r="G3" s="6">
        <f t="shared" ref="G3:G31" si="4">IF(E3="","",IF(F3="Yes",(E3-D3)-TIME(0,30,0),E3-D3))</f>
        <v>7.9861111111111091E-2</v>
      </c>
      <c r="H3" s="50">
        <f>_xlfn.IFNA(VLOOKUP(C:C,'Active Jobs'!B:K,8,0),"")</f>
        <v>250</v>
      </c>
      <c r="I3" s="8">
        <f t="shared" ref="I3:I31" si="5">IF(F3="Yes",(E3-D3)*24-0.5,IF(F3="No",(E3-D3)*24,""))</f>
        <v>1.9166666666666661</v>
      </c>
      <c r="J3" s="50">
        <f t="shared" ref="J3:J31" si="6">IF(G3="","",G3*24*HourlyRate*2*(1+Super))</f>
        <v>128.60967499999995</v>
      </c>
      <c r="K3" s="50">
        <f t="shared" si="1"/>
        <v>121.39032500000005</v>
      </c>
      <c r="L3" s="9">
        <f t="shared" ref="L3:L31" si="7">IF(K3="","",IF(H3=0,1,J3/H3))</f>
        <v>0.5144386999999998</v>
      </c>
      <c r="M3" s="16">
        <v>2</v>
      </c>
      <c r="N3" s="42" t="str">
        <v>Julie Roccati</v>
      </c>
      <c r="O3" s="23">
        <f t="shared" si="2"/>
        <v>6.32</v>
      </c>
      <c r="P3" s="23">
        <f t="shared" si="2"/>
        <v>0</v>
      </c>
      <c r="Q3" s="23">
        <f t="shared" si="2"/>
        <v>8.23</v>
      </c>
      <c r="R3" s="23">
        <f t="shared" si="2"/>
        <v>6.6</v>
      </c>
      <c r="S3" s="23">
        <f t="shared" si="2"/>
        <v>0</v>
      </c>
      <c r="T3" s="10">
        <f t="shared" si="3"/>
        <v>21.15</v>
      </c>
      <c r="U3" s="21"/>
      <c r="V3" s="24">
        <f>IF(N3="","",T3*HourlyRate)</f>
        <v>636.40350000000001</v>
      </c>
      <c r="W3" s="25">
        <f>IF(N3="","",V3*Super)</f>
        <v>73.1864025</v>
      </c>
    </row>
    <row r="4" spans="1:23" ht="25" customHeight="1">
      <c r="A4" s="37">
        <v>45685</v>
      </c>
      <c r="B4" s="15" t="s">
        <v>339</v>
      </c>
      <c r="C4" s="16" t="s">
        <v>136</v>
      </c>
      <c r="D4" s="5">
        <v>0.57222222222222219</v>
      </c>
      <c r="E4" s="5">
        <v>0.64444444444444449</v>
      </c>
      <c r="F4" s="6" t="str">
        <f t="shared" si="0"/>
        <v>No</v>
      </c>
      <c r="G4" s="6">
        <f t="shared" si="4"/>
        <v>7.2222222222222299E-2</v>
      </c>
      <c r="H4" s="50">
        <f>_xlfn.IFNA(VLOOKUP(C:C,'Active Jobs'!B:K,8,0),"")</f>
        <v>220</v>
      </c>
      <c r="I4" s="8">
        <f t="shared" si="5"/>
        <v>1.7333333333333352</v>
      </c>
      <c r="J4" s="50">
        <f t="shared" si="6"/>
        <v>116.30788000000013</v>
      </c>
      <c r="K4" s="50">
        <f t="shared" si="1"/>
        <v>103.69211999999987</v>
      </c>
      <c r="L4" s="9">
        <f t="shared" si="7"/>
        <v>0.52867218181818243</v>
      </c>
      <c r="M4" s="16">
        <v>2</v>
      </c>
      <c r="N4" s="42" t="str">
        <v>Aoife O'Gorman</v>
      </c>
      <c r="O4" s="23">
        <f t="shared" si="2"/>
        <v>7.9</v>
      </c>
      <c r="P4" s="23">
        <f t="shared" si="2"/>
        <v>8.25</v>
      </c>
      <c r="Q4" s="23">
        <f t="shared" si="2"/>
        <v>8.58</v>
      </c>
      <c r="R4" s="23">
        <f t="shared" si="2"/>
        <v>5.9</v>
      </c>
      <c r="S4" s="23">
        <f t="shared" si="2"/>
        <v>0</v>
      </c>
      <c r="T4" s="10">
        <f t="shared" si="3"/>
        <v>30.629999999999995</v>
      </c>
      <c r="U4" s="21"/>
      <c r="V4" s="24">
        <f>IF(N4="","",T4*HourlyRate)</f>
        <v>921.65669999999989</v>
      </c>
      <c r="W4" s="25">
        <f>IF(N4="","",V4*Super)</f>
        <v>105.99052049999999</v>
      </c>
    </row>
    <row r="5" spans="1:23" ht="25" customHeight="1">
      <c r="A5" s="37">
        <v>45685</v>
      </c>
      <c r="B5" s="15" t="s">
        <v>336</v>
      </c>
      <c r="C5" s="16" t="s">
        <v>140</v>
      </c>
      <c r="D5" s="5">
        <v>0.35416666666666669</v>
      </c>
      <c r="E5" s="5">
        <v>0.41666666666666669</v>
      </c>
      <c r="F5" s="6" t="s">
        <v>53</v>
      </c>
      <c r="G5" s="6">
        <f t="shared" si="4"/>
        <v>6.25E-2</v>
      </c>
      <c r="H5" s="50">
        <v>0</v>
      </c>
      <c r="I5" s="8">
        <f t="shared" si="5"/>
        <v>1.5</v>
      </c>
      <c r="J5" s="50"/>
      <c r="K5" s="50">
        <f t="shared" si="1"/>
        <v>0</v>
      </c>
      <c r="L5" s="9">
        <f t="shared" si="7"/>
        <v>1</v>
      </c>
      <c r="M5" s="16">
        <v>1</v>
      </c>
      <c r="N5" s="42" t="str">
        <v>Aoife Carroll</v>
      </c>
      <c r="O5" s="23">
        <f t="shared" si="2"/>
        <v>7.9</v>
      </c>
      <c r="P5" s="23">
        <f t="shared" si="2"/>
        <v>8.25</v>
      </c>
      <c r="Q5" s="23">
        <f t="shared" si="2"/>
        <v>8.58</v>
      </c>
      <c r="R5" s="23">
        <f t="shared" si="2"/>
        <v>5.9</v>
      </c>
      <c r="S5" s="23">
        <f t="shared" si="2"/>
        <v>0</v>
      </c>
      <c r="T5" s="10">
        <f t="shared" si="3"/>
        <v>30.629999999999995</v>
      </c>
      <c r="U5" s="21"/>
      <c r="V5" s="24">
        <f>IF(N5="","",T5*HourlyRate)</f>
        <v>921.65669999999989</v>
      </c>
      <c r="W5" s="25">
        <f>IF(N5="","",V5*Super)</f>
        <v>105.99052049999999</v>
      </c>
    </row>
    <row r="6" spans="1:23" ht="25" customHeight="1">
      <c r="A6" s="37">
        <v>45685</v>
      </c>
      <c r="B6" s="15" t="s">
        <v>336</v>
      </c>
      <c r="C6" s="16" t="s">
        <v>45</v>
      </c>
      <c r="D6" s="5">
        <v>0.41666666666666669</v>
      </c>
      <c r="E6" s="5">
        <v>0.55208333333333337</v>
      </c>
      <c r="F6" s="6" t="s">
        <v>17</v>
      </c>
      <c r="G6" s="6">
        <f t="shared" si="4"/>
        <v>0.11458333333333336</v>
      </c>
      <c r="H6" s="50">
        <v>275</v>
      </c>
      <c r="I6" s="8">
        <f t="shared" si="5"/>
        <v>2.7500000000000004</v>
      </c>
      <c r="J6" s="50">
        <f t="shared" si="6"/>
        <v>184.52692500000003</v>
      </c>
      <c r="K6" s="50">
        <f t="shared" si="1"/>
        <v>90.473074999999966</v>
      </c>
      <c r="L6" s="9">
        <f t="shared" si="7"/>
        <v>0.67100700000000013</v>
      </c>
      <c r="M6" s="16">
        <v>1</v>
      </c>
      <c r="O6" s="23" t="str">
        <f t="shared" si="2"/>
        <v/>
      </c>
      <c r="P6" s="23" t="str">
        <f t="shared" si="2"/>
        <v/>
      </c>
      <c r="Q6" s="23" t="str">
        <f t="shared" si="2"/>
        <v/>
      </c>
      <c r="R6" s="23" t="str">
        <f t="shared" si="2"/>
        <v/>
      </c>
      <c r="S6" s="23" t="str">
        <f t="shared" si="2"/>
        <v/>
      </c>
      <c r="T6" s="10" t="str">
        <f t="shared" si="3"/>
        <v/>
      </c>
      <c r="U6" s="21"/>
      <c r="V6" s="24"/>
      <c r="W6" s="25"/>
    </row>
    <row r="7" spans="1:23" ht="25" customHeight="1">
      <c r="A7" s="37">
        <v>45685</v>
      </c>
      <c r="B7" s="15" t="s">
        <v>336</v>
      </c>
      <c r="C7" s="16" t="s">
        <v>369</v>
      </c>
      <c r="D7" s="5">
        <v>0.55208333333333337</v>
      </c>
      <c r="E7" s="5">
        <v>0.70416666666666672</v>
      </c>
      <c r="F7" s="6" t="str">
        <f t="shared" si="0"/>
        <v>No</v>
      </c>
      <c r="G7" s="6">
        <f t="shared" si="4"/>
        <v>0.15208333333333335</v>
      </c>
      <c r="H7" s="50">
        <v>445</v>
      </c>
      <c r="I7" s="8">
        <f t="shared" si="5"/>
        <v>3.6500000000000004</v>
      </c>
      <c r="J7" s="50">
        <f t="shared" si="6"/>
        <v>244.91755500000002</v>
      </c>
      <c r="K7" s="50">
        <f t="shared" si="1"/>
        <v>200.08244499999998</v>
      </c>
      <c r="L7" s="9">
        <f t="shared" si="7"/>
        <v>0.55037652808988768</v>
      </c>
      <c r="M7" s="16">
        <v>1</v>
      </c>
      <c r="N7" s="47"/>
      <c r="O7" s="23" t="str">
        <f t="shared" si="2"/>
        <v/>
      </c>
      <c r="P7" s="23" t="str">
        <f t="shared" si="2"/>
        <v/>
      </c>
      <c r="Q7" s="23" t="str">
        <f t="shared" si="2"/>
        <v/>
      </c>
      <c r="R7" s="23" t="str">
        <f t="shared" si="2"/>
        <v/>
      </c>
      <c r="S7" s="23" t="str">
        <f t="shared" si="2"/>
        <v/>
      </c>
      <c r="T7" s="10" t="str">
        <f t="shared" si="3"/>
        <v/>
      </c>
      <c r="U7" s="21"/>
      <c r="V7" s="26">
        <f>SUM(V2:V5)</f>
        <v>3349.3179</v>
      </c>
      <c r="W7" s="26">
        <f>SUM(W2:W5)</f>
        <v>385.1715585</v>
      </c>
    </row>
    <row r="8" spans="1:23" ht="25" customHeight="1">
      <c r="A8" s="38">
        <v>45686</v>
      </c>
      <c r="B8" s="15" t="s">
        <v>336</v>
      </c>
      <c r="C8" s="49" t="s">
        <v>112</v>
      </c>
      <c r="D8" s="5">
        <v>0.36458333333333331</v>
      </c>
      <c r="E8" s="5">
        <v>0.44791666666666669</v>
      </c>
      <c r="F8" s="6" t="str">
        <f t="shared" si="0"/>
        <v>No</v>
      </c>
      <c r="G8" s="6">
        <f t="shared" si="4"/>
        <v>8.333333333333337E-2</v>
      </c>
      <c r="H8" s="50">
        <v>200</v>
      </c>
      <c r="I8" s="8">
        <f t="shared" si="5"/>
        <v>2.0000000000000009</v>
      </c>
      <c r="J8" s="50">
        <f t="shared" si="6"/>
        <v>134.20140000000006</v>
      </c>
      <c r="K8" s="50">
        <f t="shared" si="1"/>
        <v>65.798599999999936</v>
      </c>
      <c r="L8" s="9">
        <f t="shared" si="7"/>
        <v>0.67100700000000035</v>
      </c>
      <c r="M8" s="16">
        <v>1</v>
      </c>
      <c r="N8" s="41"/>
      <c r="O8" s="23" t="str">
        <f t="shared" si="2"/>
        <v/>
      </c>
      <c r="P8" s="23" t="str">
        <f t="shared" si="2"/>
        <v/>
      </c>
      <c r="Q8" s="23" t="str">
        <f t="shared" si="2"/>
        <v/>
      </c>
      <c r="R8" s="23" t="str">
        <f t="shared" si="2"/>
        <v/>
      </c>
      <c r="S8" s="23" t="str">
        <f t="shared" si="2"/>
        <v/>
      </c>
      <c r="T8" s="10" t="str">
        <f t="shared" si="3"/>
        <v/>
      </c>
      <c r="U8" s="21"/>
      <c r="V8" s="21"/>
      <c r="W8" s="21"/>
    </row>
    <row r="9" spans="1:23" ht="25" customHeight="1">
      <c r="A9" s="38">
        <v>45686</v>
      </c>
      <c r="B9" s="15" t="s">
        <v>336</v>
      </c>
      <c r="C9" s="16" t="s">
        <v>113</v>
      </c>
      <c r="D9" s="5">
        <v>0.44791666666666669</v>
      </c>
      <c r="E9" s="5">
        <v>0.55208333333333337</v>
      </c>
      <c r="F9" s="6" t="s">
        <v>17</v>
      </c>
      <c r="G9" s="6">
        <f t="shared" si="4"/>
        <v>8.3333333333333356E-2</v>
      </c>
      <c r="H9" s="50">
        <f>_xlfn.IFNA(VLOOKUP(C:C,'Active Jobs'!B:K,8,0),"")</f>
        <v>230</v>
      </c>
      <c r="I9" s="8">
        <f t="shared" si="5"/>
        <v>2.0000000000000004</v>
      </c>
      <c r="J9" s="50">
        <f t="shared" si="6"/>
        <v>134.20140000000004</v>
      </c>
      <c r="K9" s="50">
        <f t="shared" si="1"/>
        <v>95.798599999999965</v>
      </c>
      <c r="L9" s="9">
        <f t="shared" si="7"/>
        <v>0.58348434782608716</v>
      </c>
      <c r="M9" s="16">
        <v>1</v>
      </c>
      <c r="N9" s="47"/>
      <c r="O9" s="23" t="str">
        <f t="shared" si="2"/>
        <v/>
      </c>
      <c r="P9" s="23" t="str">
        <f t="shared" si="2"/>
        <v/>
      </c>
      <c r="Q9" s="23" t="str">
        <f t="shared" si="2"/>
        <v/>
      </c>
      <c r="R9" s="23" t="str">
        <f t="shared" si="2"/>
        <v/>
      </c>
      <c r="S9" s="23" t="str">
        <f t="shared" si="2"/>
        <v/>
      </c>
      <c r="T9" s="10" t="str">
        <f t="shared" si="3"/>
        <v/>
      </c>
      <c r="U9" s="21"/>
      <c r="V9" s="24"/>
      <c r="W9" s="25"/>
    </row>
    <row r="10" spans="1:23" ht="25" customHeight="1">
      <c r="A10" s="38">
        <v>45686</v>
      </c>
      <c r="B10" s="15" t="s">
        <v>336</v>
      </c>
      <c r="C10" s="16" t="s">
        <v>25</v>
      </c>
      <c r="D10" s="5">
        <v>0.55208333333333337</v>
      </c>
      <c r="E10" s="5">
        <v>0.65138888888888891</v>
      </c>
      <c r="F10" s="6" t="str">
        <f t="shared" si="0"/>
        <v>No</v>
      </c>
      <c r="G10" s="6">
        <f t="shared" si="4"/>
        <v>9.9305555555555536E-2</v>
      </c>
      <c r="H10" s="50">
        <f>_xlfn.IFNA(VLOOKUP(C:C,'Active Jobs'!B:K,8,0),"")</f>
        <v>220</v>
      </c>
      <c r="I10" s="8">
        <f t="shared" si="5"/>
        <v>2.3833333333333329</v>
      </c>
      <c r="J10" s="50">
        <f t="shared" si="6"/>
        <v>159.92333499999998</v>
      </c>
      <c r="K10" s="50">
        <f t="shared" si="1"/>
        <v>60.07666500000002</v>
      </c>
      <c r="L10" s="9">
        <f t="shared" si="7"/>
        <v>0.72692424999999994</v>
      </c>
      <c r="M10" s="16">
        <v>1</v>
      </c>
      <c r="O10" s="23" t="str">
        <f t="shared" si="2"/>
        <v/>
      </c>
      <c r="P10" s="23" t="str">
        <f t="shared" si="2"/>
        <v/>
      </c>
      <c r="Q10" s="23" t="str">
        <f t="shared" si="2"/>
        <v/>
      </c>
      <c r="R10" s="23" t="str">
        <f t="shared" si="2"/>
        <v/>
      </c>
      <c r="S10" s="23" t="str">
        <f t="shared" si="2"/>
        <v/>
      </c>
      <c r="T10" s="10" t="str">
        <f t="shared" si="3"/>
        <v/>
      </c>
      <c r="U10" s="21"/>
      <c r="V10" s="21"/>
      <c r="W10" s="10"/>
    </row>
    <row r="11" spans="1:23" ht="25" customHeight="1">
      <c r="A11" s="38">
        <v>45686</v>
      </c>
      <c r="B11" s="15" t="s">
        <v>336</v>
      </c>
      <c r="C11" s="16" t="s">
        <v>144</v>
      </c>
      <c r="D11" s="5">
        <v>0.65138888888888891</v>
      </c>
      <c r="E11" s="5">
        <v>0.72916666666666663</v>
      </c>
      <c r="F11" s="6" t="str">
        <f t="shared" si="0"/>
        <v>No</v>
      </c>
      <c r="G11" s="6">
        <f t="shared" si="4"/>
        <v>7.7777777777777724E-2</v>
      </c>
      <c r="H11" s="50">
        <f>_xlfn.IFNA(VLOOKUP(C:C,'Active Jobs'!B:K,8,0),"")</f>
        <v>250</v>
      </c>
      <c r="I11" s="8">
        <f t="shared" si="5"/>
        <v>1.8666666666666654</v>
      </c>
      <c r="J11" s="50">
        <f t="shared" si="6"/>
        <v>125.25463999999992</v>
      </c>
      <c r="K11" s="50">
        <f t="shared" si="1"/>
        <v>124.74536000000008</v>
      </c>
      <c r="L11" s="9">
        <f t="shared" si="7"/>
        <v>0.50101855999999967</v>
      </c>
      <c r="M11" s="16">
        <v>1</v>
      </c>
      <c r="O11" s="23" t="str">
        <f t="shared" si="2"/>
        <v/>
      </c>
      <c r="P11" s="23" t="str">
        <f t="shared" si="2"/>
        <v/>
      </c>
      <c r="Q11" s="23" t="str">
        <f t="shared" si="2"/>
        <v/>
      </c>
      <c r="R11" s="23" t="str">
        <f t="shared" si="2"/>
        <v/>
      </c>
      <c r="S11" s="23" t="str">
        <f t="shared" si="2"/>
        <v/>
      </c>
      <c r="T11" s="10" t="str">
        <f t="shared" si="3"/>
        <v/>
      </c>
      <c r="U11" s="21"/>
      <c r="V11" s="54"/>
      <c r="W11" s="21"/>
    </row>
    <row r="12" spans="1:23" ht="25" customHeight="1">
      <c r="A12" s="38">
        <v>45686</v>
      </c>
      <c r="B12" s="15" t="s">
        <v>84</v>
      </c>
      <c r="C12" s="16" t="s">
        <v>44</v>
      </c>
      <c r="D12" s="5">
        <v>0.36458333333333331</v>
      </c>
      <c r="E12" s="5">
        <v>0.44791666666666669</v>
      </c>
      <c r="F12" s="6" t="str">
        <f t="shared" si="0"/>
        <v>No</v>
      </c>
      <c r="G12" s="6">
        <f t="shared" si="4"/>
        <v>8.333333333333337E-2</v>
      </c>
      <c r="H12" s="50">
        <f>_xlfn.IFNA(VLOOKUP(C:C,'Active Jobs'!B:K,8,0),"")</f>
        <v>200</v>
      </c>
      <c r="I12" s="8">
        <f t="shared" si="5"/>
        <v>2.0000000000000009</v>
      </c>
      <c r="J12" s="50">
        <f t="shared" si="6"/>
        <v>134.20140000000006</v>
      </c>
      <c r="K12" s="50">
        <f t="shared" si="1"/>
        <v>65.798599999999936</v>
      </c>
      <c r="L12" s="9">
        <f t="shared" si="7"/>
        <v>0.67100700000000035</v>
      </c>
      <c r="M12" s="16">
        <v>2</v>
      </c>
      <c r="O12" s="23" t="str">
        <f t="shared" si="2"/>
        <v/>
      </c>
      <c r="P12" s="23" t="str">
        <f t="shared" si="2"/>
        <v/>
      </c>
      <c r="Q12" s="23" t="str">
        <f t="shared" si="2"/>
        <v/>
      </c>
      <c r="R12" s="23" t="str">
        <f t="shared" si="2"/>
        <v/>
      </c>
      <c r="S12" s="23" t="str">
        <f t="shared" si="2"/>
        <v/>
      </c>
      <c r="T12" s="10" t="str">
        <f t="shared" si="3"/>
        <v/>
      </c>
    </row>
    <row r="13" spans="1:23" ht="25" customHeight="1">
      <c r="A13" s="38">
        <v>45686</v>
      </c>
      <c r="B13" s="15" t="s">
        <v>84</v>
      </c>
      <c r="C13" s="16" t="s">
        <v>147</v>
      </c>
      <c r="D13" s="5">
        <v>0.44791666666666669</v>
      </c>
      <c r="E13" s="5">
        <v>0.54166666666666663</v>
      </c>
      <c r="F13" s="6" t="s">
        <v>17</v>
      </c>
      <c r="G13" s="6">
        <f t="shared" si="4"/>
        <v>7.2916666666666616E-2</v>
      </c>
      <c r="H13" s="50">
        <f>_xlfn.IFNA(VLOOKUP(C:C,'Active Jobs'!B:K,8,0),"")</f>
        <v>200</v>
      </c>
      <c r="I13" s="8">
        <f t="shared" si="5"/>
        <v>1.7499999999999987</v>
      </c>
      <c r="J13" s="50">
        <f t="shared" si="6"/>
        <v>117.4262249999999</v>
      </c>
      <c r="K13" s="50">
        <f t="shared" si="1"/>
        <v>82.573775000000097</v>
      </c>
      <c r="L13" s="9">
        <f t="shared" si="7"/>
        <v>0.58713112499999953</v>
      </c>
      <c r="M13" s="16">
        <v>2</v>
      </c>
      <c r="O13" s="23" t="str">
        <f t="shared" si="2"/>
        <v/>
      </c>
      <c r="P13" s="23" t="str">
        <f t="shared" si="2"/>
        <v/>
      </c>
      <c r="Q13" s="23" t="str">
        <f t="shared" si="2"/>
        <v/>
      </c>
      <c r="R13" s="23" t="str">
        <f t="shared" si="2"/>
        <v/>
      </c>
      <c r="S13" s="23" t="str">
        <f t="shared" si="2"/>
        <v/>
      </c>
      <c r="T13" s="10" t="str">
        <f t="shared" si="3"/>
        <v/>
      </c>
    </row>
    <row r="14" spans="1:23" ht="25" customHeight="1">
      <c r="A14" s="38">
        <v>45686</v>
      </c>
      <c r="B14" s="15" t="s">
        <v>84</v>
      </c>
      <c r="C14" s="16" t="s">
        <v>100</v>
      </c>
      <c r="D14" s="5">
        <v>0.54166666666666663</v>
      </c>
      <c r="E14" s="5">
        <v>0.625</v>
      </c>
      <c r="F14" s="6" t="str">
        <f t="shared" si="0"/>
        <v>No</v>
      </c>
      <c r="G14" s="6">
        <f t="shared" si="4"/>
        <v>8.333333333333337E-2</v>
      </c>
      <c r="H14" s="50">
        <f>_xlfn.IFNA(VLOOKUP(C:C,'Active Jobs'!B:K,8,0),"")</f>
        <v>200</v>
      </c>
      <c r="I14" s="8">
        <f t="shared" si="5"/>
        <v>2.0000000000000009</v>
      </c>
      <c r="J14" s="50">
        <f t="shared" si="6"/>
        <v>134.20140000000006</v>
      </c>
      <c r="K14" s="50">
        <f t="shared" si="1"/>
        <v>65.798599999999936</v>
      </c>
      <c r="L14" s="9">
        <f t="shared" si="7"/>
        <v>0.67100700000000035</v>
      </c>
      <c r="M14" s="16">
        <v>2</v>
      </c>
      <c r="O14" s="23" t="str">
        <f t="shared" si="2"/>
        <v/>
      </c>
      <c r="P14" s="23" t="str">
        <f t="shared" si="2"/>
        <v/>
      </c>
      <c r="Q14" s="23" t="str">
        <f t="shared" si="2"/>
        <v/>
      </c>
      <c r="R14" s="23" t="str">
        <f t="shared" si="2"/>
        <v/>
      </c>
      <c r="S14" s="23" t="str">
        <f t="shared" si="2"/>
        <v/>
      </c>
      <c r="T14" s="10" t="str">
        <f t="shared" si="3"/>
        <v/>
      </c>
    </row>
    <row r="15" spans="1:23" ht="25" customHeight="1">
      <c r="A15" s="38">
        <v>45686</v>
      </c>
      <c r="B15" s="15" t="s">
        <v>84</v>
      </c>
      <c r="C15" s="16" t="s">
        <v>146</v>
      </c>
      <c r="D15" s="5">
        <v>0.625</v>
      </c>
      <c r="E15" s="5">
        <v>0.70833333333333337</v>
      </c>
      <c r="F15" s="6" t="str">
        <f t="shared" si="0"/>
        <v>No</v>
      </c>
      <c r="G15" s="6">
        <f t="shared" si="4"/>
        <v>8.333333333333337E-2</v>
      </c>
      <c r="H15" s="50">
        <f>_xlfn.IFNA(VLOOKUP(C:C,'Active Jobs'!B:K,8,0),"")</f>
        <v>250</v>
      </c>
      <c r="I15" s="8">
        <f t="shared" si="5"/>
        <v>2.0000000000000009</v>
      </c>
      <c r="J15" s="50">
        <f t="shared" si="6"/>
        <v>134.20140000000006</v>
      </c>
      <c r="K15" s="50">
        <f t="shared" si="1"/>
        <v>115.79859999999994</v>
      </c>
      <c r="L15" s="9">
        <f t="shared" si="7"/>
        <v>0.53680560000000022</v>
      </c>
      <c r="M15" s="16">
        <v>2</v>
      </c>
      <c r="O15" s="23" t="str">
        <f t="shared" si="2"/>
        <v/>
      </c>
      <c r="P15" s="23" t="str">
        <f t="shared" si="2"/>
        <v/>
      </c>
      <c r="Q15" s="23" t="str">
        <f t="shared" si="2"/>
        <v/>
      </c>
      <c r="R15" s="23" t="str">
        <f t="shared" si="2"/>
        <v/>
      </c>
      <c r="S15" s="23" t="str">
        <f t="shared" si="2"/>
        <v/>
      </c>
      <c r="T15" s="74" t="str">
        <f t="shared" si="3"/>
        <v/>
      </c>
    </row>
    <row r="16" spans="1:23" ht="25" customHeight="1">
      <c r="A16" s="38">
        <v>45687</v>
      </c>
      <c r="B16" s="15" t="s">
        <v>339</v>
      </c>
      <c r="C16" s="16" t="s">
        <v>134</v>
      </c>
      <c r="D16" s="5">
        <v>0.35416666666666669</v>
      </c>
      <c r="E16" s="5">
        <v>0.45</v>
      </c>
      <c r="F16" s="6" t="str">
        <f t="shared" si="0"/>
        <v>No</v>
      </c>
      <c r="G16" s="6">
        <f t="shared" si="4"/>
        <v>9.5833333333333326E-2</v>
      </c>
      <c r="H16" s="50">
        <f>_xlfn.IFNA(VLOOKUP(C:C,'Active Jobs'!B:K,8,0),"")</f>
        <v>220</v>
      </c>
      <c r="I16" s="8">
        <f t="shared" si="5"/>
        <v>2.2999999999999998</v>
      </c>
      <c r="J16" s="50">
        <f t="shared" si="6"/>
        <v>154.33160999999998</v>
      </c>
      <c r="K16" s="50">
        <f t="shared" si="1"/>
        <v>65.668390000000016</v>
      </c>
      <c r="L16" s="9">
        <f t="shared" si="7"/>
        <v>0.70150731818181811</v>
      </c>
      <c r="M16" s="16">
        <v>2</v>
      </c>
      <c r="O16" s="23" t="str">
        <f t="shared" si="2"/>
        <v/>
      </c>
      <c r="P16" s="23" t="str">
        <f t="shared" si="2"/>
        <v/>
      </c>
      <c r="Q16" s="23" t="str">
        <f t="shared" si="2"/>
        <v/>
      </c>
      <c r="R16" s="23" t="str">
        <f t="shared" si="2"/>
        <v/>
      </c>
      <c r="S16" s="23" t="str">
        <f t="shared" si="2"/>
        <v/>
      </c>
      <c r="T16" s="74" t="str">
        <f t="shared" si="3"/>
        <v/>
      </c>
    </row>
    <row r="17" spans="1:20" ht="25" customHeight="1">
      <c r="A17" s="38">
        <v>45687</v>
      </c>
      <c r="B17" s="15" t="s">
        <v>339</v>
      </c>
      <c r="C17" s="16" t="s">
        <v>115</v>
      </c>
      <c r="D17" s="5">
        <v>0.45</v>
      </c>
      <c r="E17" s="5">
        <v>0.56388888888888888</v>
      </c>
      <c r="F17" s="6" t="s">
        <v>17</v>
      </c>
      <c r="G17" s="6">
        <f t="shared" si="4"/>
        <v>9.3055555555555544E-2</v>
      </c>
      <c r="H17" s="50">
        <f>_xlfn.IFNA(VLOOKUP(C:C,'Active Jobs'!B:K,8,0),"")</f>
        <v>230</v>
      </c>
      <c r="I17" s="8">
        <f t="shared" si="5"/>
        <v>2.2333333333333329</v>
      </c>
      <c r="J17" s="50">
        <f t="shared" si="6"/>
        <v>149.85822999999999</v>
      </c>
      <c r="K17" s="50">
        <f t="shared" si="1"/>
        <v>80.141770000000008</v>
      </c>
      <c r="L17" s="9">
        <f t="shared" si="7"/>
        <v>0.6515575217391304</v>
      </c>
      <c r="M17" s="16">
        <v>2</v>
      </c>
      <c r="O17" s="23" t="str">
        <f t="shared" si="2"/>
        <v/>
      </c>
      <c r="P17" s="23" t="str">
        <f t="shared" si="2"/>
        <v/>
      </c>
      <c r="Q17" s="23" t="str">
        <f t="shared" si="2"/>
        <v/>
      </c>
      <c r="R17" s="23" t="str">
        <f t="shared" si="2"/>
        <v/>
      </c>
      <c r="S17" s="23" t="str">
        <f t="shared" si="2"/>
        <v/>
      </c>
      <c r="T17" s="10" t="str">
        <f t="shared" si="3"/>
        <v/>
      </c>
    </row>
    <row r="18" spans="1:20" ht="25" customHeight="1">
      <c r="A18" s="38">
        <v>45687</v>
      </c>
      <c r="B18" s="15" t="s">
        <v>339</v>
      </c>
      <c r="C18" s="16" t="s">
        <v>51</v>
      </c>
      <c r="D18" s="5">
        <v>0.56388888888888888</v>
      </c>
      <c r="E18" s="5">
        <v>0.65902777777777777</v>
      </c>
      <c r="F18" s="6" t="str">
        <f t="shared" si="0"/>
        <v>No</v>
      </c>
      <c r="G18" s="6">
        <f t="shared" si="4"/>
        <v>9.5138888888888884E-2</v>
      </c>
      <c r="H18" s="50">
        <f>_xlfn.IFNA(VLOOKUP(C:C,'Active Jobs'!B:K,8,0),"")</f>
        <v>250</v>
      </c>
      <c r="I18" s="8">
        <f t="shared" si="5"/>
        <v>2.2833333333333332</v>
      </c>
      <c r="J18" s="50">
        <f t="shared" si="6"/>
        <v>153.21326500000001</v>
      </c>
      <c r="K18" s="50">
        <f t="shared" si="1"/>
        <v>96.786734999999993</v>
      </c>
      <c r="L18" s="9">
        <f t="shared" si="7"/>
        <v>0.61285306000000006</v>
      </c>
      <c r="M18" s="16">
        <v>2</v>
      </c>
      <c r="O18" s="23" t="str">
        <f t="shared" ref="O18:S33" si="8">IF(N18="","",ROUND(SUMIFS($I:$I,$A:$A,O$1,$B:$B,"*"&amp;$N18&amp;"*"),2))</f>
        <v/>
      </c>
      <c r="P18" s="23" t="str">
        <f t="shared" si="8"/>
        <v/>
      </c>
      <c r="Q18" s="23" t="str">
        <f t="shared" si="8"/>
        <v/>
      </c>
      <c r="R18" s="23" t="str">
        <f t="shared" si="8"/>
        <v/>
      </c>
      <c r="S18" s="23" t="str">
        <f t="shared" si="8"/>
        <v/>
      </c>
      <c r="T18" s="74" t="str">
        <f t="shared" si="3"/>
        <v/>
      </c>
    </row>
    <row r="19" spans="1:20" ht="25" customHeight="1">
      <c r="A19" s="38">
        <v>45687</v>
      </c>
      <c r="B19" s="15" t="s">
        <v>339</v>
      </c>
      <c r="C19" s="16" t="s">
        <v>184</v>
      </c>
      <c r="D19" s="5">
        <v>0.65902777777777777</v>
      </c>
      <c r="E19" s="5">
        <v>0.71805555555555556</v>
      </c>
      <c r="F19" s="6" t="str">
        <f t="shared" si="0"/>
        <v>No</v>
      </c>
      <c r="G19" s="6">
        <f t="shared" si="4"/>
        <v>5.902777777777779E-2</v>
      </c>
      <c r="H19" s="50">
        <f>_xlfn.IFNA(VLOOKUP(C:C,'Active Jobs'!B:K,8,0),"")</f>
        <v>200</v>
      </c>
      <c r="I19" s="8">
        <f t="shared" si="5"/>
        <v>1.416666666666667</v>
      </c>
      <c r="J19" s="50">
        <f t="shared" si="6"/>
        <v>95.05932500000003</v>
      </c>
      <c r="K19" s="50">
        <f t="shared" si="1"/>
        <v>104.94067499999997</v>
      </c>
      <c r="L19" s="9">
        <f t="shared" si="7"/>
        <v>0.47529662500000014</v>
      </c>
      <c r="M19" s="16">
        <v>2</v>
      </c>
      <c r="O19" s="23" t="str">
        <f t="shared" si="8"/>
        <v/>
      </c>
      <c r="P19" s="23" t="str">
        <f t="shared" si="8"/>
        <v/>
      </c>
      <c r="Q19" s="23" t="str">
        <f t="shared" si="8"/>
        <v/>
      </c>
      <c r="R19" s="23" t="str">
        <f t="shared" si="8"/>
        <v/>
      </c>
      <c r="S19" s="23" t="str">
        <f t="shared" si="8"/>
        <v/>
      </c>
      <c r="T19" s="74" t="str">
        <f t="shared" si="3"/>
        <v/>
      </c>
    </row>
    <row r="20" spans="1:20" ht="25" customHeight="1">
      <c r="A20" s="38">
        <v>45687</v>
      </c>
      <c r="B20" s="15" t="s">
        <v>336</v>
      </c>
      <c r="C20" s="16" t="s">
        <v>174</v>
      </c>
      <c r="D20" s="5">
        <v>0.3576388888888889</v>
      </c>
      <c r="E20" s="5">
        <v>0.47083333333333333</v>
      </c>
      <c r="F20" s="6" t="str">
        <f t="shared" si="0"/>
        <v>No</v>
      </c>
      <c r="G20" s="62">
        <f t="shared" si="4"/>
        <v>0.11319444444444443</v>
      </c>
      <c r="H20" s="50">
        <v>220</v>
      </c>
      <c r="I20" s="8">
        <f t="shared" si="5"/>
        <v>2.7166666666666663</v>
      </c>
      <c r="J20" s="50">
        <f t="shared" si="6"/>
        <v>182.29023499999997</v>
      </c>
      <c r="K20" s="50">
        <f t="shared" si="1"/>
        <v>37.709765000000033</v>
      </c>
      <c r="L20" s="9">
        <f t="shared" si="7"/>
        <v>0.82859197727272715</v>
      </c>
      <c r="M20" s="16">
        <v>1</v>
      </c>
      <c r="O20" s="23" t="str">
        <f t="shared" si="8"/>
        <v/>
      </c>
      <c r="P20" s="23" t="str">
        <f t="shared" si="8"/>
        <v/>
      </c>
      <c r="Q20" s="23" t="str">
        <f t="shared" si="8"/>
        <v/>
      </c>
      <c r="R20" s="23" t="str">
        <f t="shared" si="8"/>
        <v/>
      </c>
      <c r="S20" s="23" t="str">
        <f t="shared" si="8"/>
        <v/>
      </c>
      <c r="T20" s="74" t="str">
        <f t="shared" si="3"/>
        <v/>
      </c>
    </row>
    <row r="21" spans="1:20" ht="25" customHeight="1">
      <c r="A21" s="38">
        <v>45687</v>
      </c>
      <c r="B21" s="15" t="s">
        <v>336</v>
      </c>
      <c r="C21" s="16" t="s">
        <v>135</v>
      </c>
      <c r="D21" s="5">
        <v>0.47083333333333333</v>
      </c>
      <c r="E21" s="5">
        <v>0.57291666666666663</v>
      </c>
      <c r="F21" s="6" t="s">
        <v>17</v>
      </c>
      <c r="G21" s="6">
        <f t="shared" si="4"/>
        <v>8.1249999999999975E-2</v>
      </c>
      <c r="H21" s="50">
        <v>220</v>
      </c>
      <c r="I21" s="8">
        <f t="shared" si="5"/>
        <v>1.9499999999999993</v>
      </c>
      <c r="J21" s="50">
        <f t="shared" si="6"/>
        <v>130.84636499999996</v>
      </c>
      <c r="K21" s="50">
        <f t="shared" si="1"/>
        <v>89.153635000000037</v>
      </c>
      <c r="L21" s="9">
        <f t="shared" si="7"/>
        <v>0.59475620454545441</v>
      </c>
      <c r="M21" s="16">
        <v>1</v>
      </c>
      <c r="O21" s="23" t="str">
        <f t="shared" si="8"/>
        <v/>
      </c>
      <c r="P21" s="23" t="str">
        <f t="shared" si="8"/>
        <v/>
      </c>
      <c r="Q21" s="23" t="str">
        <f t="shared" si="8"/>
        <v/>
      </c>
      <c r="R21" s="23" t="str">
        <f t="shared" si="8"/>
        <v/>
      </c>
      <c r="S21" s="23" t="str">
        <f t="shared" si="8"/>
        <v/>
      </c>
      <c r="T21" s="74" t="str">
        <f t="shared" si="3"/>
        <v/>
      </c>
    </row>
    <row r="22" spans="1:20" ht="25" customHeight="1">
      <c r="A22" s="38">
        <v>45687</v>
      </c>
      <c r="B22" s="15" t="s">
        <v>336</v>
      </c>
      <c r="C22" s="16" t="s">
        <v>152</v>
      </c>
      <c r="D22" s="5">
        <v>0.57291666666666663</v>
      </c>
      <c r="E22" s="5">
        <v>0.65972222222222221</v>
      </c>
      <c r="F22" s="6" t="str">
        <f t="shared" si="0"/>
        <v>No</v>
      </c>
      <c r="G22" s="6">
        <f t="shared" si="4"/>
        <v>8.680555555555558E-2</v>
      </c>
      <c r="H22" s="50">
        <f>_xlfn.IFNA(VLOOKUP(C:C,'Active Jobs'!B:K,8,0),"")</f>
        <v>220</v>
      </c>
      <c r="I22" s="8">
        <f t="shared" si="5"/>
        <v>2.0833333333333339</v>
      </c>
      <c r="J22" s="50">
        <f t="shared" si="6"/>
        <v>139.79312500000003</v>
      </c>
      <c r="K22" s="50">
        <f t="shared" si="1"/>
        <v>80.206874999999968</v>
      </c>
      <c r="L22" s="9">
        <f t="shared" si="7"/>
        <v>0.63542329545454557</v>
      </c>
      <c r="M22" s="16">
        <v>1</v>
      </c>
      <c r="O22" s="23" t="str">
        <f t="shared" si="8"/>
        <v/>
      </c>
      <c r="P22" s="23" t="str">
        <f t="shared" si="8"/>
        <v/>
      </c>
      <c r="Q22" s="23" t="str">
        <f t="shared" si="8"/>
        <v/>
      </c>
      <c r="R22" s="23" t="str">
        <f t="shared" si="8"/>
        <v/>
      </c>
      <c r="S22" s="23" t="str">
        <f t="shared" si="8"/>
        <v/>
      </c>
      <c r="T22" s="74" t="str">
        <f t="shared" si="3"/>
        <v/>
      </c>
    </row>
    <row r="23" spans="1:20" ht="25" customHeight="1">
      <c r="A23" s="38">
        <v>45687</v>
      </c>
      <c r="B23" s="15" t="s">
        <v>336</v>
      </c>
      <c r="C23" s="16" t="s">
        <v>185</v>
      </c>
      <c r="D23" s="5">
        <v>0.65972222222222221</v>
      </c>
      <c r="E23" s="5">
        <v>0.73611111111111116</v>
      </c>
      <c r="F23" s="6" t="str">
        <f t="shared" si="0"/>
        <v>No</v>
      </c>
      <c r="G23" s="6">
        <f t="shared" si="4"/>
        <v>7.6388888888888951E-2</v>
      </c>
      <c r="H23" s="50" t="str">
        <f>_xlfn.IFNA(VLOOKUP(C:C,'Active Jobs'!B:K,8,0),"")</f>
        <v/>
      </c>
      <c r="I23" s="8">
        <f t="shared" si="5"/>
        <v>1.8333333333333348</v>
      </c>
      <c r="J23" s="50">
        <f t="shared" si="6"/>
        <v>123.0179500000001</v>
      </c>
      <c r="K23" s="50" t="str">
        <f t="shared" si="1"/>
        <v/>
      </c>
      <c r="L23" s="9" t="str">
        <f t="shared" si="7"/>
        <v/>
      </c>
      <c r="M23" s="16">
        <v>1</v>
      </c>
      <c r="O23" s="23" t="str">
        <f t="shared" si="8"/>
        <v/>
      </c>
      <c r="P23" s="23" t="str">
        <f t="shared" si="8"/>
        <v/>
      </c>
      <c r="Q23" s="23" t="str">
        <f t="shared" si="8"/>
        <v/>
      </c>
      <c r="R23" s="23" t="str">
        <f t="shared" si="8"/>
        <v/>
      </c>
      <c r="S23" s="23" t="str">
        <f t="shared" si="8"/>
        <v/>
      </c>
      <c r="T23" s="74" t="str">
        <f t="shared" si="3"/>
        <v/>
      </c>
    </row>
    <row r="24" spans="1:20" ht="25" customHeight="1">
      <c r="A24" s="38">
        <v>45688</v>
      </c>
      <c r="B24" s="15" t="s">
        <v>339</v>
      </c>
      <c r="C24" s="16" t="s">
        <v>126</v>
      </c>
      <c r="D24" s="5">
        <v>0.35416666666666669</v>
      </c>
      <c r="E24" s="5">
        <v>0.45833333333333331</v>
      </c>
      <c r="F24" s="6" t="str">
        <f t="shared" si="0"/>
        <v>No</v>
      </c>
      <c r="G24" s="6">
        <f t="shared" si="4"/>
        <v>0.10416666666666663</v>
      </c>
      <c r="H24" s="50">
        <f>_xlfn.IFNA(VLOOKUP(C:C,'Active Jobs'!B:K,8,0),"")</f>
        <v>250</v>
      </c>
      <c r="I24" s="8">
        <f t="shared" si="5"/>
        <v>2.4999999999999991</v>
      </c>
      <c r="J24" s="50">
        <f t="shared" si="6"/>
        <v>167.75174999999993</v>
      </c>
      <c r="K24" s="50">
        <f t="shared" si="1"/>
        <v>82.24825000000007</v>
      </c>
      <c r="L24" s="9">
        <f t="shared" si="7"/>
        <v>0.67100699999999969</v>
      </c>
      <c r="M24" s="16">
        <v>2</v>
      </c>
      <c r="O24" s="23" t="str">
        <f t="shared" si="8"/>
        <v/>
      </c>
      <c r="P24" s="23" t="str">
        <f t="shared" si="8"/>
        <v/>
      </c>
      <c r="Q24" s="23" t="str">
        <f t="shared" si="8"/>
        <v/>
      </c>
      <c r="R24" s="23" t="str">
        <f t="shared" si="8"/>
        <v/>
      </c>
      <c r="S24" s="23" t="str">
        <f t="shared" si="8"/>
        <v/>
      </c>
      <c r="T24" s="74" t="str">
        <f t="shared" si="3"/>
        <v/>
      </c>
    </row>
    <row r="25" spans="1:20" ht="25" customHeight="1">
      <c r="A25" s="38">
        <v>45688</v>
      </c>
      <c r="B25" s="15" t="s">
        <v>339</v>
      </c>
      <c r="C25" s="16" t="s">
        <v>155</v>
      </c>
      <c r="D25" s="5">
        <v>0.46111111111111114</v>
      </c>
      <c r="E25" s="5">
        <v>0.56527777777777777</v>
      </c>
      <c r="F25" s="6" t="s">
        <v>17</v>
      </c>
      <c r="G25" s="6">
        <f t="shared" si="4"/>
        <v>8.3333333333333301E-2</v>
      </c>
      <c r="H25" s="50">
        <f>_xlfn.IFNA(VLOOKUP(C:C,'Active Jobs'!B:K,8,0),"")</f>
        <v>220</v>
      </c>
      <c r="I25" s="8">
        <f t="shared" si="5"/>
        <v>1.9999999999999991</v>
      </c>
      <c r="J25" s="50">
        <f t="shared" si="6"/>
        <v>134.20139999999992</v>
      </c>
      <c r="K25" s="50">
        <f t="shared" si="1"/>
        <v>85.798600000000079</v>
      </c>
      <c r="L25" s="9">
        <f t="shared" si="7"/>
        <v>0.61000636363636329</v>
      </c>
      <c r="M25" s="16">
        <v>2</v>
      </c>
      <c r="O25" s="23" t="str">
        <f t="shared" si="8"/>
        <v/>
      </c>
      <c r="P25" s="23" t="str">
        <f t="shared" si="8"/>
        <v/>
      </c>
      <c r="Q25" s="23" t="str">
        <f t="shared" si="8"/>
        <v/>
      </c>
      <c r="R25" s="23" t="str">
        <f t="shared" si="8"/>
        <v/>
      </c>
      <c r="S25" s="23" t="str">
        <f t="shared" si="8"/>
        <v/>
      </c>
      <c r="T25" s="74" t="str">
        <f t="shared" si="3"/>
        <v/>
      </c>
    </row>
    <row r="26" spans="1:20" ht="25" customHeight="1">
      <c r="A26" s="38">
        <v>45688</v>
      </c>
      <c r="B26" s="15" t="s">
        <v>339</v>
      </c>
      <c r="C26" s="16" t="s">
        <v>124</v>
      </c>
      <c r="D26" s="5">
        <v>0.56527777777777777</v>
      </c>
      <c r="E26" s="5">
        <v>0.65277777777777779</v>
      </c>
      <c r="F26" s="6" t="str">
        <f t="shared" si="0"/>
        <v>No</v>
      </c>
      <c r="G26" s="6">
        <f t="shared" si="4"/>
        <v>8.7500000000000022E-2</v>
      </c>
      <c r="H26" s="50">
        <f>_xlfn.IFNA(VLOOKUP(C:C,'Active Jobs'!B:K,8,0),"")</f>
        <v>250</v>
      </c>
      <c r="I26" s="8">
        <f t="shared" si="5"/>
        <v>2.1000000000000005</v>
      </c>
      <c r="J26" s="50">
        <f t="shared" si="6"/>
        <v>140.91147000000004</v>
      </c>
      <c r="K26" s="50">
        <f t="shared" si="1"/>
        <v>109.08852999999996</v>
      </c>
      <c r="L26" s="9">
        <f t="shared" si="7"/>
        <v>0.56364588000000015</v>
      </c>
      <c r="M26" s="16">
        <v>2</v>
      </c>
      <c r="O26" s="23" t="str">
        <f t="shared" si="8"/>
        <v/>
      </c>
      <c r="P26" s="23" t="str">
        <f t="shared" si="8"/>
        <v/>
      </c>
      <c r="Q26" s="23" t="str">
        <f t="shared" si="8"/>
        <v/>
      </c>
      <c r="R26" s="23" t="str">
        <f t="shared" si="8"/>
        <v/>
      </c>
      <c r="S26" s="23" t="str">
        <f t="shared" si="8"/>
        <v/>
      </c>
      <c r="T26" s="74" t="str">
        <f t="shared" si="3"/>
        <v/>
      </c>
    </row>
    <row r="27" spans="1:20" ht="25" customHeight="1">
      <c r="A27" s="38">
        <v>45688</v>
      </c>
      <c r="B27" s="15" t="s">
        <v>336</v>
      </c>
      <c r="C27" s="16" t="s">
        <v>55</v>
      </c>
      <c r="D27" s="5">
        <v>0.35416666666666669</v>
      </c>
      <c r="E27" s="5">
        <v>0.46666666666666667</v>
      </c>
      <c r="F27" s="6" t="str">
        <f t="shared" si="0"/>
        <v>No</v>
      </c>
      <c r="G27" s="6">
        <f t="shared" si="4"/>
        <v>0.11249999999999999</v>
      </c>
      <c r="H27" s="50">
        <f>_xlfn.IFNA(VLOOKUP(C:C,'Active Jobs'!B:K,8,0),"")</f>
        <v>220</v>
      </c>
      <c r="I27" s="8">
        <f t="shared" si="5"/>
        <v>2.6999999999999997</v>
      </c>
      <c r="J27" s="50">
        <f t="shared" si="6"/>
        <v>181.17188999999999</v>
      </c>
      <c r="K27" s="50">
        <f t="shared" si="1"/>
        <v>38.828110000000009</v>
      </c>
      <c r="L27" s="9">
        <f t="shared" si="7"/>
        <v>0.8235085909090909</v>
      </c>
      <c r="M27" s="16">
        <v>1</v>
      </c>
      <c r="O27" s="23" t="str">
        <f t="shared" si="8"/>
        <v/>
      </c>
      <c r="P27" s="23" t="str">
        <f t="shared" si="8"/>
        <v/>
      </c>
      <c r="Q27" s="23" t="str">
        <f t="shared" si="8"/>
        <v/>
      </c>
      <c r="R27" s="23" t="str">
        <f t="shared" si="8"/>
        <v/>
      </c>
      <c r="S27" s="23" t="str">
        <f t="shared" si="8"/>
        <v/>
      </c>
      <c r="T27" s="74" t="str">
        <f t="shared" si="3"/>
        <v/>
      </c>
    </row>
    <row r="28" spans="1:20" ht="25" customHeight="1">
      <c r="A28" s="38">
        <v>45688</v>
      </c>
      <c r="B28" s="15" t="s">
        <v>336</v>
      </c>
      <c r="C28" s="16" t="s">
        <v>47</v>
      </c>
      <c r="D28" s="5">
        <v>0.46666666666666667</v>
      </c>
      <c r="E28" s="5">
        <v>0.5625</v>
      </c>
      <c r="F28" s="6" t="s">
        <v>17</v>
      </c>
      <c r="G28" s="6">
        <f t="shared" si="4"/>
        <v>7.4999999999999997E-2</v>
      </c>
      <c r="H28" s="50">
        <f>_xlfn.IFNA(VLOOKUP(C:C,'Active Jobs'!B:K,8,0),"")</f>
        <v>200</v>
      </c>
      <c r="I28" s="8">
        <f t="shared" si="5"/>
        <v>1.7999999999999998</v>
      </c>
      <c r="J28" s="50">
        <f t="shared" si="6"/>
        <v>120.78125999999997</v>
      </c>
      <c r="K28" s="50">
        <f t="shared" si="1"/>
        <v>79.218740000000025</v>
      </c>
      <c r="L28" s="9">
        <f t="shared" si="7"/>
        <v>0.6039062999999999</v>
      </c>
      <c r="M28" s="16">
        <v>1</v>
      </c>
      <c r="O28" s="23" t="str">
        <f t="shared" si="8"/>
        <v/>
      </c>
      <c r="P28" s="23" t="str">
        <f t="shared" si="8"/>
        <v/>
      </c>
      <c r="Q28" s="23" t="str">
        <f t="shared" si="8"/>
        <v/>
      </c>
      <c r="R28" s="23" t="str">
        <f t="shared" si="8"/>
        <v/>
      </c>
      <c r="S28" s="23" t="str">
        <f t="shared" si="8"/>
        <v/>
      </c>
      <c r="T28" s="74" t="str">
        <f t="shared" si="3"/>
        <v/>
      </c>
    </row>
    <row r="29" spans="1:20" ht="25" customHeight="1">
      <c r="A29" s="38">
        <v>45688</v>
      </c>
      <c r="B29" s="15" t="s">
        <v>336</v>
      </c>
      <c r="C29" s="16" t="s">
        <v>140</v>
      </c>
      <c r="D29" s="5">
        <v>0.5625</v>
      </c>
      <c r="E29" s="5">
        <v>0.62083333333333335</v>
      </c>
      <c r="F29" s="6" t="str">
        <f t="shared" si="0"/>
        <v>No</v>
      </c>
      <c r="G29" s="6">
        <f t="shared" si="4"/>
        <v>5.8333333333333348E-2</v>
      </c>
      <c r="H29" s="50">
        <f>_xlfn.IFNA(VLOOKUP(C:C,'Active Jobs'!B:K,8,0),"")</f>
        <v>215</v>
      </c>
      <c r="I29" s="8">
        <f t="shared" si="5"/>
        <v>1.4000000000000004</v>
      </c>
      <c r="J29" s="50">
        <f t="shared" si="6"/>
        <v>93.940980000000025</v>
      </c>
      <c r="K29" s="50">
        <f t="shared" si="1"/>
        <v>121.05901999999998</v>
      </c>
      <c r="L29" s="9">
        <f t="shared" si="7"/>
        <v>0.43693479069767455</v>
      </c>
      <c r="M29" s="16">
        <v>1</v>
      </c>
      <c r="O29" s="23" t="str">
        <f t="shared" si="8"/>
        <v/>
      </c>
      <c r="P29" s="23" t="str">
        <f t="shared" si="8"/>
        <v/>
      </c>
      <c r="Q29" s="23" t="str">
        <f t="shared" si="8"/>
        <v/>
      </c>
      <c r="R29" s="23" t="str">
        <f t="shared" si="8"/>
        <v/>
      </c>
      <c r="S29" s="23" t="str">
        <f t="shared" si="8"/>
        <v/>
      </c>
      <c r="T29" s="74" t="str">
        <f t="shared" si="3"/>
        <v/>
      </c>
    </row>
    <row r="30" spans="1:20" ht="25" customHeight="1">
      <c r="B30" s="15"/>
      <c r="D30" s="5"/>
      <c r="E30" s="5"/>
      <c r="F30" s="6" t="str">
        <f t="shared" si="0"/>
        <v/>
      </c>
      <c r="G30" s="6" t="str">
        <f>IF(E30="","",IF(F30="Yes",(E30-D30)-TIME(0,30,0),E30-D30))</f>
        <v/>
      </c>
      <c r="H30" s="50" t="str">
        <f>_xlfn.IFNA(VLOOKUP(C:C,'Active Jobs'!B:K,8,0),"")</f>
        <v/>
      </c>
      <c r="I30" s="8" t="str">
        <f>IF(F30="Yes",(E30-D30)*24-0.5,IF(F30="No",(E30-D30)*24,""))</f>
        <v/>
      </c>
      <c r="J30" s="50" t="str">
        <f>IF(G30="","",G30*24*HourlyRate*2*(1+Super))</f>
        <v/>
      </c>
      <c r="K30" s="50" t="str">
        <f t="shared" si="1"/>
        <v/>
      </c>
      <c r="L30" s="9" t="str">
        <f>IF(K30="","",IF(H30=0,1,J30/H30))</f>
        <v/>
      </c>
      <c r="O30" s="23" t="str">
        <f t="shared" si="8"/>
        <v/>
      </c>
      <c r="P30" s="23" t="str">
        <f t="shared" si="8"/>
        <v/>
      </c>
      <c r="Q30" s="23" t="str">
        <f t="shared" si="8"/>
        <v/>
      </c>
      <c r="R30" s="23" t="str">
        <f t="shared" si="8"/>
        <v/>
      </c>
      <c r="S30" s="23" t="str">
        <f t="shared" si="8"/>
        <v/>
      </c>
      <c r="T30" s="74" t="str">
        <f t="shared" si="3"/>
        <v/>
      </c>
    </row>
    <row r="31" spans="1:20" ht="25" customHeight="1">
      <c r="B31" s="15"/>
      <c r="C31" s="49"/>
      <c r="D31" s="5"/>
      <c r="E31" s="5"/>
      <c r="F31" s="6" t="str">
        <f t="shared" si="0"/>
        <v/>
      </c>
      <c r="G31" s="6" t="str">
        <f t="shared" si="4"/>
        <v/>
      </c>
      <c r="H31" s="50" t="str">
        <f>_xlfn.IFNA(VLOOKUP(C:C,'Active Jobs'!B:K,8,0),"")</f>
        <v/>
      </c>
      <c r="I31" s="8" t="str">
        <f t="shared" si="5"/>
        <v/>
      </c>
      <c r="J31" s="50" t="str">
        <f t="shared" si="6"/>
        <v/>
      </c>
      <c r="K31" s="50" t="str">
        <f t="shared" si="1"/>
        <v/>
      </c>
      <c r="L31" s="9" t="str">
        <f t="shared" si="7"/>
        <v/>
      </c>
      <c r="O31" s="23" t="str">
        <f t="shared" si="8"/>
        <v/>
      </c>
      <c r="P31" s="23" t="str">
        <f t="shared" si="8"/>
        <v/>
      </c>
      <c r="Q31" s="23" t="str">
        <f t="shared" si="8"/>
        <v/>
      </c>
      <c r="R31" s="23" t="str">
        <f t="shared" si="8"/>
        <v/>
      </c>
      <c r="S31" s="23" t="str">
        <f t="shared" si="8"/>
        <v/>
      </c>
      <c r="T31" s="74" t="str">
        <f t="shared" si="3"/>
        <v/>
      </c>
    </row>
    <row r="32" spans="1:20" ht="25" customHeight="1">
      <c r="A32" s="39"/>
      <c r="B32" s="29"/>
      <c r="C32" s="30"/>
      <c r="D32" s="1"/>
      <c r="E32" s="1"/>
      <c r="F32" s="31"/>
      <c r="G32" s="32"/>
      <c r="H32" s="53">
        <f>SUBTOTAL(109,Table2261210141620[Quoted])</f>
        <v>6105</v>
      </c>
      <c r="I32" s="34">
        <f>SUBTOTAL(109,Table2261210141620[Hours Payable])</f>
        <v>59.533333333333331</v>
      </c>
      <c r="J32" s="53">
        <f>SUBTOTAL(109,Table2261210141620[Wages (Incl. Super)])</f>
        <v>3894.0772899999997</v>
      </c>
      <c r="K32" s="53">
        <f>SUBTOTAL(109,Table2261210141620[Profit])</f>
        <v>2333.9406599999998</v>
      </c>
      <c r="L32" s="35">
        <f>IF(L2="","",SUBTOTAL(101,Table2261210141620[Quote/Wages]))</f>
        <v>0.63472648222855432</v>
      </c>
      <c r="O32" s="23" t="str">
        <f t="shared" si="8"/>
        <v/>
      </c>
      <c r="P32" s="23" t="str">
        <f t="shared" si="8"/>
        <v/>
      </c>
      <c r="Q32" s="23" t="str">
        <f t="shared" si="8"/>
        <v/>
      </c>
      <c r="R32" s="23" t="str">
        <f t="shared" si="8"/>
        <v/>
      </c>
      <c r="S32" s="23" t="str">
        <f t="shared" si="8"/>
        <v/>
      </c>
      <c r="T32" s="74" t="str">
        <f t="shared" si="3"/>
        <v/>
      </c>
    </row>
    <row r="33" spans="15:20" ht="25" customHeight="1">
      <c r="O33" s="23" t="str">
        <f t="shared" si="8"/>
        <v/>
      </c>
      <c r="P33" s="23" t="str">
        <f t="shared" si="8"/>
        <v/>
      </c>
      <c r="Q33" s="23" t="str">
        <f t="shared" si="8"/>
        <v/>
      </c>
      <c r="R33" s="23" t="str">
        <f t="shared" si="8"/>
        <v/>
      </c>
      <c r="S33" s="23" t="str">
        <f t="shared" si="8"/>
        <v/>
      </c>
      <c r="T33" s="74" t="str">
        <f t="shared" si="3"/>
        <v/>
      </c>
    </row>
    <row r="34" spans="15:20" ht="25" customHeight="1">
      <c r="O34" s="23" t="str">
        <f t="shared" ref="O34:S42" si="9">IF(N34="","",ROUND(SUMIFS($I:$I,$A:$A,O$1,$B:$B,"*"&amp;$N34&amp;"*"),2))</f>
        <v/>
      </c>
      <c r="P34" s="23" t="str">
        <f t="shared" si="9"/>
        <v/>
      </c>
      <c r="Q34" s="23" t="str">
        <f t="shared" si="9"/>
        <v/>
      </c>
      <c r="R34" s="23" t="str">
        <f t="shared" si="9"/>
        <v/>
      </c>
      <c r="S34" s="23" t="str">
        <f t="shared" si="9"/>
        <v/>
      </c>
      <c r="T34" s="74" t="str">
        <f t="shared" si="3"/>
        <v/>
      </c>
    </row>
    <row r="35" spans="15:20" ht="25" customHeight="1">
      <c r="O35" s="23" t="str">
        <f t="shared" si="9"/>
        <v/>
      </c>
      <c r="P35" s="23" t="str">
        <f t="shared" si="9"/>
        <v/>
      </c>
      <c r="Q35" s="23" t="str">
        <f t="shared" si="9"/>
        <v/>
      </c>
      <c r="R35" s="23" t="str">
        <f t="shared" si="9"/>
        <v/>
      </c>
      <c r="S35" s="23" t="str">
        <f t="shared" si="9"/>
        <v/>
      </c>
      <c r="T35" s="74" t="str">
        <f t="shared" si="3"/>
        <v/>
      </c>
    </row>
    <row r="36" spans="15:20" ht="25" customHeight="1">
      <c r="O36" s="23" t="str">
        <f t="shared" si="9"/>
        <v/>
      </c>
      <c r="P36" s="23" t="str">
        <f t="shared" si="9"/>
        <v/>
      </c>
      <c r="Q36" s="23" t="str">
        <f t="shared" si="9"/>
        <v/>
      </c>
      <c r="R36" s="23" t="str">
        <f t="shared" si="9"/>
        <v/>
      </c>
      <c r="S36" s="23" t="str">
        <f t="shared" si="9"/>
        <v/>
      </c>
      <c r="T36" s="74" t="str">
        <f t="shared" si="3"/>
        <v/>
      </c>
    </row>
    <row r="37" spans="15:20" ht="25" customHeight="1">
      <c r="O37" s="23" t="str">
        <f t="shared" si="9"/>
        <v/>
      </c>
      <c r="P37" s="23" t="str">
        <f t="shared" si="9"/>
        <v/>
      </c>
      <c r="Q37" s="23" t="str">
        <f t="shared" si="9"/>
        <v/>
      </c>
      <c r="R37" s="23" t="str">
        <f t="shared" si="9"/>
        <v/>
      </c>
      <c r="S37" s="23" t="str">
        <f t="shared" si="9"/>
        <v/>
      </c>
      <c r="T37" s="74" t="str">
        <f t="shared" si="3"/>
        <v/>
      </c>
    </row>
    <row r="38" spans="15:20" ht="25" customHeight="1">
      <c r="O38" s="23" t="str">
        <f t="shared" si="9"/>
        <v/>
      </c>
      <c r="P38" s="23" t="str">
        <f t="shared" si="9"/>
        <v/>
      </c>
      <c r="Q38" s="23" t="str">
        <f t="shared" si="9"/>
        <v/>
      </c>
      <c r="R38" s="23" t="str">
        <f t="shared" si="9"/>
        <v/>
      </c>
      <c r="S38" s="23" t="str">
        <f t="shared" si="9"/>
        <v/>
      </c>
      <c r="T38" s="74" t="str">
        <f t="shared" si="3"/>
        <v/>
      </c>
    </row>
    <row r="39" spans="15:20" ht="25" customHeight="1">
      <c r="O39" s="23" t="str">
        <f t="shared" si="9"/>
        <v/>
      </c>
      <c r="P39" s="23" t="str">
        <f t="shared" si="9"/>
        <v/>
      </c>
      <c r="Q39" s="23" t="str">
        <f t="shared" si="9"/>
        <v/>
      </c>
      <c r="R39" s="23" t="str">
        <f t="shared" si="9"/>
        <v/>
      </c>
      <c r="S39" s="23" t="str">
        <f t="shared" si="9"/>
        <v/>
      </c>
      <c r="T39" s="74" t="str">
        <f t="shared" si="3"/>
        <v/>
      </c>
    </row>
    <row r="40" spans="15:20" ht="25" customHeight="1">
      <c r="O40" s="23" t="str">
        <f t="shared" si="9"/>
        <v/>
      </c>
      <c r="P40" s="23" t="str">
        <f t="shared" si="9"/>
        <v/>
      </c>
      <c r="Q40" s="23" t="str">
        <f t="shared" si="9"/>
        <v/>
      </c>
      <c r="R40" s="23" t="str">
        <f t="shared" si="9"/>
        <v/>
      </c>
      <c r="S40" s="23" t="str">
        <f t="shared" si="9"/>
        <v/>
      </c>
      <c r="T40" s="74" t="str">
        <f t="shared" si="3"/>
        <v/>
      </c>
    </row>
    <row r="41" spans="15:20" ht="25" customHeight="1">
      <c r="O41" s="23" t="str">
        <f t="shared" si="9"/>
        <v/>
      </c>
      <c r="P41" s="23" t="str">
        <f t="shared" si="9"/>
        <v/>
      </c>
      <c r="Q41" s="23" t="str">
        <f t="shared" si="9"/>
        <v/>
      </c>
      <c r="R41" s="23" t="str">
        <f t="shared" si="9"/>
        <v/>
      </c>
      <c r="S41" s="23" t="str">
        <f t="shared" si="9"/>
        <v/>
      </c>
      <c r="T41" s="74" t="str">
        <f t="shared" si="3"/>
        <v/>
      </c>
    </row>
    <row r="42" spans="15:20" ht="25" customHeight="1">
      <c r="O42" s="23" t="str">
        <f t="shared" si="9"/>
        <v/>
      </c>
      <c r="P42" s="23" t="str">
        <f t="shared" si="9"/>
        <v/>
      </c>
      <c r="Q42" s="23" t="str">
        <f t="shared" si="9"/>
        <v/>
      </c>
      <c r="R42" s="23" t="str">
        <f t="shared" si="9"/>
        <v/>
      </c>
      <c r="S42" s="23" t="str">
        <f t="shared" si="9"/>
        <v/>
      </c>
      <c r="T42" s="74" t="str">
        <f t="shared" si="3"/>
        <v/>
      </c>
    </row>
  </sheetData>
  <conditionalFormatting sqref="B33:B253 B1:B31">
    <cfRule type="expression" dxfId="32" priority="1">
      <formula>AND(ROW()&gt;1, E1&lt;&gt;"", COUNTIFS(A:A, $A1, B:B, $B1, F:F, "Yes")=0)</formula>
    </cfRule>
  </conditionalFormatting>
  <conditionalFormatting sqref="F1:F31 F33:F253">
    <cfRule type="expression" dxfId="31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1" xr:uid="{D782FAF3-4069-47AD-A854-DCCE872B9D56}">
      <formula1>"No, Yes"</formula1>
    </dataValidation>
    <dataValidation type="list" allowBlank="1" showErrorMessage="1" promptTitle="Select" sqref="B2:B31" xr:uid="{C9B3AA8D-F97E-414D-A3A5-FD961BE623D4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BFFD3D5-1807-4BD3-9094-228DDF6AD15D}">
          <x14:formula1>
            <xm:f>'Active Jobs'!$B$2:$B$154</xm:f>
          </x14:formula1>
          <xm:sqref>C2:C31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00C2-E4C7-4D46-8D34-848351A6EFB5}">
  <sheetPr codeName="Sheet2"/>
  <dimension ref="A1:W44"/>
  <sheetViews>
    <sheetView zoomScale="125" zoomScaleNormal="125" workbookViewId="0">
      <selection activeCell="F15" sqref="F15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8.855468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63" cm="1">
        <f t="array" ref="O1:S1">IF(B2="","",TRANSPOSE(_xlfn._xlws.FILTER(_xlfn.UNIQUE(A2:A205), _xlfn.UNIQUE(A2:A205)&lt;&gt;"")))</f>
        <v>45677</v>
      </c>
      <c r="P1" s="63">
        <v>45678</v>
      </c>
      <c r="Q1" s="63">
        <v>45679</v>
      </c>
      <c r="R1" s="63">
        <v>45680</v>
      </c>
      <c r="S1" s="63">
        <v>45681</v>
      </c>
      <c r="T1" s="64" t="s">
        <v>14</v>
      </c>
      <c r="U1" s="22"/>
      <c r="V1" s="22" t="s">
        <v>15</v>
      </c>
      <c r="W1" s="20" t="s">
        <v>16</v>
      </c>
    </row>
    <row r="2" spans="1:23" ht="25" customHeight="1">
      <c r="A2" s="37">
        <v>45677</v>
      </c>
      <c r="B2" s="15" t="s">
        <v>339</v>
      </c>
      <c r="C2" s="16" t="s">
        <v>118</v>
      </c>
      <c r="D2" s="5">
        <v>0.35416666666666669</v>
      </c>
      <c r="E2" s="5">
        <v>0.45833333333333331</v>
      </c>
      <c r="F2" s="6" t="str">
        <f t="shared" ref="F2:F33" si="0">IF(E2="","","No")</f>
        <v>No</v>
      </c>
      <c r="G2" s="6">
        <f>IF(E2="","",IF(F2="Yes",(E2-D2)-TIME(0,30,0),E2-D2))</f>
        <v>0.10416666666666663</v>
      </c>
      <c r="H2" s="50">
        <f>_xlfn.IFNA(VLOOKUP(C:C,'Active Jobs'!B:K,8,0),"")</f>
        <v>200</v>
      </c>
      <c r="I2" s="8">
        <f>IF(F2="Yes",(E2-D2)*24-0.5,IF(F2="No",(E2-D2)*24,""))</f>
        <v>2.4999999999999991</v>
      </c>
      <c r="J2" s="50">
        <f>IF(G2="","",G2*24*HourlyRate*2*(1+Super))</f>
        <v>167.75174999999993</v>
      </c>
      <c r="K2" s="50">
        <f>IF(H2="","",H2-J2)</f>
        <v>32.24825000000007</v>
      </c>
      <c r="L2" s="9">
        <f>IF(K2="","",IF(H2=0,1,J2/H2))</f>
        <v>0.83875874999999966</v>
      </c>
      <c r="M2" s="16">
        <v>2</v>
      </c>
      <c r="N2" s="41" t="str" cm="1">
        <f t="array" ref="N2:N5">IF(B2="","",_xlfn.UNIQUE(TRANSPOSE(_xlfn.TEXTSPLIT(_xlfn.TEXTJOIN(" &amp; ", TRUE, TRIM(B2:B205)), " &amp; "))))</f>
        <v>Orla Shelly</v>
      </c>
      <c r="O2" s="23">
        <f t="shared" ref="O2:S10" si="1">IF(N2="","",ROUND(SUMIFS($I:$I,$A:$A,O$1,$B:$B,"*"&amp;$N2&amp;"*"),2))</f>
        <v>6</v>
      </c>
      <c r="P2" s="23">
        <f t="shared" si="1"/>
        <v>6</v>
      </c>
      <c r="Q2" s="23">
        <f t="shared" si="1"/>
        <v>4.08</v>
      </c>
      <c r="R2" s="23">
        <f t="shared" si="1"/>
        <v>6.75</v>
      </c>
      <c r="S2" s="23">
        <f t="shared" si="1"/>
        <v>3.97</v>
      </c>
      <c r="T2" s="10">
        <f t="shared" ref="T2:T9" si="2">IF(N2="","",SUM(O2:S2))</f>
        <v>26.799999999999997</v>
      </c>
      <c r="U2" s="24"/>
      <c r="V2" s="24">
        <f>IF(N2="","",T2*HourlyRate)</f>
        <v>806.41199999999992</v>
      </c>
      <c r="W2" s="25">
        <f>IF(N2="","",V2*Super)</f>
        <v>92.737380000000002</v>
      </c>
    </row>
    <row r="3" spans="1:23" ht="25" customHeight="1">
      <c r="A3" s="37">
        <v>45677</v>
      </c>
      <c r="B3" s="15" t="s">
        <v>339</v>
      </c>
      <c r="C3" s="16" t="s">
        <v>108</v>
      </c>
      <c r="D3" s="5">
        <v>0.45833333333333331</v>
      </c>
      <c r="E3" s="5">
        <v>0.5625</v>
      </c>
      <c r="F3" s="6" t="s">
        <v>17</v>
      </c>
      <c r="G3" s="6">
        <f t="shared" ref="G3:G33" si="3">IF(E3="","",IF(F3="Yes",(E3-D3)-TIME(0,30,0),E3-D3))</f>
        <v>8.3333333333333356E-2</v>
      </c>
      <c r="H3" s="50">
        <v>200</v>
      </c>
      <c r="I3" s="8">
        <f t="shared" ref="I3:I33" si="4">IF(F3="Yes",(E3-D3)*24-0.5,IF(F3="No",(E3-D3)*24,""))</f>
        <v>2.0000000000000004</v>
      </c>
      <c r="J3" s="50">
        <f t="shared" ref="J3:J33" si="5">IF(G3="","",G3*24*HourlyRate*2*(1+Super))</f>
        <v>134.20140000000004</v>
      </c>
      <c r="K3" s="50">
        <f t="shared" ref="K3:K33" si="6">IF(H3="","",H3-J3)</f>
        <v>65.798599999999965</v>
      </c>
      <c r="L3" s="9">
        <f t="shared" ref="L3:L33" si="7">IF(K3="","",IF(H3=0,1,J3/H3))</f>
        <v>0.67100700000000013</v>
      </c>
      <c r="M3" s="16">
        <v>2</v>
      </c>
      <c r="N3" s="42" t="str">
        <v>Julie Roccati</v>
      </c>
      <c r="O3" s="23">
        <f t="shared" si="1"/>
        <v>6</v>
      </c>
      <c r="P3" s="23">
        <f t="shared" si="1"/>
        <v>6</v>
      </c>
      <c r="Q3" s="23">
        <f t="shared" si="1"/>
        <v>4.08</v>
      </c>
      <c r="R3" s="23">
        <f t="shared" si="1"/>
        <v>6.75</v>
      </c>
      <c r="S3" s="23">
        <f t="shared" si="1"/>
        <v>3.97</v>
      </c>
      <c r="T3" s="10">
        <f t="shared" si="2"/>
        <v>26.799999999999997</v>
      </c>
      <c r="U3" s="21"/>
      <c r="V3" s="24">
        <f>IF(N3="","",T3*HourlyRate)</f>
        <v>806.41199999999992</v>
      </c>
      <c r="W3" s="25">
        <f>IF(N3="","",V3*Super)</f>
        <v>92.737380000000002</v>
      </c>
    </row>
    <row r="4" spans="1:23" ht="25" customHeight="1">
      <c r="A4" s="37">
        <v>45677</v>
      </c>
      <c r="B4" s="15" t="s">
        <v>339</v>
      </c>
      <c r="C4" s="16" t="s">
        <v>29</v>
      </c>
      <c r="D4" s="5">
        <v>0.5625</v>
      </c>
      <c r="E4" s="5">
        <v>0.625</v>
      </c>
      <c r="F4" s="6" t="str">
        <f t="shared" si="0"/>
        <v>No</v>
      </c>
      <c r="G4" s="6">
        <f t="shared" si="3"/>
        <v>6.25E-2</v>
      </c>
      <c r="H4" s="50">
        <f>_xlfn.IFNA(VLOOKUP(C:C,'Active Jobs'!B:K,8,0),"")</f>
        <v>200</v>
      </c>
      <c r="I4" s="8">
        <f t="shared" si="4"/>
        <v>1.5</v>
      </c>
      <c r="J4" s="50">
        <f t="shared" si="5"/>
        <v>100.65105</v>
      </c>
      <c r="K4" s="50">
        <f t="shared" si="6"/>
        <v>99.348950000000002</v>
      </c>
      <c r="L4" s="9">
        <f t="shared" si="7"/>
        <v>0.50325525000000004</v>
      </c>
      <c r="M4" s="16">
        <v>2</v>
      </c>
      <c r="N4" s="42" t="str">
        <v>Aoife O'Gorman</v>
      </c>
      <c r="O4" s="23">
        <f t="shared" si="1"/>
        <v>7.58</v>
      </c>
      <c r="P4" s="23">
        <f t="shared" si="1"/>
        <v>6.5</v>
      </c>
      <c r="Q4" s="23">
        <f t="shared" si="1"/>
        <v>6.33</v>
      </c>
      <c r="R4" s="23">
        <f t="shared" si="1"/>
        <v>5.25</v>
      </c>
      <c r="S4" s="23">
        <f t="shared" si="1"/>
        <v>6.68</v>
      </c>
      <c r="T4" s="10">
        <f t="shared" si="2"/>
        <v>32.340000000000003</v>
      </c>
      <c r="U4" s="21"/>
      <c r="V4" s="24">
        <f>IF(N4="","",T4*HourlyRate)</f>
        <v>973.11060000000009</v>
      </c>
      <c r="W4" s="25">
        <f>IF(N4="","",V4*Super)</f>
        <v>111.90771900000001</v>
      </c>
    </row>
    <row r="5" spans="1:23" ht="25" customHeight="1">
      <c r="A5" s="37">
        <v>45677</v>
      </c>
      <c r="B5" s="15" t="s">
        <v>336</v>
      </c>
      <c r="C5" s="16" t="s">
        <v>93</v>
      </c>
      <c r="D5" s="5">
        <v>0.35416666666666669</v>
      </c>
      <c r="E5" s="5">
        <v>0.45833333333333331</v>
      </c>
      <c r="F5" s="6" t="s">
        <v>53</v>
      </c>
      <c r="G5" s="6">
        <f t="shared" si="3"/>
        <v>0.10416666666666663</v>
      </c>
      <c r="H5" s="50">
        <f>_xlfn.IFNA(VLOOKUP(C:C,'Active Jobs'!B:K,8,0),"")</f>
        <v>230</v>
      </c>
      <c r="I5" s="8">
        <f t="shared" si="4"/>
        <v>2.4999999999999991</v>
      </c>
      <c r="J5" s="50">
        <f t="shared" si="5"/>
        <v>167.75174999999993</v>
      </c>
      <c r="K5" s="50">
        <f t="shared" si="6"/>
        <v>62.24825000000007</v>
      </c>
      <c r="L5" s="9">
        <f t="shared" si="7"/>
        <v>0.72935543478260845</v>
      </c>
      <c r="M5" s="16">
        <v>1</v>
      </c>
      <c r="N5" s="42" t="str">
        <v>Aoife Carroll</v>
      </c>
      <c r="O5" s="23">
        <f t="shared" si="1"/>
        <v>7.58</v>
      </c>
      <c r="P5" s="23">
        <f t="shared" si="1"/>
        <v>6.5</v>
      </c>
      <c r="Q5" s="23">
        <f t="shared" si="1"/>
        <v>6.33</v>
      </c>
      <c r="R5" s="23">
        <f t="shared" si="1"/>
        <v>5.25</v>
      </c>
      <c r="S5" s="23">
        <f t="shared" si="1"/>
        <v>6.68</v>
      </c>
      <c r="T5" s="10">
        <f t="shared" si="2"/>
        <v>32.340000000000003</v>
      </c>
      <c r="U5" s="21"/>
      <c r="V5" s="24">
        <f>IF(N5="","",T5*HourlyRate)</f>
        <v>973.11060000000009</v>
      </c>
      <c r="W5" s="25">
        <f>IF(N5="","",V5*Super)</f>
        <v>111.90771900000001</v>
      </c>
    </row>
    <row r="6" spans="1:23" ht="25" customHeight="1">
      <c r="A6" s="37">
        <v>45677</v>
      </c>
      <c r="B6" s="15" t="s">
        <v>336</v>
      </c>
      <c r="C6" s="16" t="s">
        <v>50</v>
      </c>
      <c r="D6" s="5">
        <v>0.46041666666666664</v>
      </c>
      <c r="E6" s="5">
        <v>0.59375</v>
      </c>
      <c r="F6" s="6" t="s">
        <v>17</v>
      </c>
      <c r="G6" s="6">
        <f t="shared" si="3"/>
        <v>0.11250000000000003</v>
      </c>
      <c r="H6" s="50">
        <v>250</v>
      </c>
      <c r="I6" s="8">
        <f t="shared" si="4"/>
        <v>2.7000000000000006</v>
      </c>
      <c r="J6" s="50">
        <f t="shared" si="5"/>
        <v>181.17189000000005</v>
      </c>
      <c r="K6" s="50">
        <f t="shared" si="6"/>
        <v>68.828109999999953</v>
      </c>
      <c r="L6" s="9">
        <f t="shared" si="7"/>
        <v>0.72468756000000023</v>
      </c>
      <c r="M6" s="16">
        <v>1</v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/>
      </c>
      <c r="T6" s="10" t="str">
        <f t="shared" si="2"/>
        <v/>
      </c>
      <c r="U6" s="21"/>
      <c r="V6" s="24"/>
      <c r="W6" s="25"/>
    </row>
    <row r="7" spans="1:23" ht="25" customHeight="1">
      <c r="A7" s="37">
        <v>45677</v>
      </c>
      <c r="B7" s="15" t="s">
        <v>336</v>
      </c>
      <c r="C7" s="16" t="s">
        <v>49</v>
      </c>
      <c r="D7" s="5">
        <v>0.59375</v>
      </c>
      <c r="E7" s="5">
        <v>0.69305555555555554</v>
      </c>
      <c r="F7" s="6" t="str">
        <f t="shared" si="0"/>
        <v>No</v>
      </c>
      <c r="G7" s="6">
        <f t="shared" si="3"/>
        <v>9.9305555555555536E-2</v>
      </c>
      <c r="H7" s="50">
        <v>240</v>
      </c>
      <c r="I7" s="8">
        <f t="shared" si="4"/>
        <v>2.3833333333333329</v>
      </c>
      <c r="J7" s="50">
        <f t="shared" si="5"/>
        <v>159.92333499999998</v>
      </c>
      <c r="K7" s="50">
        <f t="shared" si="6"/>
        <v>80.07666500000002</v>
      </c>
      <c r="L7" s="9">
        <f t="shared" si="7"/>
        <v>0.66634722916666655</v>
      </c>
      <c r="M7" s="16">
        <v>1</v>
      </c>
      <c r="N7" s="47"/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10" t="str">
        <f t="shared" si="2"/>
        <v/>
      </c>
      <c r="U7" s="21"/>
      <c r="V7" s="26">
        <f>SUM(V2:V5)</f>
        <v>3559.0452</v>
      </c>
      <c r="W7" s="26">
        <f>SUM(W2:W5)</f>
        <v>409.29019800000003</v>
      </c>
    </row>
    <row r="8" spans="1:23" ht="25" customHeight="1">
      <c r="A8" s="38">
        <v>45678</v>
      </c>
      <c r="B8" s="15" t="s">
        <v>336</v>
      </c>
      <c r="C8" s="49" t="s">
        <v>175</v>
      </c>
      <c r="D8" s="5">
        <v>0.35416666666666669</v>
      </c>
      <c r="E8" s="5">
        <v>0.54166666666666663</v>
      </c>
      <c r="F8" s="6" t="s">
        <v>17</v>
      </c>
      <c r="G8" s="6">
        <f t="shared" si="3"/>
        <v>0.1666666666666666</v>
      </c>
      <c r="H8" s="50">
        <v>445</v>
      </c>
      <c r="I8" s="8">
        <f t="shared" si="4"/>
        <v>3.9999999999999982</v>
      </c>
      <c r="J8" s="50">
        <f t="shared" si="5"/>
        <v>268.40279999999984</v>
      </c>
      <c r="K8" s="50">
        <f t="shared" si="6"/>
        <v>176.59720000000016</v>
      </c>
      <c r="L8" s="9">
        <f t="shared" si="7"/>
        <v>0.60315235955056146</v>
      </c>
      <c r="M8" s="16">
        <v>1</v>
      </c>
      <c r="N8" s="41"/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10" t="str">
        <f t="shared" si="2"/>
        <v/>
      </c>
      <c r="U8" s="21"/>
      <c r="V8" s="21"/>
      <c r="W8" s="21"/>
    </row>
    <row r="9" spans="1:23" ht="25" customHeight="1">
      <c r="A9" s="38">
        <v>45678</v>
      </c>
      <c r="B9" s="15" t="s">
        <v>336</v>
      </c>
      <c r="C9" s="49" t="s">
        <v>45</v>
      </c>
      <c r="D9" s="5">
        <v>0.54166666666666663</v>
      </c>
      <c r="E9" s="5">
        <v>0.64583333333333337</v>
      </c>
      <c r="F9" s="6" t="str">
        <f t="shared" si="0"/>
        <v>No</v>
      </c>
      <c r="G9" s="6">
        <f t="shared" si="3"/>
        <v>0.10416666666666674</v>
      </c>
      <c r="H9" s="50">
        <v>275</v>
      </c>
      <c r="I9" s="8">
        <f t="shared" si="4"/>
        <v>2.5000000000000018</v>
      </c>
      <c r="J9" s="50">
        <f t="shared" si="5"/>
        <v>167.7517500000001</v>
      </c>
      <c r="K9" s="50">
        <f t="shared" si="6"/>
        <v>107.2482499999999</v>
      </c>
      <c r="L9" s="9">
        <f t="shared" si="7"/>
        <v>0.61000636363636396</v>
      </c>
      <c r="M9" s="16">
        <v>1</v>
      </c>
      <c r="N9" s="47"/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10" t="str">
        <f t="shared" si="2"/>
        <v/>
      </c>
      <c r="U9" s="21"/>
      <c r="V9" s="24"/>
      <c r="W9" s="25"/>
    </row>
    <row r="10" spans="1:23" ht="25" customHeight="1">
      <c r="A10" s="38">
        <v>45678</v>
      </c>
      <c r="B10" s="15" t="s">
        <v>339</v>
      </c>
      <c r="C10" s="16" t="s">
        <v>21</v>
      </c>
      <c r="D10" s="5">
        <v>0.35416666666666669</v>
      </c>
      <c r="E10" s="5">
        <v>0.46875</v>
      </c>
      <c r="F10" s="6" t="s">
        <v>53</v>
      </c>
      <c r="G10" s="6">
        <f t="shared" si="3"/>
        <v>0.11458333333333331</v>
      </c>
      <c r="H10" s="50">
        <v>280</v>
      </c>
      <c r="I10" s="8">
        <f t="shared" si="4"/>
        <v>2.7499999999999996</v>
      </c>
      <c r="J10" s="50">
        <f t="shared" si="5"/>
        <v>184.52692499999998</v>
      </c>
      <c r="K10" s="50">
        <f t="shared" si="6"/>
        <v>95.473075000000023</v>
      </c>
      <c r="L10" s="9">
        <f t="shared" si="7"/>
        <v>0.65902473214285706</v>
      </c>
      <c r="M10" s="16">
        <v>2</v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/>
      </c>
      <c r="S10" s="23" t="str">
        <f t="shared" si="1"/>
        <v/>
      </c>
      <c r="T10" s="10" t="str">
        <f t="shared" ref="T10:T44" si="8">IF(N10="","",SUM(O10:S10))</f>
        <v/>
      </c>
      <c r="U10" s="21"/>
      <c r="V10" s="21"/>
      <c r="W10" s="10"/>
    </row>
    <row r="11" spans="1:23" ht="25" customHeight="1">
      <c r="A11" s="38">
        <v>45678</v>
      </c>
      <c r="B11" s="15" t="s">
        <v>339</v>
      </c>
      <c r="C11" s="16" t="s">
        <v>160</v>
      </c>
      <c r="D11" s="5">
        <v>0.46875</v>
      </c>
      <c r="E11" s="5">
        <v>0.625</v>
      </c>
      <c r="F11" s="6" t="s">
        <v>17</v>
      </c>
      <c r="G11" s="6">
        <f>IF(E11="","",IF(F11="Yes",(E11-D11)-TIME(0,30,0),E11-D11))</f>
        <v>0.13541666666666666</v>
      </c>
      <c r="H11" s="50">
        <v>0</v>
      </c>
      <c r="I11" s="8">
        <f>IF(F11="Yes",(E11-D11)*24-0.5,IF(F11="No",(E11-D11)*24,""))</f>
        <v>3.25</v>
      </c>
      <c r="J11" s="50">
        <f>IF(G11="","",G11*24*HourlyRate*2*(1+Super))</f>
        <v>218.07727500000001</v>
      </c>
      <c r="K11" s="50">
        <f>IF(H11="","",H11-J11)</f>
        <v>-218.07727500000001</v>
      </c>
      <c r="L11" s="9"/>
      <c r="M11" s="16">
        <v>2</v>
      </c>
      <c r="O11" s="23"/>
      <c r="P11" s="23"/>
      <c r="Q11" s="23"/>
      <c r="R11" s="23"/>
      <c r="S11" s="23"/>
      <c r="T11" s="10"/>
      <c r="U11" s="21"/>
      <c r="V11" s="21"/>
      <c r="W11" s="10"/>
    </row>
    <row r="12" spans="1:23" ht="25" customHeight="1">
      <c r="A12" s="38">
        <v>45679</v>
      </c>
      <c r="B12" s="15" t="s">
        <v>339</v>
      </c>
      <c r="C12" s="16" t="s">
        <v>186</v>
      </c>
      <c r="D12" s="5">
        <v>0.35416666666666669</v>
      </c>
      <c r="E12" s="5">
        <v>0.45833333333333331</v>
      </c>
      <c r="F12" s="6" t="str">
        <f t="shared" si="0"/>
        <v>No</v>
      </c>
      <c r="G12" s="6">
        <f t="shared" si="3"/>
        <v>0.10416666666666663</v>
      </c>
      <c r="H12" s="50" t="str">
        <f>_xlfn.IFNA(VLOOKUP(C:C,'Active Jobs'!B:K,8,0),"")</f>
        <v/>
      </c>
      <c r="I12" s="8">
        <f t="shared" si="4"/>
        <v>2.4999999999999991</v>
      </c>
      <c r="J12" s="50">
        <f t="shared" si="5"/>
        <v>167.75174999999993</v>
      </c>
      <c r="K12" s="50" t="str">
        <f t="shared" si="6"/>
        <v/>
      </c>
      <c r="L12" s="9" t="str">
        <f t="shared" si="7"/>
        <v/>
      </c>
      <c r="M12" s="16">
        <v>2</v>
      </c>
      <c r="O12" s="23" t="str">
        <f t="shared" ref="O12:S19" si="9">IF(N12="","",ROUND(SUMIFS($I:$I,$A:$A,O$1,$B:$B,"*"&amp;$N12&amp;"*"),2))</f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8"/>
        <v/>
      </c>
      <c r="U12" s="21"/>
      <c r="V12" s="54"/>
      <c r="W12" s="21"/>
    </row>
    <row r="13" spans="1:23" ht="25" customHeight="1">
      <c r="A13" s="38">
        <v>45679</v>
      </c>
      <c r="B13" s="15" t="s">
        <v>339</v>
      </c>
      <c r="C13" s="16" t="s">
        <v>25</v>
      </c>
      <c r="D13" s="5">
        <v>0.46875</v>
      </c>
      <c r="E13" s="5">
        <v>0.55555555555555558</v>
      </c>
      <c r="F13" s="6" t="s">
        <v>17</v>
      </c>
      <c r="G13" s="6">
        <f t="shared" si="3"/>
        <v>6.5972222222222252E-2</v>
      </c>
      <c r="H13" s="50">
        <f>_xlfn.IFNA(VLOOKUP(C:C,'Active Jobs'!B:K,8,0),"")</f>
        <v>220</v>
      </c>
      <c r="I13" s="8">
        <f t="shared" si="4"/>
        <v>1.5833333333333339</v>
      </c>
      <c r="J13" s="50">
        <f t="shared" si="5"/>
        <v>106.24277500000004</v>
      </c>
      <c r="K13" s="50">
        <f t="shared" si="6"/>
        <v>113.75722499999996</v>
      </c>
      <c r="L13" s="9">
        <f t="shared" si="7"/>
        <v>0.48292170454545469</v>
      </c>
      <c r="M13" s="16">
        <v>2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8"/>
        <v/>
      </c>
    </row>
    <row r="14" spans="1:23" ht="25" customHeight="1">
      <c r="A14" s="38">
        <v>45679</v>
      </c>
      <c r="B14" s="15" t="s">
        <v>336</v>
      </c>
      <c r="C14" s="16" t="s">
        <v>187</v>
      </c>
      <c r="D14" s="5">
        <v>0.35416666666666669</v>
      </c>
      <c r="E14" s="5">
        <v>0.49652777777777779</v>
      </c>
      <c r="F14" s="6" t="str">
        <f t="shared" si="0"/>
        <v>No</v>
      </c>
      <c r="G14" s="6">
        <f t="shared" si="3"/>
        <v>0.1423611111111111</v>
      </c>
      <c r="H14" s="50">
        <v>0</v>
      </c>
      <c r="I14" s="8">
        <f t="shared" si="4"/>
        <v>3.4166666666666665</v>
      </c>
      <c r="J14" s="50">
        <f t="shared" si="5"/>
        <v>229.26072499999998</v>
      </c>
      <c r="K14" s="50">
        <f t="shared" si="6"/>
        <v>-229.26072499999998</v>
      </c>
      <c r="L14" s="9"/>
      <c r="M14" s="16">
        <v>1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8"/>
        <v/>
      </c>
    </row>
    <row r="15" spans="1:23" ht="25" customHeight="1">
      <c r="A15" s="38">
        <v>45679</v>
      </c>
      <c r="B15" s="15" t="s">
        <v>336</v>
      </c>
      <c r="C15" s="16" t="s">
        <v>23</v>
      </c>
      <c r="D15" s="5">
        <v>0.49652777777777779</v>
      </c>
      <c r="E15" s="5">
        <v>0.63888888888888884</v>
      </c>
      <c r="F15" s="6" t="s">
        <v>17</v>
      </c>
      <c r="G15" s="6">
        <f t="shared" si="3"/>
        <v>0.12152777777777772</v>
      </c>
      <c r="H15" s="50">
        <f>_xlfn.IFNA(VLOOKUP(C:C,'Active Jobs'!B:K,8,0),"")</f>
        <v>380</v>
      </c>
      <c r="I15" s="8">
        <f t="shared" si="4"/>
        <v>2.9166666666666652</v>
      </c>
      <c r="J15" s="50">
        <f t="shared" si="5"/>
        <v>195.71037499999991</v>
      </c>
      <c r="K15" s="50">
        <f t="shared" si="6"/>
        <v>184.28962500000009</v>
      </c>
      <c r="L15" s="9">
        <f t="shared" si="7"/>
        <v>0.5150273026315787</v>
      </c>
      <c r="M15" s="16">
        <v>1</v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8"/>
        <v/>
      </c>
    </row>
    <row r="16" spans="1:23" ht="25" customHeight="1">
      <c r="A16" s="38">
        <v>45680</v>
      </c>
      <c r="B16" s="15" t="s">
        <v>339</v>
      </c>
      <c r="C16" s="16" t="s">
        <v>55</v>
      </c>
      <c r="D16" s="5">
        <v>0.35416666666666669</v>
      </c>
      <c r="E16" s="5">
        <v>0.45833333333333331</v>
      </c>
      <c r="F16" s="6" t="str">
        <f t="shared" si="0"/>
        <v>No</v>
      </c>
      <c r="G16" s="6">
        <f t="shared" si="3"/>
        <v>0.10416666666666663</v>
      </c>
      <c r="H16" s="50">
        <f>_xlfn.IFNA(VLOOKUP(C:C,'Active Jobs'!B:K,8,0),"")</f>
        <v>220</v>
      </c>
      <c r="I16" s="8">
        <f t="shared" si="4"/>
        <v>2.4999999999999991</v>
      </c>
      <c r="J16" s="50">
        <f t="shared" si="5"/>
        <v>167.75174999999993</v>
      </c>
      <c r="K16" s="50">
        <f t="shared" si="6"/>
        <v>52.24825000000007</v>
      </c>
      <c r="L16" s="9">
        <f t="shared" si="7"/>
        <v>0.76250795454545428</v>
      </c>
      <c r="M16" s="16">
        <v>2</v>
      </c>
      <c r="O16" s="23" t="str">
        <f t="shared" si="9"/>
        <v/>
      </c>
      <c r="P16" s="23" t="str">
        <f t="shared" si="9"/>
        <v/>
      </c>
      <c r="Q16" s="23" t="str">
        <f t="shared" si="9"/>
        <v/>
      </c>
      <c r="R16" s="23" t="str">
        <f t="shared" si="9"/>
        <v/>
      </c>
      <c r="S16" s="23" t="str">
        <f t="shared" si="9"/>
        <v/>
      </c>
      <c r="T16" s="74" t="str">
        <f t="shared" si="8"/>
        <v/>
      </c>
    </row>
    <row r="17" spans="1:20" ht="25" customHeight="1">
      <c r="A17" s="38">
        <v>45680</v>
      </c>
      <c r="B17" s="15" t="s">
        <v>339</v>
      </c>
      <c r="C17" s="16" t="s">
        <v>28</v>
      </c>
      <c r="D17" s="5">
        <v>0.46875</v>
      </c>
      <c r="E17" s="5">
        <v>0.58333333333333337</v>
      </c>
      <c r="F17" s="6" t="s">
        <v>17</v>
      </c>
      <c r="G17" s="6">
        <f t="shared" si="3"/>
        <v>9.3750000000000042E-2</v>
      </c>
      <c r="H17" s="50">
        <f>_xlfn.IFNA(VLOOKUP(C:C,'Active Jobs'!B:K,8,0),"")</f>
        <v>200</v>
      </c>
      <c r="I17" s="8">
        <f t="shared" si="4"/>
        <v>2.2500000000000009</v>
      </c>
      <c r="J17" s="50">
        <f t="shared" si="5"/>
        <v>150.97657500000005</v>
      </c>
      <c r="K17" s="50">
        <f t="shared" si="6"/>
        <v>49.023424999999946</v>
      </c>
      <c r="L17" s="9">
        <f t="shared" si="7"/>
        <v>0.75488287500000029</v>
      </c>
      <c r="M17" s="16">
        <v>2</v>
      </c>
      <c r="O17" s="23" t="str">
        <f t="shared" si="9"/>
        <v/>
      </c>
      <c r="P17" s="23" t="str">
        <f t="shared" si="9"/>
        <v/>
      </c>
      <c r="Q17" s="23" t="str">
        <f t="shared" si="9"/>
        <v/>
      </c>
      <c r="R17" s="23" t="str">
        <f t="shared" si="9"/>
        <v/>
      </c>
      <c r="S17" s="23" t="str">
        <f t="shared" si="9"/>
        <v/>
      </c>
      <c r="T17" s="74" t="str">
        <f t="shared" si="8"/>
        <v/>
      </c>
    </row>
    <row r="18" spans="1:20" ht="25" customHeight="1">
      <c r="A18" s="38">
        <v>45680</v>
      </c>
      <c r="B18" s="15" t="s">
        <v>339</v>
      </c>
      <c r="C18" s="16" t="s">
        <v>114</v>
      </c>
      <c r="D18" s="5">
        <v>0.58333333333333337</v>
      </c>
      <c r="E18" s="5">
        <v>0.66666666666666663</v>
      </c>
      <c r="F18" s="6" t="str">
        <f t="shared" si="0"/>
        <v>No</v>
      </c>
      <c r="G18" s="6">
        <f t="shared" si="3"/>
        <v>8.3333333333333259E-2</v>
      </c>
      <c r="H18" s="50">
        <f>_xlfn.IFNA(VLOOKUP(C:C,'Active Jobs'!B:K,8,0),"")</f>
        <v>220</v>
      </c>
      <c r="I18" s="8">
        <f t="shared" si="4"/>
        <v>1.9999999999999982</v>
      </c>
      <c r="J18" s="50">
        <f t="shared" si="5"/>
        <v>134.20139999999986</v>
      </c>
      <c r="K18" s="50">
        <f t="shared" si="6"/>
        <v>85.798600000000135</v>
      </c>
      <c r="L18" s="9">
        <f t="shared" si="7"/>
        <v>0.61000636363636307</v>
      </c>
      <c r="M18" s="16">
        <v>2</v>
      </c>
      <c r="O18" s="23" t="str">
        <f t="shared" si="9"/>
        <v/>
      </c>
      <c r="P18" s="23" t="str">
        <f t="shared" si="9"/>
        <v/>
      </c>
      <c r="Q18" s="23" t="str">
        <f t="shared" si="9"/>
        <v/>
      </c>
      <c r="R18" s="23" t="str">
        <f t="shared" si="9"/>
        <v/>
      </c>
      <c r="S18" s="23" t="str">
        <f t="shared" si="9"/>
        <v/>
      </c>
      <c r="T18" s="10" t="str">
        <f t="shared" si="8"/>
        <v/>
      </c>
    </row>
    <row r="19" spans="1:20" ht="25" customHeight="1">
      <c r="A19" s="38">
        <v>45680</v>
      </c>
      <c r="B19" s="15" t="s">
        <v>336</v>
      </c>
      <c r="C19" s="16" t="s">
        <v>113</v>
      </c>
      <c r="D19" s="5">
        <v>0.35416666666666669</v>
      </c>
      <c r="E19" s="5">
        <v>0.48958333333333331</v>
      </c>
      <c r="F19" s="6" t="s">
        <v>53</v>
      </c>
      <c r="G19" s="6">
        <f t="shared" si="3"/>
        <v>0.13541666666666663</v>
      </c>
      <c r="H19" s="50">
        <f>_xlfn.IFNA(VLOOKUP(C:C,'Active Jobs'!B:K,8,0),"")</f>
        <v>230</v>
      </c>
      <c r="I19" s="8">
        <f t="shared" si="4"/>
        <v>3.2499999999999991</v>
      </c>
      <c r="J19" s="50">
        <f t="shared" si="5"/>
        <v>218.07727499999996</v>
      </c>
      <c r="K19" s="50">
        <f t="shared" si="6"/>
        <v>11.922725000000042</v>
      </c>
      <c r="L19" s="9">
        <f t="shared" si="7"/>
        <v>0.9481620652173911</v>
      </c>
      <c r="M19" s="16">
        <v>1</v>
      </c>
      <c r="O19" s="23" t="str">
        <f t="shared" si="9"/>
        <v/>
      </c>
      <c r="P19" s="23" t="str">
        <f t="shared" si="9"/>
        <v/>
      </c>
      <c r="Q19" s="23" t="str">
        <f t="shared" si="9"/>
        <v/>
      </c>
      <c r="R19" s="23" t="str">
        <f t="shared" si="9"/>
        <v/>
      </c>
      <c r="S19" s="23" t="str">
        <f t="shared" si="9"/>
        <v/>
      </c>
      <c r="T19" s="74" t="str">
        <f t="shared" si="8"/>
        <v/>
      </c>
    </row>
    <row r="20" spans="1:20" ht="25" customHeight="1">
      <c r="A20" s="38">
        <v>45680</v>
      </c>
      <c r="B20" s="15" t="s">
        <v>336</v>
      </c>
      <c r="C20" s="16" t="s">
        <v>359</v>
      </c>
      <c r="D20" s="5">
        <v>0.48958333333333331</v>
      </c>
      <c r="E20" s="5">
        <v>0.59375</v>
      </c>
      <c r="F20" s="6" t="s">
        <v>17</v>
      </c>
      <c r="G20" s="6">
        <f t="shared" si="3"/>
        <v>8.3333333333333356E-2</v>
      </c>
      <c r="H20" s="50">
        <v>140</v>
      </c>
      <c r="I20" s="8">
        <f>IF(F20="Yes",(E20-D20)*24-0.5,IF(F20="No",(E20-D20)*24,""))</f>
        <v>2.0000000000000004</v>
      </c>
      <c r="J20" s="50">
        <f>IF(G20="","",G20*24*HourlyRate*2*(1+Super))</f>
        <v>134.20140000000004</v>
      </c>
      <c r="K20" s="50">
        <f>IF(H20="","",H20-J20)</f>
        <v>5.7985999999999649</v>
      </c>
      <c r="L20" s="9"/>
      <c r="M20" s="16">
        <v>1</v>
      </c>
      <c r="O20" s="23"/>
      <c r="P20" s="23"/>
      <c r="Q20" s="23"/>
      <c r="R20" s="23"/>
      <c r="S20" s="23"/>
      <c r="T20" s="74"/>
    </row>
    <row r="21" spans="1:20" ht="25" customHeight="1">
      <c r="A21" s="38">
        <v>45681</v>
      </c>
      <c r="B21" s="15" t="s">
        <v>339</v>
      </c>
      <c r="C21" s="16" t="s">
        <v>126</v>
      </c>
      <c r="D21" s="5">
        <v>0.35416666666666669</v>
      </c>
      <c r="E21" s="5">
        <v>0.4375</v>
      </c>
      <c r="F21" s="6" t="str">
        <f t="shared" si="0"/>
        <v>No</v>
      </c>
      <c r="G21" s="6">
        <f t="shared" si="3"/>
        <v>8.3333333333333315E-2</v>
      </c>
      <c r="H21" s="50">
        <f>_xlfn.IFNA(VLOOKUP(C:C,'Active Jobs'!B:K,8,0),"")</f>
        <v>250</v>
      </c>
      <c r="I21" s="8">
        <f t="shared" si="4"/>
        <v>1.9999999999999996</v>
      </c>
      <c r="J21" s="50">
        <f t="shared" si="5"/>
        <v>134.20139999999998</v>
      </c>
      <c r="K21" s="50">
        <f t="shared" si="6"/>
        <v>115.79860000000002</v>
      </c>
      <c r="L21" s="9">
        <f t="shared" si="7"/>
        <v>0.53680559999999988</v>
      </c>
      <c r="M21" s="16">
        <v>2</v>
      </c>
      <c r="O21" s="23" t="str">
        <f t="shared" ref="O21:S30" si="10">IF(N21="","",ROUND(SUMIFS($I:$I,$A:$A,O$1,$B:$B,"*"&amp;$N21&amp;"*"),2))</f>
        <v/>
      </c>
      <c r="P21" s="23" t="str">
        <f t="shared" si="10"/>
        <v/>
      </c>
      <c r="Q21" s="23" t="str">
        <f t="shared" si="10"/>
        <v/>
      </c>
      <c r="R21" s="23" t="str">
        <f t="shared" si="10"/>
        <v/>
      </c>
      <c r="S21" s="23" t="str">
        <f t="shared" si="10"/>
        <v/>
      </c>
      <c r="T21" s="74" t="str">
        <f t="shared" si="8"/>
        <v/>
      </c>
    </row>
    <row r="22" spans="1:20" ht="25" customHeight="1">
      <c r="A22" s="38">
        <v>45681</v>
      </c>
      <c r="B22" s="15" t="s">
        <v>339</v>
      </c>
      <c r="C22" s="16" t="s">
        <v>188</v>
      </c>
      <c r="D22" s="5">
        <v>0.46875</v>
      </c>
      <c r="E22" s="5">
        <v>0.57152777777777775</v>
      </c>
      <c r="F22" s="6" t="s">
        <v>17</v>
      </c>
      <c r="G22" s="6">
        <f t="shared" si="3"/>
        <v>8.1944444444444417E-2</v>
      </c>
      <c r="H22" s="50" t="str">
        <f>_xlfn.IFNA(VLOOKUP(C:C,'Active Jobs'!B:K,8,0),"")</f>
        <v/>
      </c>
      <c r="I22" s="8">
        <f t="shared" si="4"/>
        <v>1.9666666666666659</v>
      </c>
      <c r="J22" s="50">
        <f t="shared" si="5"/>
        <v>131.96470999999994</v>
      </c>
      <c r="K22" s="50" t="str">
        <f t="shared" si="6"/>
        <v/>
      </c>
      <c r="L22" s="9" t="str">
        <f t="shared" si="7"/>
        <v/>
      </c>
      <c r="M22" s="16">
        <v>2</v>
      </c>
      <c r="O22" s="23" t="str">
        <f t="shared" si="10"/>
        <v/>
      </c>
      <c r="P22" s="23" t="str">
        <f t="shared" si="10"/>
        <v/>
      </c>
      <c r="Q22" s="23" t="str">
        <f t="shared" si="10"/>
        <v/>
      </c>
      <c r="R22" s="23" t="str">
        <f t="shared" si="10"/>
        <v/>
      </c>
      <c r="S22" s="23" t="str">
        <f t="shared" si="10"/>
        <v/>
      </c>
      <c r="T22" s="74" t="str">
        <f t="shared" si="8"/>
        <v/>
      </c>
    </row>
    <row r="23" spans="1:20" ht="25" customHeight="1">
      <c r="A23" s="38">
        <v>45681</v>
      </c>
      <c r="B23" s="15" t="s">
        <v>336</v>
      </c>
      <c r="C23" s="16" t="s">
        <v>99</v>
      </c>
      <c r="D23" s="5">
        <v>0.35416666666666669</v>
      </c>
      <c r="E23" s="5">
        <v>0.44444444444444442</v>
      </c>
      <c r="F23" s="6" t="str">
        <f t="shared" si="0"/>
        <v>No</v>
      </c>
      <c r="G23" s="6">
        <f t="shared" si="3"/>
        <v>9.0277777777777735E-2</v>
      </c>
      <c r="H23" s="50">
        <f>_xlfn.IFNA(VLOOKUP(C:C,'Active Jobs'!B:K,8,0),"")</f>
        <v>200</v>
      </c>
      <c r="I23" s="8">
        <f t="shared" si="4"/>
        <v>2.1666666666666656</v>
      </c>
      <c r="J23" s="50">
        <f t="shared" si="5"/>
        <v>145.38484999999991</v>
      </c>
      <c r="K23" s="50">
        <f t="shared" si="6"/>
        <v>54.615150000000085</v>
      </c>
      <c r="L23" s="9">
        <f t="shared" si="7"/>
        <v>0.72692424999999961</v>
      </c>
      <c r="M23" s="16">
        <v>1</v>
      </c>
      <c r="O23" s="23" t="str">
        <f t="shared" si="10"/>
        <v/>
      </c>
      <c r="P23" s="23" t="str">
        <f t="shared" si="10"/>
        <v/>
      </c>
      <c r="Q23" s="23" t="str">
        <f t="shared" si="10"/>
        <v/>
      </c>
      <c r="R23" s="23" t="str">
        <f t="shared" si="10"/>
        <v/>
      </c>
      <c r="S23" s="23" t="str">
        <f t="shared" si="10"/>
        <v/>
      </c>
      <c r="T23" s="74" t="str">
        <f t="shared" si="8"/>
        <v/>
      </c>
    </row>
    <row r="24" spans="1:20" ht="25" customHeight="1">
      <c r="A24" s="38">
        <v>45681</v>
      </c>
      <c r="B24" s="15" t="s">
        <v>336</v>
      </c>
      <c r="C24" s="16" t="s">
        <v>189</v>
      </c>
      <c r="D24" s="5">
        <v>0.44930555555555557</v>
      </c>
      <c r="E24" s="5">
        <v>0.57499999999999996</v>
      </c>
      <c r="F24" s="6" t="s">
        <v>17</v>
      </c>
      <c r="G24" s="6">
        <f t="shared" si="3"/>
        <v>0.10486111111111106</v>
      </c>
      <c r="H24" s="50" t="str">
        <f>_xlfn.IFNA(VLOOKUP(C:C,'Active Jobs'!B:K,8,0),"")</f>
        <v/>
      </c>
      <c r="I24" s="8">
        <f t="shared" si="4"/>
        <v>2.5166666666666653</v>
      </c>
      <c r="J24" s="50">
        <f t="shared" si="5"/>
        <v>168.87009499999991</v>
      </c>
      <c r="K24" s="50" t="str">
        <f t="shared" si="6"/>
        <v/>
      </c>
      <c r="L24" s="9" t="str">
        <f t="shared" si="7"/>
        <v/>
      </c>
      <c r="M24" s="16">
        <v>1</v>
      </c>
      <c r="O24" s="23" t="str">
        <f t="shared" si="10"/>
        <v/>
      </c>
      <c r="P24" s="23" t="str">
        <f t="shared" si="10"/>
        <v/>
      </c>
      <c r="Q24" s="23" t="str">
        <f t="shared" si="10"/>
        <v/>
      </c>
      <c r="R24" s="23" t="str">
        <f t="shared" si="10"/>
        <v/>
      </c>
      <c r="S24" s="23" t="str">
        <f t="shared" si="10"/>
        <v/>
      </c>
      <c r="T24" s="74" t="str">
        <f t="shared" si="8"/>
        <v/>
      </c>
    </row>
    <row r="25" spans="1:20" ht="25" customHeight="1">
      <c r="A25" s="38">
        <v>45681</v>
      </c>
      <c r="B25" s="15" t="s">
        <v>336</v>
      </c>
      <c r="C25" s="16" t="s">
        <v>127</v>
      </c>
      <c r="D25" s="5">
        <v>0.61111111111111116</v>
      </c>
      <c r="E25" s="5">
        <v>0.69444444444444442</v>
      </c>
      <c r="F25" s="6" t="str">
        <f t="shared" si="0"/>
        <v>No</v>
      </c>
      <c r="G25" s="6">
        <f t="shared" si="3"/>
        <v>8.3333333333333259E-2</v>
      </c>
      <c r="H25" s="50">
        <f>_xlfn.IFNA(VLOOKUP(C:C,'Active Jobs'!B:K,8,0),"")</f>
        <v>200</v>
      </c>
      <c r="I25" s="8">
        <f t="shared" si="4"/>
        <v>1.9999999999999982</v>
      </c>
      <c r="J25" s="50">
        <f t="shared" si="5"/>
        <v>134.20139999999986</v>
      </c>
      <c r="K25" s="50">
        <f t="shared" si="6"/>
        <v>65.798600000000135</v>
      </c>
      <c r="L25" s="9">
        <f t="shared" si="7"/>
        <v>0.67100699999999935</v>
      </c>
      <c r="M25" s="16">
        <v>1</v>
      </c>
      <c r="O25" s="23" t="str">
        <f t="shared" si="10"/>
        <v/>
      </c>
      <c r="P25" s="23" t="str">
        <f t="shared" si="10"/>
        <v/>
      </c>
      <c r="Q25" s="23" t="str">
        <f t="shared" si="10"/>
        <v/>
      </c>
      <c r="R25" s="23" t="str">
        <f t="shared" si="10"/>
        <v/>
      </c>
      <c r="S25" s="23" t="str">
        <f t="shared" si="10"/>
        <v/>
      </c>
      <c r="T25" s="74" t="str">
        <f t="shared" si="8"/>
        <v/>
      </c>
    </row>
    <row r="26" spans="1:20" ht="25" customHeight="1">
      <c r="B26" s="15"/>
      <c r="D26" s="5"/>
      <c r="E26" s="5"/>
      <c r="F26" s="6" t="str">
        <f t="shared" si="0"/>
        <v/>
      </c>
      <c r="G26" s="6" t="str">
        <f t="shared" si="3"/>
        <v/>
      </c>
      <c r="H26" s="50" t="str">
        <f>_xlfn.IFNA(VLOOKUP(C:C,'Active Jobs'!B:K,8,0),"")</f>
        <v/>
      </c>
      <c r="I26" s="8" t="str">
        <f t="shared" si="4"/>
        <v/>
      </c>
      <c r="J26" s="50" t="str">
        <f t="shared" si="5"/>
        <v/>
      </c>
      <c r="K26" s="50" t="str">
        <f t="shared" si="6"/>
        <v/>
      </c>
      <c r="L26" s="9" t="str">
        <f t="shared" si="7"/>
        <v/>
      </c>
      <c r="O26" s="23" t="str">
        <f t="shared" si="10"/>
        <v/>
      </c>
      <c r="P26" s="23" t="str">
        <f t="shared" si="10"/>
        <v/>
      </c>
      <c r="Q26" s="23" t="str">
        <f t="shared" si="10"/>
        <v/>
      </c>
      <c r="R26" s="23" t="str">
        <f t="shared" si="10"/>
        <v/>
      </c>
      <c r="S26" s="23" t="str">
        <f t="shared" si="10"/>
        <v/>
      </c>
      <c r="T26" s="74" t="str">
        <f t="shared" si="8"/>
        <v/>
      </c>
    </row>
    <row r="27" spans="1:20" ht="25" customHeight="1">
      <c r="B27" s="15"/>
      <c r="D27" s="5"/>
      <c r="E27" s="5"/>
      <c r="F27" s="6" t="str">
        <f t="shared" si="0"/>
        <v/>
      </c>
      <c r="G27" s="6" t="str">
        <f t="shared" si="3"/>
        <v/>
      </c>
      <c r="H27" s="50" t="str">
        <f>_xlfn.IFNA(VLOOKUP(C:C,'Active Jobs'!B:K,8,0),"")</f>
        <v/>
      </c>
      <c r="I27" s="8" t="str">
        <f t="shared" si="4"/>
        <v/>
      </c>
      <c r="J27" s="50" t="str">
        <f t="shared" si="5"/>
        <v/>
      </c>
      <c r="K27" s="50" t="str">
        <f t="shared" si="6"/>
        <v/>
      </c>
      <c r="L27" s="9" t="str">
        <f t="shared" si="7"/>
        <v/>
      </c>
      <c r="O27" s="23" t="str">
        <f t="shared" si="10"/>
        <v/>
      </c>
      <c r="P27" s="23" t="str">
        <f t="shared" si="10"/>
        <v/>
      </c>
      <c r="Q27" s="23" t="str">
        <f t="shared" si="10"/>
        <v/>
      </c>
      <c r="R27" s="23" t="str">
        <f t="shared" si="10"/>
        <v/>
      </c>
      <c r="S27" s="23" t="str">
        <f t="shared" si="10"/>
        <v/>
      </c>
      <c r="T27" s="74" t="str">
        <f t="shared" si="8"/>
        <v/>
      </c>
    </row>
    <row r="28" spans="1:20" ht="25" customHeight="1">
      <c r="B28" s="15"/>
      <c r="D28" s="5"/>
      <c r="E28" s="5"/>
      <c r="F28" s="6" t="str">
        <f t="shared" si="0"/>
        <v/>
      </c>
      <c r="G28" s="6" t="str">
        <f t="shared" si="3"/>
        <v/>
      </c>
      <c r="H28" s="50" t="str">
        <f>_xlfn.IFNA(VLOOKUP(C:C,'Active Jobs'!B:K,8,0),"")</f>
        <v/>
      </c>
      <c r="I28" s="8" t="str">
        <f t="shared" si="4"/>
        <v/>
      </c>
      <c r="J28" s="50" t="str">
        <f t="shared" si="5"/>
        <v/>
      </c>
      <c r="K28" s="50" t="str">
        <f t="shared" si="6"/>
        <v/>
      </c>
      <c r="L28" s="9" t="str">
        <f t="shared" si="7"/>
        <v/>
      </c>
      <c r="O28" s="23" t="str">
        <f t="shared" si="10"/>
        <v/>
      </c>
      <c r="P28" s="23" t="str">
        <f t="shared" si="10"/>
        <v/>
      </c>
      <c r="Q28" s="23" t="str">
        <f t="shared" si="10"/>
        <v/>
      </c>
      <c r="R28" s="23" t="str">
        <f t="shared" si="10"/>
        <v/>
      </c>
      <c r="S28" s="23" t="str">
        <f t="shared" si="10"/>
        <v/>
      </c>
      <c r="T28" s="74" t="str">
        <f t="shared" si="8"/>
        <v/>
      </c>
    </row>
    <row r="29" spans="1:20" ht="25" customHeight="1">
      <c r="B29" s="15"/>
      <c r="D29" s="5"/>
      <c r="E29" s="5"/>
      <c r="F29" s="6" t="str">
        <f t="shared" si="0"/>
        <v/>
      </c>
      <c r="G29" s="6" t="str">
        <f t="shared" si="3"/>
        <v/>
      </c>
      <c r="H29" s="50" t="str">
        <f>_xlfn.IFNA(VLOOKUP(C:C,'Active Jobs'!B:K,8,0),"")</f>
        <v/>
      </c>
      <c r="I29" s="8" t="str">
        <f t="shared" si="4"/>
        <v/>
      </c>
      <c r="J29" s="50" t="str">
        <f t="shared" si="5"/>
        <v/>
      </c>
      <c r="K29" s="50" t="str">
        <f t="shared" si="6"/>
        <v/>
      </c>
      <c r="L29" s="9" t="str">
        <f t="shared" si="7"/>
        <v/>
      </c>
      <c r="O29" s="23" t="str">
        <f t="shared" si="10"/>
        <v/>
      </c>
      <c r="P29" s="23" t="str">
        <f t="shared" si="10"/>
        <v/>
      </c>
      <c r="Q29" s="23" t="str">
        <f t="shared" si="10"/>
        <v/>
      </c>
      <c r="R29" s="23" t="str">
        <f t="shared" si="10"/>
        <v/>
      </c>
      <c r="S29" s="23" t="str">
        <f t="shared" si="10"/>
        <v/>
      </c>
      <c r="T29" s="74" t="str">
        <f t="shared" si="8"/>
        <v/>
      </c>
    </row>
    <row r="30" spans="1:20" ht="25" customHeight="1">
      <c r="B30" s="15"/>
      <c r="D30" s="5"/>
      <c r="E30" s="5"/>
      <c r="F30" s="6" t="str">
        <f t="shared" si="0"/>
        <v/>
      </c>
      <c r="G30" s="6" t="str">
        <f t="shared" si="3"/>
        <v/>
      </c>
      <c r="H30" s="50" t="str">
        <f>_xlfn.IFNA(VLOOKUP(C:C,'Active Jobs'!B:K,8,0),"")</f>
        <v/>
      </c>
      <c r="I30" s="8" t="str">
        <f t="shared" si="4"/>
        <v/>
      </c>
      <c r="J30" s="50" t="str">
        <f t="shared" si="5"/>
        <v/>
      </c>
      <c r="K30" s="50" t="str">
        <f t="shared" si="6"/>
        <v/>
      </c>
      <c r="L30" s="9" t="str">
        <f t="shared" si="7"/>
        <v/>
      </c>
      <c r="O30" s="23" t="str">
        <f t="shared" si="10"/>
        <v/>
      </c>
      <c r="P30" s="23" t="str">
        <f t="shared" si="10"/>
        <v/>
      </c>
      <c r="Q30" s="23" t="str">
        <f t="shared" si="10"/>
        <v/>
      </c>
      <c r="R30" s="23" t="str">
        <f t="shared" si="10"/>
        <v/>
      </c>
      <c r="S30" s="23" t="str">
        <f t="shared" si="10"/>
        <v/>
      </c>
      <c r="T30" s="74" t="str">
        <f t="shared" si="8"/>
        <v/>
      </c>
    </row>
    <row r="31" spans="1:20" ht="25" customHeight="1">
      <c r="B31" s="15"/>
      <c r="D31" s="5"/>
      <c r="E31" s="5"/>
      <c r="F31" s="6" t="str">
        <f t="shared" si="0"/>
        <v/>
      </c>
      <c r="G31" s="6" t="str">
        <f t="shared" si="3"/>
        <v/>
      </c>
      <c r="H31" s="50" t="str">
        <f>_xlfn.IFNA(VLOOKUP(C:C,'Active Jobs'!B:K,8,0),"")</f>
        <v/>
      </c>
      <c r="I31" s="8" t="str">
        <f t="shared" si="4"/>
        <v/>
      </c>
      <c r="J31" s="50" t="str">
        <f t="shared" si="5"/>
        <v/>
      </c>
      <c r="K31" s="50" t="str">
        <f t="shared" si="6"/>
        <v/>
      </c>
      <c r="L31" s="9" t="str">
        <f t="shared" si="7"/>
        <v/>
      </c>
      <c r="O31" s="23" t="str">
        <f t="shared" ref="O31:S40" si="11">IF(N31="","",ROUND(SUMIFS($I:$I,$A:$A,O$1,$B:$B,"*"&amp;$N31&amp;"*"),2))</f>
        <v/>
      </c>
      <c r="P31" s="23" t="str">
        <f t="shared" si="11"/>
        <v/>
      </c>
      <c r="Q31" s="23" t="str">
        <f t="shared" si="11"/>
        <v/>
      </c>
      <c r="R31" s="23" t="str">
        <f t="shared" si="11"/>
        <v/>
      </c>
      <c r="S31" s="23" t="str">
        <f t="shared" si="11"/>
        <v/>
      </c>
      <c r="T31" s="74" t="str">
        <f t="shared" si="8"/>
        <v/>
      </c>
    </row>
    <row r="32" spans="1:20" ht="25" customHeight="1">
      <c r="B32" s="15"/>
      <c r="D32" s="5"/>
      <c r="E32" s="5"/>
      <c r="F32" s="6" t="str">
        <f t="shared" si="0"/>
        <v/>
      </c>
      <c r="G32" s="6" t="str">
        <f t="shared" si="3"/>
        <v/>
      </c>
      <c r="H32" s="50" t="str">
        <f>_xlfn.IFNA(VLOOKUP(C:C,'Active Jobs'!B:K,8,0),"")</f>
        <v/>
      </c>
      <c r="I32" s="8" t="str">
        <f>IF(F32="Yes",(E32-D32)*24-0.5,IF(F32="No",(E32-D32)*24,""))</f>
        <v/>
      </c>
      <c r="J32" s="50" t="str">
        <f>IF(G32="","",G32*24*HourlyRate*2*(1+Super))</f>
        <v/>
      </c>
      <c r="K32" s="50" t="str">
        <f>IF(H32="","",H32-J32)</f>
        <v/>
      </c>
      <c r="L32" s="9" t="str">
        <f>IF(K32="","",IF(H32=0,1,J32/H32))</f>
        <v/>
      </c>
      <c r="O32" s="23" t="str">
        <f t="shared" si="11"/>
        <v/>
      </c>
      <c r="P32" s="23" t="str">
        <f t="shared" si="11"/>
        <v/>
      </c>
      <c r="Q32" s="23" t="str">
        <f t="shared" si="11"/>
        <v/>
      </c>
      <c r="R32" s="23" t="str">
        <f t="shared" si="11"/>
        <v/>
      </c>
      <c r="S32" s="23" t="str">
        <f t="shared" si="11"/>
        <v/>
      </c>
      <c r="T32" s="74" t="str">
        <f t="shared" si="8"/>
        <v/>
      </c>
    </row>
    <row r="33" spans="1:20" ht="25" customHeight="1">
      <c r="B33" s="15"/>
      <c r="C33" s="49"/>
      <c r="D33" s="5"/>
      <c r="E33" s="5"/>
      <c r="F33" s="6" t="str">
        <f t="shared" si="0"/>
        <v/>
      </c>
      <c r="G33" s="6" t="str">
        <f t="shared" si="3"/>
        <v/>
      </c>
      <c r="H33" s="50" t="str">
        <f>_xlfn.IFNA(VLOOKUP(C:C,'Active Jobs'!B:K,8,0),"")</f>
        <v/>
      </c>
      <c r="I33" s="8" t="str">
        <f t="shared" si="4"/>
        <v/>
      </c>
      <c r="J33" s="50" t="str">
        <f t="shared" si="5"/>
        <v/>
      </c>
      <c r="K33" s="50" t="str">
        <f t="shared" si="6"/>
        <v/>
      </c>
      <c r="L33" s="9" t="str">
        <f t="shared" si="7"/>
        <v/>
      </c>
      <c r="O33" s="23" t="str">
        <f t="shared" si="11"/>
        <v/>
      </c>
      <c r="P33" s="23" t="str">
        <f t="shared" si="11"/>
        <v/>
      </c>
      <c r="Q33" s="23" t="str">
        <f t="shared" si="11"/>
        <v/>
      </c>
      <c r="R33" s="23" t="str">
        <f t="shared" si="11"/>
        <v/>
      </c>
      <c r="S33" s="23" t="str">
        <f t="shared" si="11"/>
        <v/>
      </c>
      <c r="T33" s="74" t="str">
        <f t="shared" si="8"/>
        <v/>
      </c>
    </row>
    <row r="34" spans="1:20" ht="25" customHeight="1">
      <c r="A34" s="39"/>
      <c r="B34" s="29"/>
      <c r="C34" s="30"/>
      <c r="D34" s="1"/>
      <c r="E34" s="1"/>
      <c r="F34" s="31"/>
      <c r="G34" s="32"/>
      <c r="H34" s="53">
        <f>SUBTOTAL(109,Table2261210141618[Quoted])</f>
        <v>4580</v>
      </c>
      <c r="I34" s="34">
        <f>SUBTOTAL(109,Table2261210141618[Hours Payable])</f>
        <v>59.15</v>
      </c>
      <c r="J34" s="53">
        <f>SUBTOTAL(109,Table2261210141618[Wages (Incl. Super)])</f>
        <v>3969.0064049999992</v>
      </c>
      <c r="K34" s="53">
        <f>SUBTOTAL(109,Table2261210141618[Profit])</f>
        <v>1079.5801500000007</v>
      </c>
      <c r="L34" s="35">
        <f>IF(L2="","",SUBTOTAL(101,Table2261210141618[Quote/Wages]))</f>
        <v>0.6674355441586276</v>
      </c>
      <c r="O34" s="23" t="str">
        <f t="shared" si="11"/>
        <v/>
      </c>
      <c r="P34" s="23" t="str">
        <f t="shared" si="11"/>
        <v/>
      </c>
      <c r="Q34" s="23" t="str">
        <f t="shared" si="11"/>
        <v/>
      </c>
      <c r="R34" s="23" t="str">
        <f t="shared" si="11"/>
        <v/>
      </c>
      <c r="S34" s="23" t="str">
        <f t="shared" si="11"/>
        <v/>
      </c>
      <c r="T34" s="74" t="str">
        <f t="shared" si="8"/>
        <v/>
      </c>
    </row>
    <row r="35" spans="1:20" ht="25" customHeight="1">
      <c r="O35" s="23" t="str">
        <f t="shared" si="11"/>
        <v/>
      </c>
      <c r="P35" s="23" t="str">
        <f t="shared" si="11"/>
        <v/>
      </c>
      <c r="Q35" s="23" t="str">
        <f t="shared" si="11"/>
        <v/>
      </c>
      <c r="R35" s="23" t="str">
        <f t="shared" si="11"/>
        <v/>
      </c>
      <c r="S35" s="23" t="str">
        <f t="shared" si="11"/>
        <v/>
      </c>
      <c r="T35" s="74" t="str">
        <f t="shared" si="8"/>
        <v/>
      </c>
    </row>
    <row r="36" spans="1:20" ht="25" customHeight="1">
      <c r="O36" s="23"/>
      <c r="P36" s="23"/>
      <c r="Q36" s="23"/>
      <c r="R36" s="23"/>
      <c r="S36" s="23"/>
      <c r="T36" s="74"/>
    </row>
    <row r="37" spans="1:20" ht="25" customHeight="1">
      <c r="O37" s="23" t="str">
        <f t="shared" si="11"/>
        <v/>
      </c>
      <c r="P37" s="23" t="str">
        <f t="shared" si="11"/>
        <v/>
      </c>
      <c r="Q37" s="23" t="str">
        <f t="shared" si="11"/>
        <v/>
      </c>
      <c r="R37" s="23" t="str">
        <f t="shared" si="11"/>
        <v/>
      </c>
      <c r="S37" s="23" t="str">
        <f t="shared" si="11"/>
        <v/>
      </c>
      <c r="T37" s="74" t="str">
        <f t="shared" si="8"/>
        <v/>
      </c>
    </row>
    <row r="38" spans="1:20" ht="25" customHeight="1">
      <c r="O38" s="23" t="str">
        <f t="shared" si="11"/>
        <v/>
      </c>
      <c r="P38" s="23" t="str">
        <f t="shared" si="11"/>
        <v/>
      </c>
      <c r="Q38" s="23" t="str">
        <f t="shared" si="11"/>
        <v/>
      </c>
      <c r="R38" s="23" t="str">
        <f t="shared" si="11"/>
        <v/>
      </c>
      <c r="S38" s="23" t="str">
        <f t="shared" si="11"/>
        <v/>
      </c>
      <c r="T38" s="74" t="str">
        <f t="shared" si="8"/>
        <v/>
      </c>
    </row>
    <row r="39" spans="1:20" ht="25" customHeight="1">
      <c r="O39" s="23" t="str">
        <f t="shared" si="11"/>
        <v/>
      </c>
      <c r="P39" s="23" t="str">
        <f t="shared" si="11"/>
        <v/>
      </c>
      <c r="Q39" s="23" t="str">
        <f t="shared" si="11"/>
        <v/>
      </c>
      <c r="R39" s="23" t="str">
        <f t="shared" si="11"/>
        <v/>
      </c>
      <c r="S39" s="23" t="str">
        <f t="shared" si="11"/>
        <v/>
      </c>
      <c r="T39" s="74" t="str">
        <f t="shared" si="8"/>
        <v/>
      </c>
    </row>
    <row r="40" spans="1:20" ht="25" customHeight="1">
      <c r="O40" s="23" t="str">
        <f t="shared" si="11"/>
        <v/>
      </c>
      <c r="P40" s="23" t="str">
        <f t="shared" si="11"/>
        <v/>
      </c>
      <c r="Q40" s="23" t="str">
        <f t="shared" si="11"/>
        <v/>
      </c>
      <c r="R40" s="23" t="str">
        <f t="shared" si="11"/>
        <v/>
      </c>
      <c r="S40" s="23" t="str">
        <f t="shared" si="11"/>
        <v/>
      </c>
      <c r="T40" s="74" t="str">
        <f t="shared" si="8"/>
        <v/>
      </c>
    </row>
    <row r="41" spans="1:20" ht="25" customHeight="1">
      <c r="O41" s="23" t="str">
        <f t="shared" ref="O41:S44" si="12">IF(N41="","",ROUND(SUMIFS($I:$I,$A:$A,O$1,$B:$B,"*"&amp;$N41&amp;"*"),2))</f>
        <v/>
      </c>
      <c r="P41" s="23" t="str">
        <f t="shared" si="12"/>
        <v/>
      </c>
      <c r="Q41" s="23" t="str">
        <f t="shared" si="12"/>
        <v/>
      </c>
      <c r="R41" s="23" t="str">
        <f t="shared" si="12"/>
        <v/>
      </c>
      <c r="S41" s="23" t="str">
        <f t="shared" si="12"/>
        <v/>
      </c>
      <c r="T41" s="74" t="str">
        <f t="shared" si="8"/>
        <v/>
      </c>
    </row>
    <row r="42" spans="1:20" ht="25" customHeight="1">
      <c r="O42" s="23" t="str">
        <f t="shared" si="12"/>
        <v/>
      </c>
      <c r="P42" s="23" t="str">
        <f t="shared" si="12"/>
        <v/>
      </c>
      <c r="Q42" s="23" t="str">
        <f t="shared" si="12"/>
        <v/>
      </c>
      <c r="R42" s="23" t="str">
        <f t="shared" si="12"/>
        <v/>
      </c>
      <c r="S42" s="23" t="str">
        <f t="shared" si="12"/>
        <v/>
      </c>
      <c r="T42" s="74" t="str">
        <f t="shared" si="8"/>
        <v/>
      </c>
    </row>
    <row r="43" spans="1:20" ht="25" customHeight="1">
      <c r="O43" s="23" t="str">
        <f t="shared" si="12"/>
        <v/>
      </c>
      <c r="P43" s="23" t="str">
        <f t="shared" si="12"/>
        <v/>
      </c>
      <c r="Q43" s="23" t="str">
        <f t="shared" si="12"/>
        <v/>
      </c>
      <c r="R43" s="23" t="str">
        <f t="shared" si="12"/>
        <v/>
      </c>
      <c r="S43" s="23" t="str">
        <f t="shared" si="12"/>
        <v/>
      </c>
      <c r="T43" s="74" t="str">
        <f t="shared" si="8"/>
        <v/>
      </c>
    </row>
    <row r="44" spans="1:20" ht="25" customHeight="1">
      <c r="O44" s="23" t="str">
        <f t="shared" si="12"/>
        <v/>
      </c>
      <c r="P44" s="23" t="str">
        <f t="shared" si="12"/>
        <v/>
      </c>
      <c r="Q44" s="23" t="str">
        <f t="shared" si="12"/>
        <v/>
      </c>
      <c r="R44" s="23" t="str">
        <f t="shared" si="12"/>
        <v/>
      </c>
      <c r="S44" s="23" t="str">
        <f t="shared" si="12"/>
        <v/>
      </c>
      <c r="T44" s="74" t="str">
        <f t="shared" si="8"/>
        <v/>
      </c>
    </row>
  </sheetData>
  <phoneticPr fontId="13" type="noConversion"/>
  <conditionalFormatting sqref="B35:B255 B1:B33">
    <cfRule type="expression" dxfId="30" priority="1">
      <formula>AND(ROW()&gt;1, E1&lt;&gt;"", COUNTIFS(A:A, $A1, B:B, $B1, F:F, "Yes")=0)</formula>
    </cfRule>
  </conditionalFormatting>
  <conditionalFormatting sqref="F35:F255 F1:F33">
    <cfRule type="expression" dxfId="29" priority="2" stopIfTrue="1">
      <formula>AND(ROW()&gt;1, E1&lt;&gt;"", COUNTIFS(A:A, $A1, B:B, $B1, F:F, "Yes")=0)</formula>
    </cfRule>
  </conditionalFormatting>
  <dataValidations count="2">
    <dataValidation type="list" allowBlank="1" showInputMessage="1" showErrorMessage="1" sqref="F2:F33" xr:uid="{E7F03070-871B-490A-B48C-63C608F8AD1A}">
      <formula1>"No, Yes"</formula1>
    </dataValidation>
    <dataValidation type="list" allowBlank="1" showErrorMessage="1" promptTitle="Select" sqref="B2:B33" xr:uid="{2FFD7C13-A11C-4B80-84E0-7F683B223005}">
      <formula1>Teams</formula1>
    </dataValidation>
  </dataValidations>
  <pageMargins left="0.7" right="0.7" top="0.75" bottom="0.75" header="0.3" footer="0.3"/>
  <pageSetup paperSize="9" orientation="portrait" horizontalDpi="0" verticalDpi="0"/>
  <ignoredErrors>
    <ignoredError sqref="F26:F33" listDataValidation="1"/>
    <ignoredError sqref="F3:F24" calculatedColumn="1"/>
  </ignoredErrors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75ADAD5-9BAE-48B6-B311-D28A94D7D10A}">
          <x14:formula1>
            <xm:f>'Active Jobs'!$B$2:$B$154</xm:f>
          </x14:formula1>
          <xm:sqref>C2:C33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56A9-5552-9642-88D0-70B3F86F31AE}">
  <sheetPr codeName="Sheet4"/>
  <dimension ref="A1:W42"/>
  <sheetViews>
    <sheetView topLeftCell="A20" zoomScale="125" zoomScaleNormal="125" workbookViewId="0">
      <selection activeCell="C29" sqref="C29"/>
    </sheetView>
  </sheetViews>
  <sheetFormatPr baseColWidth="10" defaultColWidth="10.7109375" defaultRowHeight="25" customHeight="1"/>
  <cols>
    <col min="1" max="1" width="13.42578125" style="38" bestFit="1" customWidth="1"/>
    <col min="2" max="2" width="36.7109375" style="17" bestFit="1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.28515625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S1">IF(B2="","",TRANSPOSE(_xlfn._xlws.FILTER(_xlfn.UNIQUE(A2:A206), _xlfn.UNIQUE(A2:A206)&lt;&gt;"")))</f>
        <v>45670</v>
      </c>
      <c r="P1" s="28">
        <v>45671</v>
      </c>
      <c r="Q1" s="28">
        <v>45672</v>
      </c>
      <c r="R1" s="28">
        <v>45673</v>
      </c>
      <c r="S1" s="28">
        <v>45674</v>
      </c>
      <c r="T1" s="27" t="s">
        <v>14</v>
      </c>
      <c r="U1" s="21"/>
      <c r="V1" s="22" t="s">
        <v>15</v>
      </c>
      <c r="W1" s="20" t="s">
        <v>16</v>
      </c>
    </row>
    <row r="2" spans="1:23" ht="25" customHeight="1">
      <c r="A2" s="37">
        <v>45670</v>
      </c>
      <c r="B2" s="15" t="s">
        <v>365</v>
      </c>
      <c r="C2" s="16" t="s">
        <v>133</v>
      </c>
      <c r="D2" s="5">
        <v>0.35416666666666669</v>
      </c>
      <c r="E2" s="5">
        <v>0.45833333333333331</v>
      </c>
      <c r="F2" s="6" t="str">
        <f t="shared" ref="F2:F29" si="0">IF(E2="","","No")</f>
        <v>No</v>
      </c>
      <c r="G2" s="6">
        <f>IF(E2="","",IF(F2="Yes",(E2-D2)-TIME(0,30,0),E2-D2))</f>
        <v>0.10416666666666663</v>
      </c>
      <c r="H2" s="50">
        <f>_xlfn.IFNA(VLOOKUP(C:C,'Active Jobs'!B:K,8,0),"")</f>
        <v>250</v>
      </c>
      <c r="I2" s="8">
        <f>IF(F2="Yes",(E2-D2)*24-0.5,IF(F2="No",(E2-D2)*24,""))</f>
        <v>2.4999999999999991</v>
      </c>
      <c r="J2" s="50">
        <f>IF(G2="","",G2*24*HourlyRate*2*(1+Super))</f>
        <v>167.75174999999993</v>
      </c>
      <c r="K2" s="50">
        <f>IF(H2="","",H2-J2)</f>
        <v>82.24825000000007</v>
      </c>
      <c r="L2" s="9">
        <f>IF(K2="","",IF(H2=0,1,J2/H2))</f>
        <v>0.67100699999999969</v>
      </c>
      <c r="M2" s="16">
        <v>2</v>
      </c>
      <c r="N2" s="41" t="str" cm="1">
        <f t="array" ref="N2:N6">IF(B2="","",_xlfn.UNIQUE(TRANSPOSE(_xlfn.TEXTSPLIT(_xlfn.TEXTJOIN(" &amp; ", TRUE, TRIM(B2:B206)), " &amp; "))))</f>
        <v>Julie Roccati</v>
      </c>
      <c r="O2" s="23">
        <f t="shared" ref="O2:S11" si="1">IF(N2="","",ROUND(SUMIFS($I:$I,$A:$A,O$1,$B:$B,"*"&amp;$N2&amp;"*"),2))</f>
        <v>6.35</v>
      </c>
      <c r="P2" s="23">
        <f t="shared" si="1"/>
        <v>6.62</v>
      </c>
      <c r="Q2" s="23">
        <f t="shared" si="1"/>
        <v>6.92</v>
      </c>
      <c r="R2" s="23">
        <f t="shared" si="1"/>
        <v>9</v>
      </c>
      <c r="S2" s="23">
        <f t="shared" si="1"/>
        <v>6.5</v>
      </c>
      <c r="T2" s="10">
        <f t="shared" ref="T2:T9" si="2">IF(N2="","",SUM(O2:S2))</f>
        <v>35.39</v>
      </c>
      <c r="U2" s="21"/>
      <c r="V2" s="24">
        <f>T2*HourlyRate</f>
        <v>1064.8851</v>
      </c>
      <c r="W2" s="25">
        <f>V2*Super</f>
        <v>122.4617865</v>
      </c>
    </row>
    <row r="3" spans="1:23" ht="25" customHeight="1">
      <c r="A3" s="37">
        <v>45670</v>
      </c>
      <c r="B3" s="15" t="s">
        <v>365</v>
      </c>
      <c r="C3" s="16" t="s">
        <v>28</v>
      </c>
      <c r="D3" s="5">
        <v>0.46875</v>
      </c>
      <c r="E3" s="5">
        <v>0.56527777777777777</v>
      </c>
      <c r="F3" s="6" t="s">
        <v>17</v>
      </c>
      <c r="G3" s="6">
        <f t="shared" ref="G3:G29" si="3">IF(E3="","",IF(F3="Yes",(E3-D3)-TIME(0,30,0),E3-D3))</f>
        <v>7.5694444444444439E-2</v>
      </c>
      <c r="H3" s="50">
        <f>_xlfn.IFNA(VLOOKUP(C:C,'Active Jobs'!B:K,8,0),"")</f>
        <v>200</v>
      </c>
      <c r="I3" s="8">
        <f t="shared" ref="I3:I29" si="4">IF(F3="Yes",(E3-D3)*24-0.5,IF(F3="No",(E3-D3)*24,""))</f>
        <v>1.8166666666666664</v>
      </c>
      <c r="J3" s="50">
        <f t="shared" ref="J3:J29" si="5">IF(G3="","",G3*24*HourlyRate*2*(1+Super))</f>
        <v>121.89960499999998</v>
      </c>
      <c r="K3" s="50">
        <f t="shared" ref="K3:K29" si="6">IF(H3="","",H3-J3)</f>
        <v>78.10039500000002</v>
      </c>
      <c r="L3" s="9">
        <f t="shared" ref="L3:L29" si="7">IF(K3="","",IF(H3=0,1,J3/H3))</f>
        <v>0.60949802499999994</v>
      </c>
      <c r="M3" s="16">
        <v>2</v>
      </c>
      <c r="N3" s="42" t="str">
        <v>Sheyda Watermann</v>
      </c>
      <c r="O3" s="23">
        <f t="shared" si="1"/>
        <v>6.35</v>
      </c>
      <c r="P3" s="23">
        <f t="shared" si="1"/>
        <v>0</v>
      </c>
      <c r="Q3" s="23">
        <f t="shared" si="1"/>
        <v>0</v>
      </c>
      <c r="R3" s="23">
        <f t="shared" si="1"/>
        <v>0</v>
      </c>
      <c r="S3" s="23">
        <f t="shared" si="1"/>
        <v>0</v>
      </c>
      <c r="T3" s="10">
        <f t="shared" ref="T3:T5" si="8">IF(N3="","",SUM(O3:S3))</f>
        <v>6.35</v>
      </c>
      <c r="U3" s="21"/>
      <c r="V3" s="24">
        <f>T3*HourlyRate</f>
        <v>191.07149999999999</v>
      </c>
      <c r="W3" s="25">
        <f>V3*Super</f>
        <v>21.973222499999999</v>
      </c>
    </row>
    <row r="4" spans="1:23" ht="25" customHeight="1">
      <c r="A4" s="37">
        <v>45670</v>
      </c>
      <c r="B4" s="15" t="s">
        <v>365</v>
      </c>
      <c r="C4" s="16" t="s">
        <v>190</v>
      </c>
      <c r="D4" s="5">
        <v>0.56527777777777777</v>
      </c>
      <c r="E4" s="5">
        <v>0.65</v>
      </c>
      <c r="F4" s="6" t="str">
        <f t="shared" si="0"/>
        <v>No</v>
      </c>
      <c r="G4" s="6">
        <f t="shared" si="3"/>
        <v>8.4722222222222254E-2</v>
      </c>
      <c r="H4" s="50">
        <v>275</v>
      </c>
      <c r="I4" s="8">
        <f t="shared" si="4"/>
        <v>2.0333333333333341</v>
      </c>
      <c r="J4" s="50">
        <f t="shared" si="5"/>
        <v>136.43809000000005</v>
      </c>
      <c r="K4" s="50">
        <f t="shared" si="6"/>
        <v>138.56190999999995</v>
      </c>
      <c r="L4" s="9">
        <f t="shared" si="7"/>
        <v>0.49613850909090923</v>
      </c>
      <c r="M4" s="16">
        <v>2</v>
      </c>
      <c r="N4" s="42" t="str">
        <v>Orla Shelly</v>
      </c>
      <c r="O4" s="23">
        <f t="shared" si="1"/>
        <v>6.35</v>
      </c>
      <c r="P4" s="23">
        <f t="shared" si="1"/>
        <v>6.62</v>
      </c>
      <c r="Q4" s="23">
        <f t="shared" si="1"/>
        <v>6.92</v>
      </c>
      <c r="R4" s="23">
        <f t="shared" si="1"/>
        <v>9</v>
      </c>
      <c r="S4" s="23">
        <f t="shared" si="1"/>
        <v>6.5</v>
      </c>
      <c r="T4" s="10">
        <f t="shared" si="8"/>
        <v>35.39</v>
      </c>
      <c r="U4" s="21"/>
      <c r="V4" s="24">
        <f>T4*HourlyRate</f>
        <v>1064.8851</v>
      </c>
      <c r="W4" s="25">
        <f>V4*Super</f>
        <v>122.4617865</v>
      </c>
    </row>
    <row r="5" spans="1:23" ht="25" customHeight="1">
      <c r="A5" s="37">
        <v>45670</v>
      </c>
      <c r="B5" s="15" t="s">
        <v>84</v>
      </c>
      <c r="C5" s="16" t="s">
        <v>133</v>
      </c>
      <c r="D5" s="5">
        <v>0.35416666666666669</v>
      </c>
      <c r="E5" s="5">
        <v>0.45833333333333331</v>
      </c>
      <c r="F5" s="6" t="str">
        <f t="shared" ref="F5" si="9">IF(E5="","","No")</f>
        <v>No</v>
      </c>
      <c r="G5" s="6">
        <f>IF(E5="","",IF(F5="Yes",(E5-D5)-TIME(0,30,0),E5-D5))</f>
        <v>0.10416666666666663</v>
      </c>
      <c r="H5" s="50">
        <f>_xlfn.IFNA(VLOOKUP(C:C,'Active Jobs'!B:K,8,0),"")</f>
        <v>250</v>
      </c>
      <c r="I5" s="8">
        <f>IF(F5="Yes",(E5-D5)*24-0.5,IF(F5="No",(E5-D5)*24,""))</f>
        <v>2.4999999999999991</v>
      </c>
      <c r="J5" s="50">
        <f>IF(G5="","",G5*24*HourlyRate*2*(1+Super))</f>
        <v>167.75174999999993</v>
      </c>
      <c r="K5" s="50">
        <f>IF(H5="","",H5-J5)</f>
        <v>82.24825000000007</v>
      </c>
      <c r="L5" s="9">
        <f>IF(K5="","",IF(H5=0,1,J5/H5))</f>
        <v>0.67100699999999969</v>
      </c>
      <c r="N5" s="42" t="str">
        <v>Aoife O'Gorman</v>
      </c>
      <c r="O5" s="23">
        <f t="shared" si="1"/>
        <v>6.92</v>
      </c>
      <c r="P5" s="23">
        <f t="shared" si="1"/>
        <v>6.8</v>
      </c>
      <c r="Q5" s="23">
        <f t="shared" si="1"/>
        <v>7.88</v>
      </c>
      <c r="R5" s="23">
        <f t="shared" si="1"/>
        <v>7.33</v>
      </c>
      <c r="S5" s="23">
        <f t="shared" si="1"/>
        <v>6.83</v>
      </c>
      <c r="T5" s="10">
        <f t="shared" si="8"/>
        <v>35.76</v>
      </c>
      <c r="U5" s="21"/>
      <c r="V5" s="24">
        <f>IF(N5="","",T5*HourlyRate)</f>
        <v>1076.0183999999999</v>
      </c>
      <c r="W5" s="25">
        <f>IF(N5="","",V5*Super)</f>
        <v>123.742116</v>
      </c>
    </row>
    <row r="6" spans="1:23" ht="25" customHeight="1">
      <c r="A6" s="37">
        <v>45670</v>
      </c>
      <c r="B6" s="15" t="s">
        <v>84</v>
      </c>
      <c r="C6" s="16" t="s">
        <v>28</v>
      </c>
      <c r="D6" s="5">
        <v>0.46875</v>
      </c>
      <c r="E6" s="5">
        <v>0.56527777777777777</v>
      </c>
      <c r="F6" s="6" t="s">
        <v>17</v>
      </c>
      <c r="G6" s="6">
        <f t="shared" ref="G6:G7" si="10">IF(E6="","",IF(F6="Yes",(E6-D6)-TIME(0,30,0),E6-D6))</f>
        <v>7.5694444444444439E-2</v>
      </c>
      <c r="H6" s="50">
        <f>_xlfn.IFNA(VLOOKUP(C:C,'Active Jobs'!B:K,8,0),"")</f>
        <v>200</v>
      </c>
      <c r="I6" s="8">
        <f t="shared" ref="I6:I7" si="11">IF(F6="Yes",(E6-D6)*24-0.5,IF(F6="No",(E6-D6)*24,""))</f>
        <v>1.8166666666666664</v>
      </c>
      <c r="J6" s="50">
        <f t="shared" ref="J6:J7" si="12">IF(G6="","",G6*24*HourlyRate*2*(1+Super))</f>
        <v>121.89960499999998</v>
      </c>
      <c r="K6" s="50">
        <f t="shared" ref="K6:K7" si="13">IF(H6="","",H6-J6)</f>
        <v>78.10039500000002</v>
      </c>
      <c r="L6" s="9">
        <f t="shared" ref="L6:L7" si="14">IF(K6="","",IF(H6=0,1,J6/H6))</f>
        <v>0.60949802499999994</v>
      </c>
      <c r="N6" s="43" t="str">
        <v>Aoife Carroll</v>
      </c>
      <c r="O6" s="23">
        <f t="shared" si="1"/>
        <v>6.92</v>
      </c>
      <c r="P6" s="23">
        <f t="shared" si="1"/>
        <v>6.8</v>
      </c>
      <c r="Q6" s="23">
        <f t="shared" si="1"/>
        <v>7.88</v>
      </c>
      <c r="R6" s="23">
        <f t="shared" si="1"/>
        <v>7.33</v>
      </c>
      <c r="S6" s="23">
        <f t="shared" si="1"/>
        <v>6.83</v>
      </c>
      <c r="T6" s="10">
        <f t="shared" si="2"/>
        <v>35.76</v>
      </c>
      <c r="U6" s="21"/>
      <c r="V6" s="24"/>
      <c r="W6" s="25"/>
    </row>
    <row r="7" spans="1:23" ht="25" customHeight="1">
      <c r="A7" s="37">
        <v>45670</v>
      </c>
      <c r="B7" s="15" t="s">
        <v>84</v>
      </c>
      <c r="C7" s="16" t="s">
        <v>190</v>
      </c>
      <c r="D7" s="5">
        <v>0.56527777777777777</v>
      </c>
      <c r="E7" s="5">
        <v>0.65</v>
      </c>
      <c r="F7" s="6" t="str">
        <f t="shared" ref="F7" si="15">IF(E7="","","No")</f>
        <v>No</v>
      </c>
      <c r="G7" s="6">
        <f t="shared" si="10"/>
        <v>8.4722222222222254E-2</v>
      </c>
      <c r="H7" s="50">
        <v>275</v>
      </c>
      <c r="I7" s="8">
        <f t="shared" si="11"/>
        <v>2.0333333333333341</v>
      </c>
      <c r="J7" s="50">
        <f t="shared" si="12"/>
        <v>136.43809000000005</v>
      </c>
      <c r="K7" s="50">
        <f t="shared" si="13"/>
        <v>138.56190999999995</v>
      </c>
      <c r="L7" s="9">
        <f t="shared" si="14"/>
        <v>0.49613850909090923</v>
      </c>
      <c r="N7" s="47"/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10" t="str">
        <f t="shared" si="2"/>
        <v/>
      </c>
      <c r="U7" s="21"/>
      <c r="V7" s="26">
        <f>SUM(V2:V5)</f>
        <v>3396.8600999999999</v>
      </c>
      <c r="W7" s="26">
        <f>SUM(W2:W5)</f>
        <v>390.63891150000001</v>
      </c>
    </row>
    <row r="8" spans="1:23" ht="25" customHeight="1">
      <c r="A8" s="37">
        <v>45670</v>
      </c>
      <c r="B8" s="15" t="s">
        <v>336</v>
      </c>
      <c r="C8" s="16" t="s">
        <v>134</v>
      </c>
      <c r="D8" s="5">
        <v>0.35416666666666669</v>
      </c>
      <c r="E8" s="5">
        <v>0.45833333333333331</v>
      </c>
      <c r="F8" s="6" t="str">
        <f t="shared" si="0"/>
        <v>No</v>
      </c>
      <c r="G8" s="6">
        <f t="shared" si="3"/>
        <v>0.10416666666666663</v>
      </c>
      <c r="H8" s="50">
        <f>_xlfn.IFNA(VLOOKUP(C:C,'Active Jobs'!B:K,8,0),"")</f>
        <v>220</v>
      </c>
      <c r="I8" s="8">
        <f t="shared" si="4"/>
        <v>2.4999999999999991</v>
      </c>
      <c r="J8" s="50">
        <f t="shared" si="5"/>
        <v>167.75174999999993</v>
      </c>
      <c r="K8" s="50">
        <f t="shared" si="6"/>
        <v>52.24825000000007</v>
      </c>
      <c r="L8" s="9">
        <f t="shared" si="7"/>
        <v>0.76250795454545428</v>
      </c>
      <c r="M8" s="16">
        <v>1</v>
      </c>
      <c r="N8" s="41"/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10" t="str">
        <f t="shared" si="2"/>
        <v/>
      </c>
      <c r="U8" s="21"/>
      <c r="V8" s="21"/>
      <c r="W8" s="21"/>
    </row>
    <row r="9" spans="1:23" ht="25" customHeight="1">
      <c r="A9" s="37">
        <v>45670</v>
      </c>
      <c r="B9" s="15" t="s">
        <v>336</v>
      </c>
      <c r="C9" s="16" t="s">
        <v>115</v>
      </c>
      <c r="D9" s="5">
        <v>0.46597222222222223</v>
      </c>
      <c r="E9" s="5">
        <v>0.57430555555555551</v>
      </c>
      <c r="F9" s="6" t="s">
        <v>17</v>
      </c>
      <c r="G9" s="6">
        <f t="shared" si="3"/>
        <v>8.7499999999999953E-2</v>
      </c>
      <c r="H9" s="50">
        <f>_xlfn.IFNA(VLOOKUP(C:C,'Active Jobs'!B:K,8,0),"")</f>
        <v>230</v>
      </c>
      <c r="I9" s="8">
        <f t="shared" si="4"/>
        <v>2.0999999999999988</v>
      </c>
      <c r="J9" s="50">
        <f t="shared" si="5"/>
        <v>140.91146999999992</v>
      </c>
      <c r="K9" s="50">
        <f t="shared" si="6"/>
        <v>89.088530000000077</v>
      </c>
      <c r="L9" s="9">
        <f t="shared" si="7"/>
        <v>0.61265856521739093</v>
      </c>
      <c r="M9" s="16">
        <v>1</v>
      </c>
      <c r="N9" s="47"/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10" t="str">
        <f t="shared" si="2"/>
        <v/>
      </c>
      <c r="U9" s="21"/>
      <c r="V9" s="24"/>
      <c r="W9" s="25"/>
    </row>
    <row r="10" spans="1:23" ht="25" customHeight="1">
      <c r="A10" s="37">
        <v>45670</v>
      </c>
      <c r="B10" s="15" t="s">
        <v>336</v>
      </c>
      <c r="C10" s="16" t="s">
        <v>191</v>
      </c>
      <c r="D10" s="5">
        <v>0.57430555555555551</v>
      </c>
      <c r="E10" s="5">
        <v>0.67083333333333328</v>
      </c>
      <c r="F10" s="6" t="str">
        <f t="shared" si="0"/>
        <v>No</v>
      </c>
      <c r="G10" s="6">
        <f t="shared" si="3"/>
        <v>9.6527777777777768E-2</v>
      </c>
      <c r="H10" s="50">
        <v>240</v>
      </c>
      <c r="I10" s="8">
        <f t="shared" si="4"/>
        <v>2.3166666666666664</v>
      </c>
      <c r="J10" s="50">
        <f t="shared" si="5"/>
        <v>155.44995499999996</v>
      </c>
      <c r="K10" s="50">
        <f t="shared" si="6"/>
        <v>84.55004500000004</v>
      </c>
      <c r="L10" s="9">
        <f t="shared" si="7"/>
        <v>0.64770814583333314</v>
      </c>
      <c r="M10" s="16">
        <v>1</v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/>
      </c>
      <c r="S10" s="23" t="str">
        <f t="shared" si="1"/>
        <v/>
      </c>
      <c r="T10" s="10" t="str">
        <f t="shared" ref="T10:T42" si="16">IF(N10="","",SUM(O10:S10))</f>
        <v/>
      </c>
      <c r="U10" s="21"/>
      <c r="V10" s="21"/>
      <c r="W10" s="10"/>
    </row>
    <row r="11" spans="1:23" ht="25" customHeight="1">
      <c r="A11" s="38">
        <v>45671</v>
      </c>
      <c r="B11" s="15" t="s">
        <v>336</v>
      </c>
      <c r="C11" s="49" t="s">
        <v>192</v>
      </c>
      <c r="D11" s="5">
        <v>0.35416666666666669</v>
      </c>
      <c r="E11" s="5">
        <v>0.45833333333333331</v>
      </c>
      <c r="F11" s="6" t="str">
        <f t="shared" si="0"/>
        <v>No</v>
      </c>
      <c r="G11" s="6">
        <f t="shared" si="3"/>
        <v>0.10416666666666663</v>
      </c>
      <c r="H11" s="50" t="str">
        <f>_xlfn.IFNA(VLOOKUP(C:C,'Active Jobs'!B:K,8,0),"")</f>
        <v/>
      </c>
      <c r="I11" s="8">
        <f t="shared" si="4"/>
        <v>2.4999999999999991</v>
      </c>
      <c r="J11" s="50">
        <f t="shared" si="5"/>
        <v>167.75174999999993</v>
      </c>
      <c r="K11" s="50" t="str">
        <f t="shared" si="6"/>
        <v/>
      </c>
      <c r="L11" s="9" t="str">
        <f t="shared" si="7"/>
        <v/>
      </c>
      <c r="M11" s="16">
        <v>1</v>
      </c>
      <c r="O11" s="23" t="str">
        <f t="shared" si="1"/>
        <v/>
      </c>
      <c r="P11" s="23" t="str">
        <f t="shared" si="1"/>
        <v/>
      </c>
      <c r="Q11" s="23" t="str">
        <f t="shared" si="1"/>
        <v/>
      </c>
      <c r="R11" s="23" t="str">
        <f t="shared" si="1"/>
        <v/>
      </c>
      <c r="S11" s="23" t="str">
        <f t="shared" si="1"/>
        <v/>
      </c>
      <c r="T11" s="10" t="str">
        <f t="shared" si="16"/>
        <v/>
      </c>
      <c r="U11" s="21"/>
      <c r="V11" s="54"/>
      <c r="W11" s="21"/>
    </row>
    <row r="12" spans="1:23" ht="25" customHeight="1">
      <c r="A12" s="38">
        <v>45671</v>
      </c>
      <c r="B12" s="15" t="s">
        <v>336</v>
      </c>
      <c r="C12" s="16" t="s">
        <v>140</v>
      </c>
      <c r="D12" s="5">
        <v>0.46875</v>
      </c>
      <c r="E12" s="5">
        <v>0.58402777777777781</v>
      </c>
      <c r="F12" s="6" t="s">
        <v>17</v>
      </c>
      <c r="G12" s="6">
        <f t="shared" si="3"/>
        <v>9.4444444444444484E-2</v>
      </c>
      <c r="H12" s="50">
        <f>_xlfn.IFNA(VLOOKUP(C:C,'Active Jobs'!B:K,8,0),"")</f>
        <v>215</v>
      </c>
      <c r="I12" s="8">
        <f t="shared" si="4"/>
        <v>2.2666666666666675</v>
      </c>
      <c r="J12" s="50">
        <f t="shared" si="5"/>
        <v>152.09492000000006</v>
      </c>
      <c r="K12" s="50">
        <f t="shared" si="6"/>
        <v>62.905079999999941</v>
      </c>
      <c r="L12" s="9">
        <f t="shared" si="7"/>
        <v>0.70741823255813985</v>
      </c>
      <c r="M12" s="16">
        <v>1</v>
      </c>
      <c r="O12" s="23" t="str">
        <f t="shared" ref="O12:S21" si="17">IF(N12="","",ROUND(SUMIFS($I:$I,$A:$A,O$1,$B:$B,"*"&amp;$N12&amp;"*"),2))</f>
        <v/>
      </c>
      <c r="P12" s="23" t="str">
        <f t="shared" si="17"/>
        <v/>
      </c>
      <c r="Q12" s="23" t="str">
        <f t="shared" si="17"/>
        <v/>
      </c>
      <c r="R12" s="23" t="str">
        <f t="shared" si="17"/>
        <v/>
      </c>
      <c r="S12" s="23" t="str">
        <f t="shared" si="17"/>
        <v/>
      </c>
      <c r="T12" s="10" t="str">
        <f t="shared" si="16"/>
        <v/>
      </c>
    </row>
    <row r="13" spans="1:23" ht="25" customHeight="1">
      <c r="A13" s="38">
        <v>45671</v>
      </c>
      <c r="B13" s="15" t="s">
        <v>336</v>
      </c>
      <c r="C13" s="16" t="s">
        <v>136</v>
      </c>
      <c r="D13" s="5">
        <v>0.58402777777777781</v>
      </c>
      <c r="E13" s="5">
        <v>0.66874999999999996</v>
      </c>
      <c r="F13" s="6" t="str">
        <f t="shared" si="0"/>
        <v>No</v>
      </c>
      <c r="G13" s="6">
        <f t="shared" si="3"/>
        <v>8.4722222222222143E-2</v>
      </c>
      <c r="H13" s="50">
        <f>_xlfn.IFNA(VLOOKUP(C:C,'Active Jobs'!B:K,8,0),"")</f>
        <v>220</v>
      </c>
      <c r="I13" s="8">
        <f t="shared" si="4"/>
        <v>2.0333333333333314</v>
      </c>
      <c r="J13" s="50">
        <f t="shared" si="5"/>
        <v>136.43808999999987</v>
      </c>
      <c r="K13" s="50">
        <f t="shared" si="6"/>
        <v>83.561910000000125</v>
      </c>
      <c r="L13" s="9">
        <f t="shared" si="7"/>
        <v>0.6201731363636358</v>
      </c>
      <c r="M13" s="16">
        <v>1</v>
      </c>
      <c r="O13" s="23" t="str">
        <f t="shared" si="17"/>
        <v/>
      </c>
      <c r="P13" s="23" t="str">
        <f t="shared" si="17"/>
        <v/>
      </c>
      <c r="Q13" s="23" t="str">
        <f t="shared" si="17"/>
        <v/>
      </c>
      <c r="R13" s="23" t="str">
        <f t="shared" si="17"/>
        <v/>
      </c>
      <c r="S13" s="23" t="str">
        <f t="shared" si="17"/>
        <v/>
      </c>
      <c r="T13" s="10" t="str">
        <f t="shared" si="16"/>
        <v/>
      </c>
    </row>
    <row r="14" spans="1:23" ht="25" customHeight="1">
      <c r="A14" s="38">
        <v>45671</v>
      </c>
      <c r="B14" s="15" t="s">
        <v>339</v>
      </c>
      <c r="C14" s="16" t="s">
        <v>141</v>
      </c>
      <c r="D14" s="5">
        <v>0.35416666666666669</v>
      </c>
      <c r="E14" s="5">
        <v>0.48402777777777778</v>
      </c>
      <c r="F14" s="6" t="str">
        <f t="shared" si="0"/>
        <v>No</v>
      </c>
      <c r="G14" s="62">
        <v>0.125</v>
      </c>
      <c r="H14" s="50">
        <f>_xlfn.IFNA(VLOOKUP(C:C,'Active Jobs'!B:K,8,0),"")</f>
        <v>250</v>
      </c>
      <c r="I14" s="8">
        <f t="shared" si="4"/>
        <v>3.1166666666666663</v>
      </c>
      <c r="J14" s="50">
        <f t="shared" si="5"/>
        <v>201.3021</v>
      </c>
      <c r="K14" s="50">
        <f t="shared" si="6"/>
        <v>48.697900000000004</v>
      </c>
      <c r="L14" s="9">
        <f t="shared" si="7"/>
        <v>0.80520839999999994</v>
      </c>
      <c r="M14" s="16">
        <v>2</v>
      </c>
      <c r="O14" s="23" t="str">
        <f t="shared" si="17"/>
        <v/>
      </c>
      <c r="P14" s="23" t="str">
        <f t="shared" si="17"/>
        <v/>
      </c>
      <c r="Q14" s="23" t="str">
        <f t="shared" si="17"/>
        <v/>
      </c>
      <c r="R14" s="23" t="str">
        <f t="shared" si="17"/>
        <v/>
      </c>
      <c r="S14" s="23" t="str">
        <f t="shared" si="17"/>
        <v/>
      </c>
      <c r="T14" s="10" t="str">
        <f t="shared" si="16"/>
        <v/>
      </c>
    </row>
    <row r="15" spans="1:23" ht="25" customHeight="1">
      <c r="A15" s="38">
        <v>45671</v>
      </c>
      <c r="B15" s="15" t="s">
        <v>339</v>
      </c>
      <c r="C15" s="16" t="s">
        <v>20</v>
      </c>
      <c r="D15" s="5">
        <v>0.48402777777777778</v>
      </c>
      <c r="E15" s="5">
        <v>0.58402777777777781</v>
      </c>
      <c r="F15" s="6" t="s">
        <v>17</v>
      </c>
      <c r="G15" s="6">
        <f t="shared" si="3"/>
        <v>7.9166666666666705E-2</v>
      </c>
      <c r="H15" s="50">
        <f>_xlfn.IFNA(VLOOKUP(C:C,'Active Jobs'!B:K,8,0),"")</f>
        <v>250</v>
      </c>
      <c r="I15" s="8">
        <f t="shared" si="4"/>
        <v>1.9000000000000008</v>
      </c>
      <c r="J15" s="50">
        <f t="shared" si="5"/>
        <v>127.49133000000005</v>
      </c>
      <c r="K15" s="50">
        <f t="shared" si="6"/>
        <v>122.50866999999995</v>
      </c>
      <c r="L15" s="9">
        <f t="shared" si="7"/>
        <v>0.50996532000000017</v>
      </c>
      <c r="M15" s="16">
        <v>2</v>
      </c>
      <c r="O15" s="23" t="str">
        <f t="shared" si="17"/>
        <v/>
      </c>
      <c r="P15" s="23" t="str">
        <f t="shared" si="17"/>
        <v/>
      </c>
      <c r="Q15" s="23" t="str">
        <f t="shared" si="17"/>
        <v/>
      </c>
      <c r="R15" s="23" t="str">
        <f t="shared" si="17"/>
        <v/>
      </c>
      <c r="S15" s="23" t="str">
        <f t="shared" si="17"/>
        <v/>
      </c>
      <c r="T15" s="74" t="str">
        <f t="shared" si="16"/>
        <v/>
      </c>
    </row>
    <row r="16" spans="1:23" ht="25" customHeight="1">
      <c r="A16" s="38">
        <v>45671</v>
      </c>
      <c r="B16" s="15" t="s">
        <v>339</v>
      </c>
      <c r="C16" s="16" t="s">
        <v>142</v>
      </c>
      <c r="D16" s="5">
        <v>0.58402777777777781</v>
      </c>
      <c r="E16" s="5">
        <v>0.65069444444444446</v>
      </c>
      <c r="F16" s="6" t="str">
        <f t="shared" si="0"/>
        <v>No</v>
      </c>
      <c r="G16" s="6">
        <f t="shared" si="3"/>
        <v>6.6666666666666652E-2</v>
      </c>
      <c r="H16" s="50">
        <f>_xlfn.IFNA(VLOOKUP(C:C,'Active Jobs'!B:K,8,0),"")</f>
        <v>220</v>
      </c>
      <c r="I16" s="8">
        <f t="shared" si="4"/>
        <v>1.5999999999999996</v>
      </c>
      <c r="J16" s="50">
        <f t="shared" si="5"/>
        <v>107.36111999999999</v>
      </c>
      <c r="K16" s="50">
        <f t="shared" si="6"/>
        <v>112.63888000000001</v>
      </c>
      <c r="L16" s="9">
        <f t="shared" si="7"/>
        <v>0.48800509090909083</v>
      </c>
      <c r="M16" s="16">
        <v>2</v>
      </c>
      <c r="O16" s="23" t="str">
        <f t="shared" si="17"/>
        <v/>
      </c>
      <c r="P16" s="23" t="str">
        <f t="shared" si="17"/>
        <v/>
      </c>
      <c r="Q16" s="23" t="str">
        <f t="shared" si="17"/>
        <v/>
      </c>
      <c r="R16" s="23" t="str">
        <f t="shared" si="17"/>
        <v/>
      </c>
      <c r="S16" s="23" t="str">
        <f t="shared" si="17"/>
        <v/>
      </c>
      <c r="T16" s="74" t="str">
        <f t="shared" si="16"/>
        <v/>
      </c>
    </row>
    <row r="17" spans="1:20" ht="25" customHeight="1">
      <c r="A17" s="38">
        <v>45672</v>
      </c>
      <c r="B17" s="15" t="s">
        <v>339</v>
      </c>
      <c r="C17" s="16" t="s">
        <v>98</v>
      </c>
      <c r="D17" s="5">
        <v>0.3576388888888889</v>
      </c>
      <c r="E17" s="5">
        <v>0.58333333333333337</v>
      </c>
      <c r="F17" s="6" t="s">
        <v>17</v>
      </c>
      <c r="G17" s="6">
        <f t="shared" si="3"/>
        <v>0.20486111111111113</v>
      </c>
      <c r="H17" s="50">
        <f>_xlfn.IFNA(VLOOKUP(C:C,'Active Jobs'!B:K,8,0),"")</f>
        <v>250</v>
      </c>
      <c r="I17" s="8">
        <f t="shared" si="4"/>
        <v>4.9166666666666679</v>
      </c>
      <c r="J17" s="50">
        <f t="shared" si="5"/>
        <v>329.91177499999998</v>
      </c>
      <c r="K17" s="50">
        <f t="shared" si="6"/>
        <v>-79.911774999999977</v>
      </c>
      <c r="L17" s="9">
        <f t="shared" si="7"/>
        <v>1.3196470999999999</v>
      </c>
      <c r="M17" s="16">
        <v>2</v>
      </c>
      <c r="O17" s="23" t="str">
        <f t="shared" si="17"/>
        <v/>
      </c>
      <c r="P17" s="23" t="str">
        <f t="shared" si="17"/>
        <v/>
      </c>
      <c r="Q17" s="23" t="str">
        <f t="shared" si="17"/>
        <v/>
      </c>
      <c r="R17" s="23" t="str">
        <f t="shared" si="17"/>
        <v/>
      </c>
      <c r="S17" s="23" t="str">
        <f t="shared" si="17"/>
        <v/>
      </c>
      <c r="T17" s="10" t="str">
        <f t="shared" si="16"/>
        <v/>
      </c>
    </row>
    <row r="18" spans="1:20" ht="25" customHeight="1">
      <c r="A18" s="38">
        <v>45672</v>
      </c>
      <c r="B18" s="15" t="s">
        <v>339</v>
      </c>
      <c r="C18" s="16" t="s">
        <v>146</v>
      </c>
      <c r="D18" s="5">
        <v>0.58333333333333337</v>
      </c>
      <c r="E18" s="5">
        <v>0.66666666666666663</v>
      </c>
      <c r="F18" s="6" t="str">
        <f t="shared" si="0"/>
        <v>No</v>
      </c>
      <c r="G18" s="6">
        <f t="shared" si="3"/>
        <v>8.3333333333333259E-2</v>
      </c>
      <c r="H18" s="50">
        <f>_xlfn.IFNA(VLOOKUP(C:C,'Active Jobs'!B:K,8,0),"")</f>
        <v>250</v>
      </c>
      <c r="I18" s="8">
        <f t="shared" si="4"/>
        <v>1.9999999999999982</v>
      </c>
      <c r="J18" s="50">
        <f t="shared" si="5"/>
        <v>134.20139999999986</v>
      </c>
      <c r="K18" s="50">
        <f t="shared" si="6"/>
        <v>115.79860000000014</v>
      </c>
      <c r="L18" s="9">
        <f t="shared" si="7"/>
        <v>0.53680559999999944</v>
      </c>
      <c r="M18" s="16">
        <v>2</v>
      </c>
      <c r="O18" s="23" t="str">
        <f t="shared" si="17"/>
        <v/>
      </c>
      <c r="P18" s="23" t="str">
        <f t="shared" si="17"/>
        <v/>
      </c>
      <c r="Q18" s="23" t="str">
        <f t="shared" si="17"/>
        <v/>
      </c>
      <c r="R18" s="23" t="str">
        <f t="shared" si="17"/>
        <v/>
      </c>
      <c r="S18" s="23" t="str">
        <f t="shared" si="17"/>
        <v/>
      </c>
      <c r="T18" s="74" t="str">
        <f t="shared" si="16"/>
        <v/>
      </c>
    </row>
    <row r="19" spans="1:20" ht="25" customHeight="1">
      <c r="A19" s="38">
        <v>45672</v>
      </c>
      <c r="B19" s="15" t="s">
        <v>336</v>
      </c>
      <c r="C19" s="16" t="s">
        <v>144</v>
      </c>
      <c r="D19" s="5">
        <v>0.3576388888888889</v>
      </c>
      <c r="E19" s="5">
        <v>0.47916666666666669</v>
      </c>
      <c r="F19" s="6" t="str">
        <f t="shared" si="0"/>
        <v>No</v>
      </c>
      <c r="G19" s="6">
        <f t="shared" si="3"/>
        <v>0.12152777777777779</v>
      </c>
      <c r="H19" s="50">
        <f>_xlfn.IFNA(VLOOKUP(C:C,'Active Jobs'!B:K,8,0),"")</f>
        <v>250</v>
      </c>
      <c r="I19" s="8">
        <f t="shared" si="4"/>
        <v>2.916666666666667</v>
      </c>
      <c r="J19" s="50">
        <f t="shared" si="5"/>
        <v>195.710375</v>
      </c>
      <c r="K19" s="50">
        <f t="shared" si="6"/>
        <v>54.289625000000001</v>
      </c>
      <c r="L19" s="9">
        <f t="shared" si="7"/>
        <v>0.78284149999999997</v>
      </c>
      <c r="M19" s="16">
        <v>1</v>
      </c>
      <c r="O19" s="23" t="str">
        <f t="shared" si="17"/>
        <v/>
      </c>
      <c r="P19" s="23" t="str">
        <f t="shared" si="17"/>
        <v/>
      </c>
      <c r="Q19" s="23" t="str">
        <f t="shared" si="17"/>
        <v/>
      </c>
      <c r="R19" s="23" t="str">
        <f t="shared" si="17"/>
        <v/>
      </c>
      <c r="S19" s="23" t="str">
        <f t="shared" si="17"/>
        <v/>
      </c>
      <c r="T19" s="74" t="str">
        <f t="shared" si="16"/>
        <v/>
      </c>
    </row>
    <row r="20" spans="1:20" ht="25" customHeight="1">
      <c r="A20" s="38">
        <v>45672</v>
      </c>
      <c r="B20" s="15" t="s">
        <v>336</v>
      </c>
      <c r="C20" s="16" t="s">
        <v>25</v>
      </c>
      <c r="D20" s="5">
        <v>0.47916666666666669</v>
      </c>
      <c r="E20" s="5">
        <v>0.57777777777777772</v>
      </c>
      <c r="F20" s="6" t="s">
        <v>17</v>
      </c>
      <c r="G20" s="6">
        <f t="shared" si="3"/>
        <v>7.777777777777771E-2</v>
      </c>
      <c r="H20" s="50">
        <f>_xlfn.IFNA(VLOOKUP(C:C,'Active Jobs'!B:K,8,0),"")</f>
        <v>220</v>
      </c>
      <c r="I20" s="8">
        <f t="shared" si="4"/>
        <v>1.8666666666666649</v>
      </c>
      <c r="J20" s="50">
        <f t="shared" si="5"/>
        <v>125.25463999999988</v>
      </c>
      <c r="K20" s="50">
        <f t="shared" si="6"/>
        <v>94.745360000000119</v>
      </c>
      <c r="L20" s="9">
        <f t="shared" si="7"/>
        <v>0.56933927272727214</v>
      </c>
      <c r="M20" s="16">
        <v>1</v>
      </c>
      <c r="O20" s="23" t="str">
        <f t="shared" si="17"/>
        <v/>
      </c>
      <c r="P20" s="23" t="str">
        <f t="shared" si="17"/>
        <v/>
      </c>
      <c r="Q20" s="23" t="str">
        <f t="shared" si="17"/>
        <v/>
      </c>
      <c r="R20" s="23" t="str">
        <f t="shared" si="17"/>
        <v/>
      </c>
      <c r="S20" s="23" t="str">
        <f t="shared" si="17"/>
        <v/>
      </c>
      <c r="T20" s="74" t="str">
        <f t="shared" si="16"/>
        <v/>
      </c>
    </row>
    <row r="21" spans="1:20" ht="25" customHeight="1">
      <c r="A21" s="38">
        <v>45672</v>
      </c>
      <c r="B21" s="15" t="s">
        <v>336</v>
      </c>
      <c r="C21" s="16" t="s">
        <v>44</v>
      </c>
      <c r="D21" s="5">
        <v>0.57777777777777772</v>
      </c>
      <c r="E21" s="5">
        <v>0.64583333333333337</v>
      </c>
      <c r="F21" s="6" t="str">
        <f t="shared" si="0"/>
        <v>No</v>
      </c>
      <c r="G21" s="6">
        <f t="shared" si="3"/>
        <v>6.8055555555555647E-2</v>
      </c>
      <c r="H21" s="50">
        <f>_xlfn.IFNA(VLOOKUP(C:C,'Active Jobs'!B:K,8,0),"")</f>
        <v>200</v>
      </c>
      <c r="I21" s="8">
        <f t="shared" si="4"/>
        <v>1.6333333333333355</v>
      </c>
      <c r="J21" s="50">
        <f t="shared" si="5"/>
        <v>109.59781000000014</v>
      </c>
      <c r="K21" s="50">
        <f t="shared" si="6"/>
        <v>90.402189999999862</v>
      </c>
      <c r="L21" s="9">
        <f t="shared" si="7"/>
        <v>0.54798905000000064</v>
      </c>
      <c r="M21" s="16">
        <v>1</v>
      </c>
      <c r="O21" s="23" t="str">
        <f t="shared" si="17"/>
        <v/>
      </c>
      <c r="P21" s="23" t="str">
        <f t="shared" si="17"/>
        <v/>
      </c>
      <c r="Q21" s="23" t="str">
        <f t="shared" si="17"/>
        <v/>
      </c>
      <c r="R21" s="23" t="str">
        <f t="shared" si="17"/>
        <v/>
      </c>
      <c r="S21" s="23" t="str">
        <f t="shared" si="17"/>
        <v/>
      </c>
      <c r="T21" s="74" t="str">
        <f t="shared" si="16"/>
        <v/>
      </c>
    </row>
    <row r="22" spans="1:20" ht="25" customHeight="1">
      <c r="A22" s="38">
        <v>45672</v>
      </c>
      <c r="B22" s="15" t="s">
        <v>336</v>
      </c>
      <c r="C22" s="16" t="s">
        <v>147</v>
      </c>
      <c r="D22" s="5">
        <v>0.64583333333333337</v>
      </c>
      <c r="E22" s="5">
        <v>0.70694444444444449</v>
      </c>
      <c r="F22" s="6" t="str">
        <f t="shared" si="0"/>
        <v>No</v>
      </c>
      <c r="G22" s="6">
        <f t="shared" si="3"/>
        <v>6.1111111111111116E-2</v>
      </c>
      <c r="H22" s="50">
        <f>_xlfn.IFNA(VLOOKUP(C:C,'Active Jobs'!B:K,8,0),"")</f>
        <v>200</v>
      </c>
      <c r="I22" s="8">
        <f t="shared" si="4"/>
        <v>1.4666666666666668</v>
      </c>
      <c r="J22" s="50">
        <f t="shared" si="5"/>
        <v>98.414360000000016</v>
      </c>
      <c r="K22" s="50">
        <f t="shared" si="6"/>
        <v>101.58563999999998</v>
      </c>
      <c r="L22" s="9">
        <f t="shared" si="7"/>
        <v>0.49207180000000006</v>
      </c>
      <c r="M22" s="16">
        <v>1</v>
      </c>
      <c r="O22" s="23" t="str">
        <f t="shared" ref="O22:S31" si="18">IF(N22="","",ROUND(SUMIFS($I:$I,$A:$A,O$1,$B:$B,"*"&amp;$N22&amp;"*"),2))</f>
        <v/>
      </c>
      <c r="P22" s="23" t="str">
        <f t="shared" si="18"/>
        <v/>
      </c>
      <c r="Q22" s="23" t="str">
        <f t="shared" si="18"/>
        <v/>
      </c>
      <c r="R22" s="23" t="str">
        <f t="shared" si="18"/>
        <v/>
      </c>
      <c r="S22" s="23" t="str">
        <f t="shared" si="18"/>
        <v/>
      </c>
      <c r="T22" s="74" t="str">
        <f t="shared" si="16"/>
        <v/>
      </c>
    </row>
    <row r="23" spans="1:20" ht="25" customHeight="1">
      <c r="A23" s="38">
        <v>45673</v>
      </c>
      <c r="B23" s="15" t="s">
        <v>339</v>
      </c>
      <c r="C23" s="16" t="s">
        <v>55</v>
      </c>
      <c r="D23" s="5">
        <v>0.35416666666666669</v>
      </c>
      <c r="E23" s="5">
        <v>0.46944444444444444</v>
      </c>
      <c r="F23" s="6" t="str">
        <f t="shared" si="0"/>
        <v>No</v>
      </c>
      <c r="G23" s="62">
        <f t="shared" si="3"/>
        <v>0.11527777777777776</v>
      </c>
      <c r="H23" s="50">
        <f>_xlfn.IFNA(VLOOKUP(C:C,'Active Jobs'!B:K,8,0),"")</f>
        <v>220</v>
      </c>
      <c r="I23" s="8">
        <f t="shared" si="4"/>
        <v>2.7666666666666662</v>
      </c>
      <c r="J23" s="50">
        <f t="shared" si="5"/>
        <v>185.64526999999995</v>
      </c>
      <c r="K23" s="50">
        <f t="shared" si="6"/>
        <v>34.354730000000046</v>
      </c>
      <c r="L23" s="9">
        <f t="shared" si="7"/>
        <v>0.84384213636363614</v>
      </c>
      <c r="M23" s="16">
        <v>2</v>
      </c>
      <c r="O23" s="23" t="str">
        <f t="shared" si="18"/>
        <v/>
      </c>
      <c r="P23" s="23" t="str">
        <f t="shared" si="18"/>
        <v/>
      </c>
      <c r="Q23" s="23" t="str">
        <f t="shared" si="18"/>
        <v/>
      </c>
      <c r="R23" s="23" t="str">
        <f t="shared" si="18"/>
        <v/>
      </c>
      <c r="S23" s="23" t="str">
        <f t="shared" si="18"/>
        <v/>
      </c>
      <c r="T23" s="74" t="str">
        <f t="shared" si="16"/>
        <v/>
      </c>
    </row>
    <row r="24" spans="1:20" ht="25" customHeight="1">
      <c r="A24" s="38">
        <v>45673</v>
      </c>
      <c r="B24" s="15" t="s">
        <v>339</v>
      </c>
      <c r="C24" s="16" t="s">
        <v>152</v>
      </c>
      <c r="D24" s="5">
        <v>0.46944444444444444</v>
      </c>
      <c r="E24" s="5">
        <v>0.56597222222222221</v>
      </c>
      <c r="F24" s="6" t="s">
        <v>17</v>
      </c>
      <c r="G24" s="6">
        <f t="shared" si="3"/>
        <v>7.5694444444444439E-2</v>
      </c>
      <c r="H24" s="50">
        <f>_xlfn.IFNA(VLOOKUP(C:C,'Active Jobs'!B:K,8,0),"")</f>
        <v>220</v>
      </c>
      <c r="I24" s="8">
        <f t="shared" si="4"/>
        <v>1.8166666666666664</v>
      </c>
      <c r="J24" s="50">
        <f t="shared" si="5"/>
        <v>121.89960499999998</v>
      </c>
      <c r="K24" s="50">
        <f t="shared" si="6"/>
        <v>98.10039500000002</v>
      </c>
      <c r="L24" s="9">
        <f t="shared" si="7"/>
        <v>0.55408911363636359</v>
      </c>
      <c r="M24" s="16">
        <v>2</v>
      </c>
      <c r="O24" s="23" t="str">
        <f t="shared" si="18"/>
        <v/>
      </c>
      <c r="P24" s="23" t="str">
        <f t="shared" si="18"/>
        <v/>
      </c>
      <c r="Q24" s="23" t="str">
        <f t="shared" si="18"/>
        <v/>
      </c>
      <c r="R24" s="23" t="str">
        <f t="shared" si="18"/>
        <v/>
      </c>
      <c r="S24" s="23" t="str">
        <f t="shared" si="18"/>
        <v/>
      </c>
      <c r="T24" s="74" t="str">
        <f t="shared" si="16"/>
        <v/>
      </c>
    </row>
    <row r="25" spans="1:20" ht="25" customHeight="1">
      <c r="A25" s="38">
        <v>45673</v>
      </c>
      <c r="B25" s="15" t="s">
        <v>339</v>
      </c>
      <c r="C25" s="16" t="s">
        <v>51</v>
      </c>
      <c r="D25" s="5">
        <v>0.56597222222222221</v>
      </c>
      <c r="E25" s="5">
        <v>0.66666666666666663</v>
      </c>
      <c r="F25" s="6" t="str">
        <f t="shared" si="0"/>
        <v>No</v>
      </c>
      <c r="G25" s="6">
        <f t="shared" si="3"/>
        <v>0.10069444444444442</v>
      </c>
      <c r="H25" s="50">
        <f>_xlfn.IFNA(VLOOKUP(C:C,'Active Jobs'!B:K,8,0),"")</f>
        <v>250</v>
      </c>
      <c r="I25" s="8">
        <f t="shared" si="4"/>
        <v>2.4166666666666661</v>
      </c>
      <c r="J25" s="50">
        <f t="shared" si="5"/>
        <v>162.16002499999996</v>
      </c>
      <c r="K25" s="50">
        <f t="shared" si="6"/>
        <v>87.839975000000038</v>
      </c>
      <c r="L25" s="9">
        <f t="shared" si="7"/>
        <v>0.64864009999999983</v>
      </c>
      <c r="M25" s="16">
        <v>2</v>
      </c>
      <c r="O25" s="23" t="str">
        <f t="shared" si="18"/>
        <v/>
      </c>
      <c r="P25" s="23" t="str">
        <f t="shared" si="18"/>
        <v/>
      </c>
      <c r="Q25" s="23" t="str">
        <f t="shared" si="18"/>
        <v/>
      </c>
      <c r="R25" s="23" t="str">
        <f t="shared" si="18"/>
        <v/>
      </c>
      <c r="S25" s="23" t="str">
        <f t="shared" si="18"/>
        <v/>
      </c>
      <c r="T25" s="74" t="str">
        <f t="shared" si="16"/>
        <v/>
      </c>
    </row>
    <row r="26" spans="1:20" ht="25" customHeight="1">
      <c r="A26" s="38">
        <v>45673</v>
      </c>
      <c r="B26" s="15" t="s">
        <v>339</v>
      </c>
      <c r="C26" s="16" t="s">
        <v>185</v>
      </c>
      <c r="D26" s="5">
        <v>0.66666666666666663</v>
      </c>
      <c r="E26" s="5">
        <v>0.75</v>
      </c>
      <c r="F26" s="6" t="str">
        <f t="shared" si="0"/>
        <v>No</v>
      </c>
      <c r="G26" s="6">
        <f t="shared" si="3"/>
        <v>8.333333333333337E-2</v>
      </c>
      <c r="H26" s="50" t="str">
        <f>_xlfn.IFNA(VLOOKUP(C:C,'Active Jobs'!B:K,8,0),"")</f>
        <v/>
      </c>
      <c r="I26" s="8">
        <f t="shared" si="4"/>
        <v>2.0000000000000009</v>
      </c>
      <c r="J26" s="50">
        <f t="shared" si="5"/>
        <v>134.20140000000006</v>
      </c>
      <c r="K26" s="50" t="str">
        <f t="shared" si="6"/>
        <v/>
      </c>
      <c r="L26" s="9" t="str">
        <f t="shared" si="7"/>
        <v/>
      </c>
      <c r="M26" s="16">
        <v>2</v>
      </c>
      <c r="O26" s="23" t="str">
        <f t="shared" si="18"/>
        <v/>
      </c>
      <c r="P26" s="23" t="str">
        <f t="shared" si="18"/>
        <v/>
      </c>
      <c r="Q26" s="23" t="str">
        <f t="shared" si="18"/>
        <v/>
      </c>
      <c r="R26" s="23" t="str">
        <f t="shared" si="18"/>
        <v/>
      </c>
      <c r="S26" s="23" t="str">
        <f t="shared" si="18"/>
        <v/>
      </c>
      <c r="T26" s="74" t="str">
        <f t="shared" si="16"/>
        <v/>
      </c>
    </row>
    <row r="27" spans="1:20" ht="25" customHeight="1">
      <c r="A27" s="38">
        <v>45673</v>
      </c>
      <c r="B27" s="15" t="s">
        <v>336</v>
      </c>
      <c r="C27" s="16" t="s">
        <v>148</v>
      </c>
      <c r="D27" s="5">
        <v>0.35416666666666669</v>
      </c>
      <c r="E27" s="5">
        <v>0.44930555555555557</v>
      </c>
      <c r="F27" s="6" t="str">
        <f t="shared" si="0"/>
        <v>No</v>
      </c>
      <c r="G27" s="6">
        <f t="shared" si="3"/>
        <v>9.5138888888888884E-2</v>
      </c>
      <c r="H27" s="50">
        <f>_xlfn.IFNA(VLOOKUP(C:C,'Active Jobs'!B:K,8,0),"")</f>
        <v>200</v>
      </c>
      <c r="I27" s="8">
        <f t="shared" si="4"/>
        <v>2.2833333333333332</v>
      </c>
      <c r="J27" s="50">
        <f t="shared" si="5"/>
        <v>153.21326500000001</v>
      </c>
      <c r="K27" s="50">
        <f t="shared" si="6"/>
        <v>46.786734999999993</v>
      </c>
      <c r="L27" s="9">
        <f t="shared" si="7"/>
        <v>0.76606632500000005</v>
      </c>
      <c r="M27" s="16">
        <v>1</v>
      </c>
      <c r="O27" s="23" t="str">
        <f t="shared" si="18"/>
        <v/>
      </c>
      <c r="P27" s="23" t="str">
        <f t="shared" si="18"/>
        <v/>
      </c>
      <c r="Q27" s="23" t="str">
        <f t="shared" si="18"/>
        <v/>
      </c>
      <c r="R27" s="23" t="str">
        <f t="shared" si="18"/>
        <v/>
      </c>
      <c r="S27" s="23" t="str">
        <f t="shared" si="18"/>
        <v/>
      </c>
      <c r="T27" s="74" t="str">
        <f t="shared" si="16"/>
        <v/>
      </c>
    </row>
    <row r="28" spans="1:20" ht="25" customHeight="1">
      <c r="A28" s="38">
        <v>45673</v>
      </c>
      <c r="B28" s="15" t="s">
        <v>336</v>
      </c>
      <c r="C28" s="16" t="s">
        <v>113</v>
      </c>
      <c r="D28" s="5">
        <v>0.44930555555555557</v>
      </c>
      <c r="E28" s="5">
        <v>0.55208333333333337</v>
      </c>
      <c r="F28" s="6" t="s">
        <v>17</v>
      </c>
      <c r="G28" s="6">
        <f t="shared" si="3"/>
        <v>8.1944444444444473E-2</v>
      </c>
      <c r="H28" s="50">
        <f>_xlfn.IFNA(VLOOKUP(C:C,'Active Jobs'!B:K,8,0),"")</f>
        <v>230</v>
      </c>
      <c r="I28" s="8">
        <f t="shared" si="4"/>
        <v>1.9666666666666672</v>
      </c>
      <c r="J28" s="50">
        <f t="shared" si="5"/>
        <v>131.96471000000003</v>
      </c>
      <c r="K28" s="50">
        <f t="shared" si="6"/>
        <v>98.035289999999975</v>
      </c>
      <c r="L28" s="9">
        <f t="shared" si="7"/>
        <v>0.57375960869565223</v>
      </c>
      <c r="M28" s="16">
        <v>1</v>
      </c>
      <c r="O28" s="23" t="str">
        <f t="shared" si="18"/>
        <v/>
      </c>
      <c r="P28" s="23" t="str">
        <f t="shared" si="18"/>
        <v/>
      </c>
      <c r="Q28" s="23" t="str">
        <f t="shared" si="18"/>
        <v/>
      </c>
      <c r="R28" s="23" t="str">
        <f t="shared" si="18"/>
        <v/>
      </c>
      <c r="S28" s="23" t="str">
        <f t="shared" si="18"/>
        <v/>
      </c>
      <c r="T28" s="74" t="str">
        <f t="shared" si="16"/>
        <v/>
      </c>
    </row>
    <row r="29" spans="1:20" ht="25" customHeight="1">
      <c r="A29" s="38">
        <v>45673</v>
      </c>
      <c r="B29" s="15" t="s">
        <v>336</v>
      </c>
      <c r="C29" s="16" t="s">
        <v>112</v>
      </c>
      <c r="D29" s="5">
        <v>0.55208333333333337</v>
      </c>
      <c r="E29" s="5">
        <v>0.61458333333333337</v>
      </c>
      <c r="F29" s="6" t="str">
        <f t="shared" si="0"/>
        <v>No</v>
      </c>
      <c r="G29" s="6">
        <f t="shared" si="3"/>
        <v>6.25E-2</v>
      </c>
      <c r="H29" s="50">
        <v>200</v>
      </c>
      <c r="I29" s="8">
        <f t="shared" si="4"/>
        <v>1.5</v>
      </c>
      <c r="J29" s="50">
        <f t="shared" si="5"/>
        <v>100.65105</v>
      </c>
      <c r="K29" s="50">
        <f t="shared" si="6"/>
        <v>99.348950000000002</v>
      </c>
      <c r="L29" s="9">
        <f t="shared" si="7"/>
        <v>0.50325525000000004</v>
      </c>
      <c r="M29" s="16">
        <v>1</v>
      </c>
      <c r="O29" s="23" t="str">
        <f t="shared" si="18"/>
        <v/>
      </c>
      <c r="P29" s="23" t="str">
        <f t="shared" si="18"/>
        <v/>
      </c>
      <c r="Q29" s="23" t="str">
        <f t="shared" si="18"/>
        <v/>
      </c>
      <c r="R29" s="23" t="str">
        <f t="shared" si="18"/>
        <v/>
      </c>
      <c r="S29" s="23" t="str">
        <f t="shared" si="18"/>
        <v/>
      </c>
      <c r="T29" s="74" t="str">
        <f t="shared" si="16"/>
        <v/>
      </c>
    </row>
    <row r="30" spans="1:20" ht="25" customHeight="1">
      <c r="A30" s="38">
        <v>45673</v>
      </c>
      <c r="B30" s="15" t="s">
        <v>336</v>
      </c>
      <c r="C30" s="16" t="s">
        <v>47</v>
      </c>
      <c r="D30" s="5">
        <v>0.61458333333333337</v>
      </c>
      <c r="E30" s="5">
        <v>0.68055555555555558</v>
      </c>
      <c r="F30" s="6" t="str">
        <f t="shared" ref="F30:F31" si="19">IF(E30="","","No")</f>
        <v>No</v>
      </c>
      <c r="G30" s="6">
        <f t="shared" ref="G30:G34" si="20">IF(E30="","",IF(F30="Yes",(E30-D30)-TIME(0,30,0),E30-D30))</f>
        <v>6.597222222222221E-2</v>
      </c>
      <c r="H30" s="50">
        <f>_xlfn.IFNA(VLOOKUP(C:C,'Active Jobs'!B:K,8,0),"")</f>
        <v>200</v>
      </c>
      <c r="I30" s="8">
        <f t="shared" ref="I30:I34" si="21">IF(F30="Yes",(E30-D30)*24-0.5,IF(F30="No",(E30-D30)*24,""))</f>
        <v>1.583333333333333</v>
      </c>
      <c r="J30" s="50">
        <f t="shared" ref="J30:J34" si="22">IF(G30="","",G30*24*HourlyRate*2*(1+Super))</f>
        <v>106.24277499999998</v>
      </c>
      <c r="K30" s="50">
        <f t="shared" ref="K30:K34" si="23">IF(H30="","",H30-J30)</f>
        <v>93.75722500000002</v>
      </c>
      <c r="L30" s="9">
        <f t="shared" ref="L30:L34" si="24">IF(K30="","",IF(H30=0,1,J30/H30))</f>
        <v>0.53121387499999995</v>
      </c>
      <c r="M30" s="16">
        <v>1</v>
      </c>
      <c r="O30" s="23" t="str">
        <f t="shared" si="18"/>
        <v/>
      </c>
      <c r="P30" s="23" t="str">
        <f t="shared" si="18"/>
        <v/>
      </c>
      <c r="Q30" s="23" t="str">
        <f t="shared" si="18"/>
        <v/>
      </c>
      <c r="R30" s="23" t="str">
        <f t="shared" si="18"/>
        <v/>
      </c>
      <c r="S30" s="23" t="str">
        <f t="shared" si="18"/>
        <v/>
      </c>
      <c r="T30" s="74" t="str">
        <f t="shared" si="16"/>
        <v/>
      </c>
    </row>
    <row r="31" spans="1:20" ht="25" customHeight="1">
      <c r="A31" s="38">
        <v>45674</v>
      </c>
      <c r="B31" s="15" t="s">
        <v>339</v>
      </c>
      <c r="C31" s="16" t="s">
        <v>52</v>
      </c>
      <c r="D31" s="5">
        <v>0.35416666666666669</v>
      </c>
      <c r="E31" s="5">
        <v>0.46111111111111114</v>
      </c>
      <c r="F31" s="6" t="str">
        <f t="shared" si="19"/>
        <v>No</v>
      </c>
      <c r="G31" s="6">
        <f t="shared" si="20"/>
        <v>0.10694444444444445</v>
      </c>
      <c r="H31" s="50">
        <f>_xlfn.IFNA(VLOOKUP(C:C,'Active Jobs'!B:K,8,0),"")</f>
        <v>220</v>
      </c>
      <c r="I31" s="8">
        <f t="shared" si="21"/>
        <v>2.5666666666666669</v>
      </c>
      <c r="J31" s="50">
        <f t="shared" si="22"/>
        <v>172.22513000000001</v>
      </c>
      <c r="K31" s="50">
        <f t="shared" si="23"/>
        <v>47.774869999999993</v>
      </c>
      <c r="L31" s="9">
        <f t="shared" si="24"/>
        <v>0.78284150000000008</v>
      </c>
      <c r="M31" s="16">
        <v>2</v>
      </c>
      <c r="O31" s="23" t="str">
        <f t="shared" si="18"/>
        <v/>
      </c>
      <c r="P31" s="23" t="str">
        <f t="shared" si="18"/>
        <v/>
      </c>
      <c r="Q31" s="23" t="str">
        <f t="shared" si="18"/>
        <v/>
      </c>
      <c r="R31" s="23" t="str">
        <f t="shared" si="18"/>
        <v/>
      </c>
      <c r="S31" s="23" t="str">
        <f t="shared" si="18"/>
        <v/>
      </c>
      <c r="T31" s="74" t="str">
        <f t="shared" si="16"/>
        <v/>
      </c>
    </row>
    <row r="32" spans="1:20" ht="25" customHeight="1">
      <c r="A32" s="38">
        <v>45674</v>
      </c>
      <c r="B32" s="15" t="s">
        <v>339</v>
      </c>
      <c r="C32" s="16" t="s">
        <v>127</v>
      </c>
      <c r="D32" s="5">
        <v>0.46111111111111114</v>
      </c>
      <c r="E32" s="5">
        <v>0.5625</v>
      </c>
      <c r="F32" s="6" t="s">
        <v>193</v>
      </c>
      <c r="G32" s="6">
        <f t="shared" si="20"/>
        <v>8.0555555555555533E-2</v>
      </c>
      <c r="H32" s="50">
        <f>_xlfn.IFNA(VLOOKUP(C:C,'Active Jobs'!B:K,8,0),"")</f>
        <v>200</v>
      </c>
      <c r="I32" s="8">
        <f t="shared" si="21"/>
        <v>1.9333333333333327</v>
      </c>
      <c r="J32" s="50">
        <f t="shared" si="22"/>
        <v>129.72801999999996</v>
      </c>
      <c r="K32" s="50">
        <f t="shared" si="23"/>
        <v>70.271980000000042</v>
      </c>
      <c r="L32" s="9">
        <f t="shared" si="24"/>
        <v>0.64864009999999983</v>
      </c>
      <c r="M32" s="16">
        <v>2</v>
      </c>
      <c r="O32" s="23" t="str">
        <f t="shared" ref="O32:S41" si="25">IF(N32="","",ROUND(SUMIFS($I:$I,$A:$A,O$1,$B:$B,"*"&amp;$N32&amp;"*"),2))</f>
        <v/>
      </c>
      <c r="P32" s="23" t="str">
        <f t="shared" si="25"/>
        <v/>
      </c>
      <c r="Q32" s="23" t="str">
        <f t="shared" si="25"/>
        <v/>
      </c>
      <c r="R32" s="23" t="str">
        <f t="shared" si="25"/>
        <v/>
      </c>
      <c r="S32" s="23" t="str">
        <f t="shared" si="25"/>
        <v/>
      </c>
      <c r="T32" s="74" t="str">
        <f t="shared" si="16"/>
        <v/>
      </c>
    </row>
    <row r="33" spans="1:20" ht="25" customHeight="1">
      <c r="A33" s="38">
        <v>45674</v>
      </c>
      <c r="B33" s="15" t="s">
        <v>339</v>
      </c>
      <c r="C33" s="16" t="s">
        <v>155</v>
      </c>
      <c r="D33" s="5">
        <v>0.5625</v>
      </c>
      <c r="E33" s="5">
        <v>0.64583333333333337</v>
      </c>
      <c r="F33" s="6" t="str">
        <f>IF(E33="","","No")</f>
        <v>No</v>
      </c>
      <c r="G33" s="6">
        <f>IF(E33="","",IF(F33="Yes",(E33-D33)-TIME(0,30,0),E33-D33))</f>
        <v>8.333333333333337E-2</v>
      </c>
      <c r="H33" s="50">
        <f>_xlfn.IFNA(VLOOKUP(C:C,'Active Jobs'!B:K,8,0),"")</f>
        <v>220</v>
      </c>
      <c r="I33" s="8">
        <f>IF(F33="Yes",(E33-D33)*24-0.5,IF(F33="No",(E33-D33)*24,""))</f>
        <v>2.0000000000000009</v>
      </c>
      <c r="J33" s="50">
        <f>IF(G33="","",G33*24*HourlyRate*2*(1+Super))</f>
        <v>134.20140000000006</v>
      </c>
      <c r="K33" s="50">
        <f>IF(H33="","",H33-J33)</f>
        <v>85.798599999999936</v>
      </c>
      <c r="L33" s="9">
        <f>IF(K33="","",IF(H33=0,1,J33/H33))</f>
        <v>0.61000636363636396</v>
      </c>
      <c r="M33" s="16">
        <v>2</v>
      </c>
      <c r="O33" s="23" t="str">
        <f t="shared" si="25"/>
        <v/>
      </c>
      <c r="P33" s="23" t="str">
        <f t="shared" si="25"/>
        <v/>
      </c>
      <c r="Q33" s="23" t="str">
        <f t="shared" si="25"/>
        <v/>
      </c>
      <c r="R33" s="23" t="str">
        <f t="shared" si="25"/>
        <v/>
      </c>
      <c r="S33" s="23" t="str">
        <f t="shared" si="25"/>
        <v/>
      </c>
      <c r="T33" s="74" t="str">
        <f t="shared" si="16"/>
        <v/>
      </c>
    </row>
    <row r="34" spans="1:20" ht="25" customHeight="1">
      <c r="A34" s="38">
        <v>45674</v>
      </c>
      <c r="B34" s="15" t="s">
        <v>336</v>
      </c>
      <c r="C34" s="49" t="s">
        <v>368</v>
      </c>
      <c r="D34" s="5">
        <v>0.35416666666666669</v>
      </c>
      <c r="E34" s="5">
        <v>0.65972222222222221</v>
      </c>
      <c r="F34" s="6" t="s">
        <v>193</v>
      </c>
      <c r="G34" s="6">
        <f t="shared" si="20"/>
        <v>0.28472222222222221</v>
      </c>
      <c r="H34" s="50">
        <v>850</v>
      </c>
      <c r="I34" s="8">
        <f t="shared" si="21"/>
        <v>6.8333333333333321</v>
      </c>
      <c r="J34" s="50">
        <f t="shared" si="22"/>
        <v>458.52144999999996</v>
      </c>
      <c r="K34" s="50">
        <f t="shared" si="23"/>
        <v>391.47855000000004</v>
      </c>
      <c r="L34" s="9">
        <f t="shared" si="24"/>
        <v>0.53943699999999994</v>
      </c>
      <c r="M34" s="16">
        <v>1</v>
      </c>
      <c r="O34" s="23" t="str">
        <f t="shared" si="25"/>
        <v/>
      </c>
      <c r="P34" s="23" t="str">
        <f t="shared" si="25"/>
        <v/>
      </c>
      <c r="Q34" s="23" t="str">
        <f t="shared" si="25"/>
        <v/>
      </c>
      <c r="R34" s="23" t="str">
        <f t="shared" si="25"/>
        <v/>
      </c>
      <c r="S34" s="23" t="str">
        <f t="shared" si="25"/>
        <v/>
      </c>
      <c r="T34" s="74" t="str">
        <f t="shared" si="16"/>
        <v/>
      </c>
    </row>
    <row r="35" spans="1:20" ht="25" customHeight="1">
      <c r="A35" s="39"/>
      <c r="B35" s="29"/>
      <c r="C35" s="30"/>
      <c r="D35" s="1"/>
      <c r="E35" s="1"/>
      <c r="F35" s="31"/>
      <c r="G35" s="32"/>
      <c r="H35" s="53">
        <f>SUBTOTAL(109,Table226121014[Quoted])</f>
        <v>7675</v>
      </c>
      <c r="I35" s="34">
        <f>SUBTOTAL(109,Table226121014[Hours Payable])</f>
        <v>77.5</v>
      </c>
      <c r="J35" s="53">
        <f>SUBTOTAL(109,Table226121014[Wages (Incl. Super)])</f>
        <v>5192.4758349999993</v>
      </c>
      <c r="K35" s="53">
        <f>SUBTOTAL(109,Table226121014[Profit])</f>
        <v>2784.4773150000001</v>
      </c>
      <c r="L35" s="35">
        <f>IF(L2="","",SUBTOTAL(101,Table226121014[Quote/Wages]))</f>
        <v>0.64378766479574656</v>
      </c>
      <c r="O35" s="23" t="str">
        <f t="shared" si="25"/>
        <v/>
      </c>
      <c r="P35" s="23" t="str">
        <f t="shared" si="25"/>
        <v/>
      </c>
      <c r="Q35" s="23" t="str">
        <f t="shared" si="25"/>
        <v/>
      </c>
      <c r="R35" s="23" t="str">
        <f t="shared" si="25"/>
        <v/>
      </c>
      <c r="S35" s="23" t="str">
        <f t="shared" si="25"/>
        <v/>
      </c>
      <c r="T35" s="74" t="str">
        <f t="shared" si="16"/>
        <v/>
      </c>
    </row>
    <row r="36" spans="1:20" ht="25" customHeight="1">
      <c r="O36" s="23" t="str">
        <f t="shared" si="25"/>
        <v/>
      </c>
      <c r="P36" s="23" t="str">
        <f t="shared" si="25"/>
        <v/>
      </c>
      <c r="Q36" s="23" t="str">
        <f t="shared" si="25"/>
        <v/>
      </c>
      <c r="R36" s="23" t="str">
        <f t="shared" si="25"/>
        <v/>
      </c>
      <c r="S36" s="23" t="str">
        <f t="shared" si="25"/>
        <v/>
      </c>
      <c r="T36" s="74" t="str">
        <f t="shared" si="16"/>
        <v/>
      </c>
    </row>
    <row r="37" spans="1:20" ht="25" customHeight="1">
      <c r="O37" s="23" t="str">
        <f t="shared" si="25"/>
        <v/>
      </c>
      <c r="P37" s="23" t="str">
        <f t="shared" si="25"/>
        <v/>
      </c>
      <c r="Q37" s="23" t="str">
        <f t="shared" si="25"/>
        <v/>
      </c>
      <c r="R37" s="23" t="str">
        <f t="shared" si="25"/>
        <v/>
      </c>
      <c r="S37" s="23" t="str">
        <f t="shared" si="25"/>
        <v/>
      </c>
      <c r="T37" s="74" t="str">
        <f t="shared" si="16"/>
        <v/>
      </c>
    </row>
    <row r="38" spans="1:20" ht="25" customHeight="1">
      <c r="O38" s="23" t="str">
        <f t="shared" si="25"/>
        <v/>
      </c>
      <c r="P38" s="23" t="str">
        <f t="shared" si="25"/>
        <v/>
      </c>
      <c r="Q38" s="23" t="str">
        <f t="shared" si="25"/>
        <v/>
      </c>
      <c r="R38" s="23" t="str">
        <f t="shared" si="25"/>
        <v/>
      </c>
      <c r="S38" s="23" t="str">
        <f t="shared" si="25"/>
        <v/>
      </c>
      <c r="T38" s="74" t="str">
        <f t="shared" si="16"/>
        <v/>
      </c>
    </row>
    <row r="39" spans="1:20" ht="25" customHeight="1">
      <c r="O39" s="23" t="str">
        <f t="shared" si="25"/>
        <v/>
      </c>
      <c r="P39" s="23" t="str">
        <f t="shared" si="25"/>
        <v/>
      </c>
      <c r="Q39" s="23" t="str">
        <f t="shared" si="25"/>
        <v/>
      </c>
      <c r="R39" s="23" t="str">
        <f t="shared" si="25"/>
        <v/>
      </c>
      <c r="S39" s="23" t="str">
        <f t="shared" si="25"/>
        <v/>
      </c>
      <c r="T39" s="74" t="str">
        <f t="shared" si="16"/>
        <v/>
      </c>
    </row>
    <row r="40" spans="1:20" ht="25" customHeight="1">
      <c r="O40" s="23" t="str">
        <f t="shared" si="25"/>
        <v/>
      </c>
      <c r="P40" s="23" t="str">
        <f t="shared" si="25"/>
        <v/>
      </c>
      <c r="Q40" s="23" t="str">
        <f t="shared" si="25"/>
        <v/>
      </c>
      <c r="R40" s="23" t="str">
        <f t="shared" si="25"/>
        <v/>
      </c>
      <c r="S40" s="23" t="str">
        <f t="shared" si="25"/>
        <v/>
      </c>
      <c r="T40" s="74" t="str">
        <f t="shared" si="16"/>
        <v/>
      </c>
    </row>
    <row r="41" spans="1:20" ht="25" customHeight="1">
      <c r="O41" s="23" t="str">
        <f t="shared" si="25"/>
        <v/>
      </c>
      <c r="P41" s="23" t="str">
        <f t="shared" si="25"/>
        <v/>
      </c>
      <c r="Q41" s="23" t="str">
        <f t="shared" si="25"/>
        <v/>
      </c>
      <c r="R41" s="23" t="str">
        <f t="shared" si="25"/>
        <v/>
      </c>
      <c r="S41" s="23" t="str">
        <f t="shared" si="25"/>
        <v/>
      </c>
      <c r="T41" s="74" t="str">
        <f t="shared" si="16"/>
        <v/>
      </c>
    </row>
    <row r="42" spans="1:20" ht="25" customHeight="1">
      <c r="O42" s="23" t="str">
        <f t="shared" ref="O42:S42" si="26">IF(N42="","",ROUND(SUMIFS($I:$I,$A:$A,O$1,$B:$B,"*"&amp;$N42&amp;"*"),2))</f>
        <v/>
      </c>
      <c r="P42" s="23" t="str">
        <f t="shared" si="26"/>
        <v/>
      </c>
      <c r="Q42" s="23" t="str">
        <f t="shared" si="26"/>
        <v/>
      </c>
      <c r="R42" s="23" t="str">
        <f t="shared" si="26"/>
        <v/>
      </c>
      <c r="S42" s="23" t="str">
        <f t="shared" si="26"/>
        <v/>
      </c>
      <c r="T42" s="74" t="str">
        <f t="shared" si="16"/>
        <v/>
      </c>
    </row>
  </sheetData>
  <conditionalFormatting sqref="B36:B256 B1:B34">
    <cfRule type="expression" dxfId="28" priority="1">
      <formula>AND(ROW()&gt;1, E1&lt;&gt;"", COUNTIFS(A:A, $A1, B:B, $B1, F:F, "Yes")=0)</formula>
    </cfRule>
  </conditionalFormatting>
  <conditionalFormatting sqref="F36:F256 F1:F34">
    <cfRule type="expression" dxfId="27" priority="2" stopIfTrue="1">
      <formula>AND(ROW()&gt;1, E1&lt;&gt;"", COUNTIFS(A:A, $A1, B:B, $B1, F:F, "Yes")=0)</formula>
    </cfRule>
  </conditionalFormatting>
  <dataValidations count="1">
    <dataValidation type="list" allowBlank="1" showErrorMessage="1" promptTitle="Select" sqref="B2:B34" xr:uid="{9E5F74FB-1D52-1B4E-9E28-E22898D00DCC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3E80D895-DB74-6943-9B01-E48B92D08F82}">
          <x14:formula1>
            <xm:f>'Active Jobs'!$B$2:$B$154</xm:f>
          </x14:formula1>
          <xm:sqref>C2:C34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F12B-25EE-784D-9F1D-3D024624CBE6}">
  <sheetPr codeName="Sheet5"/>
  <dimension ref="A1:W31"/>
  <sheetViews>
    <sheetView topLeftCell="A7" zoomScale="125" zoomScaleNormal="125" workbookViewId="0">
      <selection activeCell="A20" sqref="A20:XFD24"/>
    </sheetView>
  </sheetViews>
  <sheetFormatPr baseColWidth="10" defaultColWidth="10.7109375" defaultRowHeight="25" customHeight="1"/>
  <cols>
    <col min="1" max="1" width="13.42578125" style="38" bestFit="1" customWidth="1"/>
    <col min="2" max="2" width="33.7109375" style="17" bestFit="1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S1">TRANSPOSE(_xlfn._xlws.FILTER(_xlfn.UNIQUE(A2:A202), _xlfn.UNIQUE(A2:A202)&lt;&gt;""))</f>
        <v>45663</v>
      </c>
      <c r="P1" s="28">
        <v>45664</v>
      </c>
      <c r="Q1" s="28">
        <v>45665</v>
      </c>
      <c r="R1" s="28">
        <v>45666</v>
      </c>
      <c r="S1" s="28">
        <v>45667</v>
      </c>
      <c r="T1" s="27" t="s">
        <v>14</v>
      </c>
      <c r="U1" s="21"/>
      <c r="V1" s="22" t="s">
        <v>15</v>
      </c>
      <c r="W1" s="20" t="s">
        <v>16</v>
      </c>
    </row>
    <row r="2" spans="1:23" ht="25" customHeight="1">
      <c r="A2" s="37">
        <v>45663</v>
      </c>
      <c r="B2" s="15" t="s">
        <v>364</v>
      </c>
      <c r="C2" s="16" t="s">
        <v>118</v>
      </c>
      <c r="D2" s="5">
        <v>0.35416666666666669</v>
      </c>
      <c r="E2" s="5">
        <v>0.46250000000000002</v>
      </c>
      <c r="F2" s="6" t="str">
        <f t="shared" ref="F2:F30" si="0">IF(E2="","","No")</f>
        <v>No</v>
      </c>
      <c r="G2" s="6">
        <f>IF(E2="","",IF(F2="Yes",(E2-D2)-TIME(0,30,0),E2-D2))</f>
        <v>0.10833333333333334</v>
      </c>
      <c r="H2" s="50">
        <f>_xlfn.IFNA(VLOOKUP(C:C,'Active Jobs'!B:K,8,0),"")</f>
        <v>200</v>
      </c>
      <c r="I2" s="8">
        <f>IF(F2="Yes",(E2-D2)*24-0.5,IF(F2="No",(E2-D2)*24,""))</f>
        <v>2.6</v>
      </c>
      <c r="J2" s="50">
        <f>IF(G2="","",G2*24*HourlyRate*2*(1+Super))</f>
        <v>174.46182000000002</v>
      </c>
      <c r="K2" s="50">
        <f>IF(H2="","",H2-J2)</f>
        <v>25.538179999999983</v>
      </c>
      <c r="L2" s="9">
        <f>IF(K2="","",IF(H2=0,1,J2/H2))</f>
        <v>0.87230910000000006</v>
      </c>
      <c r="M2" s="16">
        <v>2</v>
      </c>
      <c r="N2" s="41" t="str" cm="1">
        <f t="array" ref="N2:N6">_xlfn.UNIQUE(TRANSPOSE(_xlfn.TEXTSPLIT(_xlfn.TEXTJOIN(" &amp; ", TRUE, B2:B202), " &amp; ")))</f>
        <v>Sheyda Watermann</v>
      </c>
      <c r="O2" s="23">
        <f t="shared" ref="O2:S14" si="1">IF(N2="","",ROUND(SUMIFS($I:$I,$A:$A,O$1,$B:$B,"*"&amp;$N2&amp;"*"),2))</f>
        <v>6.2</v>
      </c>
      <c r="P2" s="23">
        <f t="shared" si="1"/>
        <v>4.33</v>
      </c>
      <c r="Q2" s="23">
        <f t="shared" si="1"/>
        <v>6.5</v>
      </c>
      <c r="R2" s="23">
        <f t="shared" si="1"/>
        <v>5.08</v>
      </c>
      <c r="S2" s="23">
        <f t="shared" si="1"/>
        <v>8.7200000000000006</v>
      </c>
      <c r="T2" s="10">
        <f t="shared" ref="T2:T14" si="2">IF(N2="","",SUM(O2:S2))</f>
        <v>30.83</v>
      </c>
      <c r="U2" s="21"/>
      <c r="V2" s="24">
        <f>T2*HourlyRate</f>
        <v>927.67469999999992</v>
      </c>
      <c r="W2" s="25">
        <f>V2*Super</f>
        <v>106.68259049999999</v>
      </c>
    </row>
    <row r="3" spans="1:23" ht="25" customHeight="1">
      <c r="A3" s="37">
        <v>45663</v>
      </c>
      <c r="B3" s="15" t="s">
        <v>364</v>
      </c>
      <c r="C3" s="16" t="s">
        <v>124</v>
      </c>
      <c r="D3" s="5">
        <v>0.46250000000000002</v>
      </c>
      <c r="E3" s="5">
        <v>0.57638888888888884</v>
      </c>
      <c r="F3" s="6" t="s">
        <v>17</v>
      </c>
      <c r="G3" s="6">
        <f t="shared" ref="G3:G30" si="3">IF(E3="","",IF(F3="Yes",(E3-D3)-TIME(0,30,0),E3-D3))</f>
        <v>9.3055555555555489E-2</v>
      </c>
      <c r="H3" s="50">
        <f>_xlfn.IFNA(VLOOKUP(C:C,'Active Jobs'!B:K,8,0),"")</f>
        <v>250</v>
      </c>
      <c r="I3" s="8">
        <f t="shared" ref="I3:I30" si="4">IF(F3="Yes",(E3-D3)*24-0.5,IF(F3="No",(E3-D3)*24,""))</f>
        <v>2.2333333333333316</v>
      </c>
      <c r="J3" s="50">
        <f t="shared" ref="J3:J23" si="5">IF(G3="","",G3*24*HourlyRate*2*(1+Super))</f>
        <v>149.85822999999988</v>
      </c>
      <c r="K3" s="50">
        <f t="shared" ref="K3:K30" si="6">IF(H3="","",H3-J3)</f>
        <v>100.14177000000012</v>
      </c>
      <c r="L3" s="9">
        <f t="shared" ref="L3:L30" si="7">IF(K3="","",IF(H3=0,1,J3/H3))</f>
        <v>0.59943291999999948</v>
      </c>
      <c r="M3" s="16">
        <v>2</v>
      </c>
      <c r="N3" s="42" t="str">
        <v>Julie Roccati</v>
      </c>
      <c r="O3" s="23">
        <f t="shared" si="1"/>
        <v>0</v>
      </c>
      <c r="P3" s="23">
        <f t="shared" si="1"/>
        <v>4.33</v>
      </c>
      <c r="Q3" s="23">
        <f t="shared" si="1"/>
        <v>6.5</v>
      </c>
      <c r="R3" s="23">
        <f t="shared" si="1"/>
        <v>5.08</v>
      </c>
      <c r="S3" s="23">
        <f t="shared" si="1"/>
        <v>8.7200000000000006</v>
      </c>
      <c r="T3" s="10">
        <f t="shared" si="2"/>
        <v>24.630000000000003</v>
      </c>
      <c r="U3" s="21"/>
      <c r="V3" s="24">
        <f>T3*HourlyRate</f>
        <v>741.11670000000004</v>
      </c>
      <c r="W3" s="25">
        <f>V3*Super</f>
        <v>85.228420500000013</v>
      </c>
    </row>
    <row r="4" spans="1:23" ht="25" customHeight="1">
      <c r="A4" s="37">
        <v>45663</v>
      </c>
      <c r="B4" s="15" t="s">
        <v>364</v>
      </c>
      <c r="C4" s="16" t="s">
        <v>29</v>
      </c>
      <c r="D4" s="5">
        <v>0.57638888888888884</v>
      </c>
      <c r="E4" s="5">
        <v>0.6333333333333333</v>
      </c>
      <c r="F4" s="6" t="str">
        <f t="shared" si="0"/>
        <v>No</v>
      </c>
      <c r="G4" s="6">
        <f t="shared" si="3"/>
        <v>5.6944444444444464E-2</v>
      </c>
      <c r="H4" s="50">
        <f>_xlfn.IFNA(VLOOKUP(C:C,'Active Jobs'!B:K,8,0),"")</f>
        <v>200</v>
      </c>
      <c r="I4" s="8">
        <f t="shared" si="4"/>
        <v>1.3666666666666671</v>
      </c>
      <c r="J4" s="50">
        <f t="shared" si="5"/>
        <v>91.704290000000029</v>
      </c>
      <c r="K4" s="50">
        <f t="shared" si="6"/>
        <v>108.29570999999997</v>
      </c>
      <c r="L4" s="9">
        <f t="shared" si="7"/>
        <v>0.45852145000000016</v>
      </c>
      <c r="M4" s="16">
        <v>2</v>
      </c>
      <c r="N4" s="42" t="str">
        <v>Aoife O'Gorman</v>
      </c>
      <c r="O4" s="23">
        <v>5.5</v>
      </c>
      <c r="P4" s="23">
        <f t="shared" si="1"/>
        <v>6.7</v>
      </c>
      <c r="Q4" s="23">
        <f t="shared" si="1"/>
        <v>5.5</v>
      </c>
      <c r="R4" s="23">
        <f t="shared" si="1"/>
        <v>7.22</v>
      </c>
      <c r="S4" s="23">
        <f t="shared" si="1"/>
        <v>8.23</v>
      </c>
      <c r="T4" s="10">
        <f t="shared" si="2"/>
        <v>33.15</v>
      </c>
      <c r="U4" s="21"/>
      <c r="V4" s="24">
        <f>T4*HourlyRate</f>
        <v>997.48349999999994</v>
      </c>
      <c r="W4" s="25">
        <f>V4*Super</f>
        <v>114.71060249999999</v>
      </c>
    </row>
    <row r="5" spans="1:23" ht="25" customHeight="1">
      <c r="A5" s="37">
        <v>45664</v>
      </c>
      <c r="B5" s="15" t="s">
        <v>365</v>
      </c>
      <c r="C5" s="16" t="s">
        <v>21</v>
      </c>
      <c r="D5" s="5">
        <v>0.3611111111111111</v>
      </c>
      <c r="E5" s="5">
        <v>0.48888888888888887</v>
      </c>
      <c r="F5" s="6" t="str">
        <f t="shared" si="0"/>
        <v>No</v>
      </c>
      <c r="G5" s="6">
        <f t="shared" si="3"/>
        <v>0.12777777777777777</v>
      </c>
      <c r="H5" s="50">
        <f>_xlfn.IFNA(VLOOKUP(C:C,'Active Jobs'!B:K,8,0),"")</f>
        <v>220</v>
      </c>
      <c r="I5" s="8">
        <f t="shared" si="4"/>
        <v>3.0666666666666664</v>
      </c>
      <c r="J5" s="50">
        <f t="shared" si="5"/>
        <v>205.77547999999999</v>
      </c>
      <c r="K5" s="50">
        <f t="shared" si="6"/>
        <v>14.224520000000012</v>
      </c>
      <c r="L5" s="9">
        <f t="shared" si="7"/>
        <v>0.93534309090909085</v>
      </c>
      <c r="M5" s="16">
        <v>2</v>
      </c>
      <c r="N5" s="42" t="str">
        <v>Aoife Carroll</v>
      </c>
      <c r="O5" s="23">
        <v>5.5</v>
      </c>
      <c r="P5" s="23">
        <f t="shared" si="1"/>
        <v>6.7</v>
      </c>
      <c r="Q5" s="23">
        <f t="shared" si="1"/>
        <v>5.5</v>
      </c>
      <c r="R5" s="23">
        <f t="shared" si="1"/>
        <v>7.22</v>
      </c>
      <c r="S5" s="23">
        <f t="shared" si="1"/>
        <v>8.23</v>
      </c>
      <c r="T5" s="10">
        <f t="shared" si="2"/>
        <v>33.15</v>
      </c>
      <c r="U5" s="21"/>
      <c r="V5" s="24">
        <f>IF(N5="","",T5*HourlyRate)</f>
        <v>997.48349999999994</v>
      </c>
      <c r="W5" s="25">
        <f>IF(N5="","",V5*Super)</f>
        <v>114.71060249999999</v>
      </c>
    </row>
    <row r="6" spans="1:23" ht="25" customHeight="1">
      <c r="A6" s="37">
        <v>45664</v>
      </c>
      <c r="B6" s="15" t="s">
        <v>365</v>
      </c>
      <c r="C6" s="16" t="s">
        <v>152</v>
      </c>
      <c r="D6" s="5">
        <v>0.48888888888888887</v>
      </c>
      <c r="E6" s="5">
        <v>0.5625</v>
      </c>
      <c r="F6" s="6" t="s">
        <v>17</v>
      </c>
      <c r="G6" s="6">
        <f t="shared" si="3"/>
        <v>5.2777777777777798E-2</v>
      </c>
      <c r="H6" s="50">
        <f>_xlfn.IFNA(VLOOKUP(C:C,'Active Jobs'!B:K,8,0),"")</f>
        <v>220</v>
      </c>
      <c r="I6" s="8">
        <f t="shared" si="4"/>
        <v>1.2666666666666671</v>
      </c>
      <c r="J6" s="50">
        <f t="shared" si="5"/>
        <v>84.994220000000027</v>
      </c>
      <c r="K6" s="50">
        <f t="shared" si="6"/>
        <v>135.00577999999996</v>
      </c>
      <c r="L6" s="9">
        <f t="shared" si="7"/>
        <v>0.38633736363636378</v>
      </c>
      <c r="M6" s="16">
        <v>2</v>
      </c>
      <c r="N6" s="43" t="str">
        <v>Orla Shelly</v>
      </c>
      <c r="O6" s="23">
        <f t="shared" si="1"/>
        <v>0</v>
      </c>
      <c r="P6" s="23">
        <f t="shared" si="1"/>
        <v>0</v>
      </c>
      <c r="Q6" s="23">
        <f t="shared" si="1"/>
        <v>0</v>
      </c>
      <c r="R6" s="23">
        <f t="shared" si="1"/>
        <v>0</v>
      </c>
      <c r="S6" s="23">
        <f t="shared" si="1"/>
        <v>8.23</v>
      </c>
      <c r="T6" s="10">
        <f t="shared" si="2"/>
        <v>8.23</v>
      </c>
      <c r="U6" s="21"/>
      <c r="V6" s="24"/>
      <c r="W6" s="25"/>
    </row>
    <row r="7" spans="1:23" ht="25" customHeight="1">
      <c r="A7" s="38">
        <v>45664</v>
      </c>
      <c r="B7" s="15" t="s">
        <v>336</v>
      </c>
      <c r="C7" s="16" t="s">
        <v>370</v>
      </c>
      <c r="D7" s="5">
        <v>0.36805555555555558</v>
      </c>
      <c r="E7" s="5">
        <v>0.55555555555555558</v>
      </c>
      <c r="F7" s="6" t="s">
        <v>17</v>
      </c>
      <c r="G7" s="6">
        <f t="shared" si="3"/>
        <v>0.16666666666666666</v>
      </c>
      <c r="H7" s="50">
        <v>445</v>
      </c>
      <c r="I7" s="8">
        <f t="shared" si="4"/>
        <v>4</v>
      </c>
      <c r="J7" s="50">
        <f t="shared" si="5"/>
        <v>268.40280000000001</v>
      </c>
      <c r="K7" s="50">
        <f t="shared" si="6"/>
        <v>176.59719999999999</v>
      </c>
      <c r="L7" s="9">
        <f t="shared" si="7"/>
        <v>0.60315235955056179</v>
      </c>
      <c r="M7" s="16">
        <v>1</v>
      </c>
      <c r="N7" s="47"/>
      <c r="O7" s="23" t="str">
        <f t="shared" ref="O7:O10" si="8">IF(N7="","",ROUND(SUMIFS($I:$I,$A:$A,O$1,$B:$B,"*"&amp;$N7&amp;"*"),2))</f>
        <v/>
      </c>
      <c r="P7" s="23" t="str">
        <f t="shared" ref="P7:P10" si="9">IF(O7="","",ROUND(SUMIFS($I:$I,$A:$A,P$1,$B:$B,"*"&amp;$N7&amp;"*"),2))</f>
        <v/>
      </c>
      <c r="Q7" s="23" t="str">
        <f t="shared" ref="Q7:Q10" si="10">IF(P7="","",ROUND(SUMIFS($I:$I,$A:$A,Q$1,$B:$B,"*"&amp;$N7&amp;"*"),2))</f>
        <v/>
      </c>
      <c r="R7" s="23" t="str">
        <f t="shared" ref="R7:R10" si="11">IF(Q7="","",ROUND(SUMIFS($I:$I,$A:$A,R$1,$B:$B,"*"&amp;$N7&amp;"*"),2))</f>
        <v/>
      </c>
      <c r="S7" s="23" t="str">
        <f t="shared" ref="S7:S10" si="12">IF(R7="","",ROUND(SUMIFS($I:$I,$A:$A,S$1,$B:$B,"*"&amp;$N7&amp;"*"),2))</f>
        <v/>
      </c>
      <c r="T7" s="10" t="str">
        <f t="shared" ref="T7:T10" si="13">IF(N7="","",SUM(O7:S7))</f>
        <v/>
      </c>
      <c r="U7" s="21"/>
      <c r="V7" s="24">
        <f>SUM(V2:V5)</f>
        <v>3663.7583999999997</v>
      </c>
      <c r="W7" s="24">
        <f>SUM(W2:W5)</f>
        <v>421.33221599999996</v>
      </c>
    </row>
    <row r="8" spans="1:23" ht="25" customHeight="1">
      <c r="A8" s="38">
        <v>45664</v>
      </c>
      <c r="B8" s="15" t="s">
        <v>336</v>
      </c>
      <c r="C8" s="49" t="s">
        <v>189</v>
      </c>
      <c r="D8" s="5">
        <v>0.55555555555555558</v>
      </c>
      <c r="E8" s="5">
        <v>0.66805555555555551</v>
      </c>
      <c r="F8" s="6" t="str">
        <f t="shared" si="0"/>
        <v>No</v>
      </c>
      <c r="G8" s="6">
        <f t="shared" si="3"/>
        <v>0.11249999999999993</v>
      </c>
      <c r="H8" s="50">
        <v>380</v>
      </c>
      <c r="I8" s="8">
        <f t="shared" si="4"/>
        <v>2.6999999999999984</v>
      </c>
      <c r="J8" s="50">
        <f t="shared" si="5"/>
        <v>181.17188999999991</v>
      </c>
      <c r="K8" s="50">
        <f t="shared" si="6"/>
        <v>198.82811000000009</v>
      </c>
      <c r="L8" s="9">
        <f t="shared" si="7"/>
        <v>0.4767681315789471</v>
      </c>
      <c r="M8" s="16">
        <v>1</v>
      </c>
      <c r="N8" s="41"/>
      <c r="O8" s="23" t="str">
        <f t="shared" si="8"/>
        <v/>
      </c>
      <c r="P8" s="23" t="str">
        <f t="shared" si="9"/>
        <v/>
      </c>
      <c r="Q8" s="23" t="str">
        <f t="shared" si="10"/>
        <v/>
      </c>
      <c r="R8" s="23" t="str">
        <f t="shared" si="11"/>
        <v/>
      </c>
      <c r="S8" s="23" t="str">
        <f t="shared" si="12"/>
        <v/>
      </c>
      <c r="T8" s="10" t="str">
        <f t="shared" si="13"/>
        <v/>
      </c>
      <c r="U8" s="21"/>
      <c r="V8" s="21"/>
      <c r="W8" s="21"/>
    </row>
    <row r="9" spans="1:23" ht="25" customHeight="1">
      <c r="A9" s="38">
        <v>45665</v>
      </c>
      <c r="B9" s="15" t="s">
        <v>336</v>
      </c>
      <c r="C9" s="16" t="s">
        <v>129</v>
      </c>
      <c r="D9" s="5">
        <v>0.35416666666666669</v>
      </c>
      <c r="E9" s="5">
        <v>0.60416666666666663</v>
      </c>
      <c r="F9" s="6" t="s">
        <v>17</v>
      </c>
      <c r="G9" s="6">
        <f t="shared" si="3"/>
        <v>0.2291666666666666</v>
      </c>
      <c r="H9" s="50">
        <v>695</v>
      </c>
      <c r="I9" s="8">
        <f t="shared" si="4"/>
        <v>5.4999999999999982</v>
      </c>
      <c r="J9" s="50">
        <f t="shared" si="5"/>
        <v>369.0538499999999</v>
      </c>
      <c r="K9" s="50">
        <f t="shared" si="6"/>
        <v>325.9461500000001</v>
      </c>
      <c r="L9" s="9">
        <f t="shared" si="7"/>
        <v>0.53101273381294944</v>
      </c>
      <c r="M9" s="16">
        <v>1</v>
      </c>
      <c r="N9" s="47"/>
      <c r="O9" s="23" t="str">
        <f t="shared" si="8"/>
        <v/>
      </c>
      <c r="P9" s="23" t="str">
        <f t="shared" si="9"/>
        <v/>
      </c>
      <c r="Q9" s="23" t="str">
        <f t="shared" si="10"/>
        <v/>
      </c>
      <c r="R9" s="23" t="str">
        <f t="shared" si="11"/>
        <v/>
      </c>
      <c r="S9" s="23" t="str">
        <f t="shared" si="12"/>
        <v/>
      </c>
      <c r="T9" s="10" t="str">
        <f t="shared" si="13"/>
        <v/>
      </c>
      <c r="U9" s="21"/>
      <c r="V9" s="24"/>
      <c r="W9" s="25"/>
    </row>
    <row r="10" spans="1:23" ht="25" customHeight="1">
      <c r="A10" s="38">
        <v>45665</v>
      </c>
      <c r="B10" s="15" t="s">
        <v>365</v>
      </c>
      <c r="C10" s="16" t="s">
        <v>186</v>
      </c>
      <c r="D10" s="5">
        <v>0.35416666666666669</v>
      </c>
      <c r="E10" s="5">
        <v>0.45833333333333331</v>
      </c>
      <c r="F10" s="6" t="s">
        <v>53</v>
      </c>
      <c r="G10" s="6">
        <f t="shared" si="3"/>
        <v>0.10416666666666663</v>
      </c>
      <c r="H10" s="50" t="str">
        <f>_xlfn.IFNA(VLOOKUP(C:C,'Active Jobs'!B:K,8,0),"")</f>
        <v/>
      </c>
      <c r="I10" s="8">
        <f t="shared" si="4"/>
        <v>2.4999999999999991</v>
      </c>
      <c r="J10" s="50">
        <f t="shared" si="5"/>
        <v>167.75174999999993</v>
      </c>
      <c r="K10" s="50" t="str">
        <f t="shared" si="6"/>
        <v/>
      </c>
      <c r="L10" s="9" t="str">
        <f t="shared" si="7"/>
        <v/>
      </c>
      <c r="M10" s="16">
        <v>2</v>
      </c>
      <c r="O10" s="23" t="str">
        <f t="shared" si="8"/>
        <v/>
      </c>
      <c r="P10" s="23" t="str">
        <f t="shared" si="9"/>
        <v/>
      </c>
      <c r="Q10" s="23" t="str">
        <f t="shared" si="10"/>
        <v/>
      </c>
      <c r="R10" s="23" t="str">
        <f t="shared" si="11"/>
        <v/>
      </c>
      <c r="S10" s="23" t="str">
        <f t="shared" si="12"/>
        <v/>
      </c>
      <c r="T10" s="10" t="str">
        <f t="shared" si="13"/>
        <v/>
      </c>
      <c r="U10" s="21"/>
      <c r="V10" s="21"/>
      <c r="W10" s="10"/>
    </row>
    <row r="11" spans="1:23" ht="25" customHeight="1">
      <c r="A11" s="38">
        <v>45665</v>
      </c>
      <c r="B11" s="15" t="s">
        <v>365</v>
      </c>
      <c r="C11" s="16" t="s">
        <v>25</v>
      </c>
      <c r="D11" s="5">
        <v>0.45833333333333331</v>
      </c>
      <c r="E11" s="5">
        <v>0.58333333333333337</v>
      </c>
      <c r="F11" s="6" t="s">
        <v>17</v>
      </c>
      <c r="G11" s="6">
        <f t="shared" si="3"/>
        <v>0.10416666666666673</v>
      </c>
      <c r="H11" s="50">
        <f>_xlfn.IFNA(VLOOKUP(C:C,'Active Jobs'!B:K,8,0),"")</f>
        <v>220</v>
      </c>
      <c r="I11" s="8">
        <f t="shared" si="4"/>
        <v>2.5000000000000013</v>
      </c>
      <c r="J11" s="50">
        <f t="shared" si="5"/>
        <v>167.75175000000007</v>
      </c>
      <c r="K11" s="50">
        <f t="shared" si="6"/>
        <v>52.248249999999928</v>
      </c>
      <c r="L11" s="9">
        <f t="shared" si="7"/>
        <v>0.76250795454545484</v>
      </c>
      <c r="M11" s="16">
        <v>2</v>
      </c>
      <c r="O11" s="23" t="str">
        <f t="shared" si="1"/>
        <v/>
      </c>
      <c r="P11" s="23" t="str">
        <f t="shared" si="1"/>
        <v/>
      </c>
      <c r="Q11" s="23" t="str">
        <f t="shared" si="1"/>
        <v/>
      </c>
      <c r="R11" s="23" t="str">
        <f t="shared" si="1"/>
        <v/>
      </c>
      <c r="S11" s="23" t="str">
        <f t="shared" si="1"/>
        <v/>
      </c>
      <c r="T11" s="10" t="str">
        <f t="shared" si="2"/>
        <v/>
      </c>
      <c r="U11" s="21"/>
      <c r="V11" s="54"/>
      <c r="W11" s="21"/>
    </row>
    <row r="12" spans="1:23" ht="25" customHeight="1">
      <c r="A12" s="38">
        <v>45665</v>
      </c>
      <c r="B12" s="15" t="s">
        <v>365</v>
      </c>
      <c r="C12" s="16" t="s">
        <v>194</v>
      </c>
      <c r="D12" s="5">
        <v>0.58333333333333337</v>
      </c>
      <c r="E12" s="5">
        <v>0.64583333333333337</v>
      </c>
      <c r="F12" s="6" t="str">
        <f t="shared" si="0"/>
        <v>No</v>
      </c>
      <c r="G12" s="6">
        <f t="shared" si="3"/>
        <v>6.25E-2</v>
      </c>
      <c r="H12" s="50" t="str">
        <f>_xlfn.IFNA(VLOOKUP(C:C,'Active Jobs'!B:K,8,0),"")</f>
        <v/>
      </c>
      <c r="I12" s="8">
        <f t="shared" si="4"/>
        <v>1.5</v>
      </c>
      <c r="J12" s="50">
        <f t="shared" si="5"/>
        <v>100.65105</v>
      </c>
      <c r="K12" s="50" t="str">
        <f t="shared" si="6"/>
        <v/>
      </c>
      <c r="L12" s="9" t="str">
        <f t="shared" si="7"/>
        <v/>
      </c>
      <c r="M12" s="16">
        <v>2</v>
      </c>
      <c r="O12" s="23" t="str">
        <f t="shared" si="1"/>
        <v/>
      </c>
      <c r="P12" s="23" t="str">
        <f t="shared" si="1"/>
        <v/>
      </c>
      <c r="Q12" s="23" t="str">
        <f t="shared" si="1"/>
        <v/>
      </c>
      <c r="R12" s="23" t="str">
        <f t="shared" si="1"/>
        <v/>
      </c>
      <c r="S12" s="23" t="str">
        <f t="shared" si="1"/>
        <v/>
      </c>
      <c r="T12" s="10" t="str">
        <f t="shared" si="2"/>
        <v/>
      </c>
    </row>
    <row r="13" spans="1:23" ht="25" customHeight="1">
      <c r="A13" s="38">
        <v>45666</v>
      </c>
      <c r="B13" s="15" t="s">
        <v>365</v>
      </c>
      <c r="C13" s="16" t="s">
        <v>195</v>
      </c>
      <c r="D13" s="5">
        <v>0.35416666666666669</v>
      </c>
      <c r="E13" s="5">
        <v>0.58680555555555558</v>
      </c>
      <c r="F13" s="6" t="s">
        <v>17</v>
      </c>
      <c r="G13" s="6">
        <f t="shared" si="3"/>
        <v>0.21180555555555555</v>
      </c>
      <c r="H13" s="50">
        <v>570</v>
      </c>
      <c r="I13" s="8">
        <f t="shared" si="4"/>
        <v>5.0833333333333339</v>
      </c>
      <c r="J13" s="50">
        <f t="shared" si="5"/>
        <v>341.09522499999997</v>
      </c>
      <c r="K13" s="50">
        <f t="shared" si="6"/>
        <v>228.90477500000003</v>
      </c>
      <c r="L13" s="9">
        <f t="shared" si="7"/>
        <v>0.59841267543859644</v>
      </c>
      <c r="M13" s="16">
        <v>2</v>
      </c>
      <c r="O13" s="23" t="str">
        <f t="shared" si="1"/>
        <v/>
      </c>
      <c r="P13" s="23" t="str">
        <f t="shared" si="1"/>
        <v/>
      </c>
      <c r="Q13" s="23" t="str">
        <f t="shared" si="1"/>
        <v/>
      </c>
      <c r="R13" s="23" t="str">
        <f t="shared" si="1"/>
        <v/>
      </c>
      <c r="S13" s="23" t="str">
        <f t="shared" si="1"/>
        <v/>
      </c>
      <c r="T13" s="10" t="str">
        <f t="shared" si="2"/>
        <v/>
      </c>
    </row>
    <row r="14" spans="1:23" ht="25" customHeight="1">
      <c r="A14" s="38">
        <v>45666</v>
      </c>
      <c r="B14" s="15" t="s">
        <v>336</v>
      </c>
      <c r="C14" s="16" t="s">
        <v>114</v>
      </c>
      <c r="D14" s="5">
        <v>0.35416666666666669</v>
      </c>
      <c r="E14" s="5">
        <v>0.47152777777777777</v>
      </c>
      <c r="F14" s="6" t="s">
        <v>193</v>
      </c>
      <c r="G14" s="6">
        <f t="shared" si="3"/>
        <v>9.6527777777777754E-2</v>
      </c>
      <c r="H14" s="50">
        <f>_xlfn.IFNA(VLOOKUP(C:C,'Active Jobs'!B:K,8,0),"")</f>
        <v>220</v>
      </c>
      <c r="I14" s="8">
        <f t="shared" si="4"/>
        <v>2.316666666666666</v>
      </c>
      <c r="J14" s="50">
        <f t="shared" si="5"/>
        <v>155.44995499999993</v>
      </c>
      <c r="K14" s="50">
        <f t="shared" si="6"/>
        <v>64.550045000000068</v>
      </c>
      <c r="L14" s="9">
        <f t="shared" si="7"/>
        <v>0.70659070454545425</v>
      </c>
      <c r="M14" s="16">
        <v>1</v>
      </c>
      <c r="O14" s="23" t="str">
        <f t="shared" si="1"/>
        <v/>
      </c>
      <c r="P14" s="23" t="str">
        <f t="shared" si="1"/>
        <v/>
      </c>
      <c r="Q14" s="23" t="str">
        <f t="shared" si="1"/>
        <v/>
      </c>
      <c r="R14" s="23" t="str">
        <f t="shared" si="1"/>
        <v/>
      </c>
      <c r="S14" s="23" t="str">
        <f t="shared" si="1"/>
        <v/>
      </c>
      <c r="T14" s="10" t="str">
        <f t="shared" si="2"/>
        <v/>
      </c>
    </row>
    <row r="15" spans="1:23" ht="25" customHeight="1">
      <c r="A15" s="38">
        <v>45666</v>
      </c>
      <c r="B15" s="15" t="s">
        <v>336</v>
      </c>
      <c r="C15" s="16" t="s">
        <v>184</v>
      </c>
      <c r="D15" s="5">
        <v>0.47152777777777777</v>
      </c>
      <c r="E15" s="5">
        <v>0.55347222222222225</v>
      </c>
      <c r="F15" s="6" t="str">
        <f t="shared" si="0"/>
        <v>No</v>
      </c>
      <c r="G15" s="6">
        <f t="shared" si="3"/>
        <v>8.1944444444444486E-2</v>
      </c>
      <c r="H15" s="50">
        <f>_xlfn.IFNA(VLOOKUP(C:C,'Active Jobs'!B:K,8,0),"")</f>
        <v>200</v>
      </c>
      <c r="I15" s="8">
        <f t="shared" si="4"/>
        <v>1.9666666666666677</v>
      </c>
      <c r="J15" s="50">
        <f t="shared" si="5"/>
        <v>131.96471000000005</v>
      </c>
      <c r="K15" s="50">
        <f t="shared" si="6"/>
        <v>68.035289999999947</v>
      </c>
      <c r="L15" s="9">
        <f t="shared" si="7"/>
        <v>0.65982355000000026</v>
      </c>
      <c r="M15" s="16">
        <v>1</v>
      </c>
    </row>
    <row r="16" spans="1:23" ht="25" customHeight="1">
      <c r="A16" s="38">
        <v>45666</v>
      </c>
      <c r="B16" s="15" t="s">
        <v>336</v>
      </c>
      <c r="C16" s="16" t="s">
        <v>113</v>
      </c>
      <c r="D16" s="5">
        <v>0.55347222222222225</v>
      </c>
      <c r="E16" s="5">
        <v>0.67569444444444449</v>
      </c>
      <c r="F16" s="6" t="str">
        <f t="shared" si="0"/>
        <v>No</v>
      </c>
      <c r="G16" s="6">
        <f t="shared" si="3"/>
        <v>0.12222222222222223</v>
      </c>
      <c r="H16" s="50">
        <f>_xlfn.IFNA(VLOOKUP(C:C,'Active Jobs'!B:K,8,0),"")</f>
        <v>230</v>
      </c>
      <c r="I16" s="8">
        <f t="shared" si="4"/>
        <v>2.9333333333333336</v>
      </c>
      <c r="J16" s="50">
        <f t="shared" si="5"/>
        <v>196.82872000000003</v>
      </c>
      <c r="K16" s="50">
        <f t="shared" si="6"/>
        <v>33.171279999999967</v>
      </c>
      <c r="L16" s="9">
        <f t="shared" si="7"/>
        <v>0.855777043478261</v>
      </c>
      <c r="M16" s="16">
        <v>1</v>
      </c>
    </row>
    <row r="17" spans="1:20" ht="25" customHeight="1">
      <c r="A17" s="38">
        <v>45667</v>
      </c>
      <c r="B17" s="15" t="s">
        <v>365</v>
      </c>
      <c r="C17" s="16" t="s">
        <v>126</v>
      </c>
      <c r="D17" s="5">
        <v>0.35416666666666669</v>
      </c>
      <c r="E17" s="5">
        <v>0.47013888888888888</v>
      </c>
      <c r="F17" s="6" t="str">
        <f t="shared" si="0"/>
        <v>No</v>
      </c>
      <c r="G17" s="6">
        <f t="shared" si="3"/>
        <v>0.1159722222222222</v>
      </c>
      <c r="H17" s="50">
        <f>_xlfn.IFNA(VLOOKUP(C:C,'Active Jobs'!B:K,8,0),"")</f>
        <v>250</v>
      </c>
      <c r="I17" s="8">
        <f t="shared" si="4"/>
        <v>2.7833333333333328</v>
      </c>
      <c r="J17" s="50">
        <f t="shared" si="5"/>
        <v>186.76361499999996</v>
      </c>
      <c r="K17" s="50">
        <f t="shared" si="6"/>
        <v>63.236385000000041</v>
      </c>
      <c r="L17" s="9">
        <f t="shared" si="7"/>
        <v>0.74705445999999986</v>
      </c>
      <c r="M17" s="16">
        <v>2</v>
      </c>
      <c r="O17" s="23" t="str">
        <f>IF(N17="","",ROUND(SUMIFS($I:$I,$A:$A,O$1,$B:$B,"*"&amp;$N17&amp;"*"),2))</f>
        <v/>
      </c>
      <c r="P17" s="23" t="str">
        <f>IF(O17="","",ROUND(SUMIFS($I:$I,$A:$A,P$1,$B:$B,"*"&amp;$N17&amp;"*"),2))</f>
        <v/>
      </c>
      <c r="Q17" s="23" t="str">
        <f>IF(P17="","",ROUND(SUMIFS($I:$I,$A:$A,Q$1,$B:$B,"*"&amp;$N17&amp;"*"),2))</f>
        <v/>
      </c>
      <c r="R17" s="23" t="str">
        <f>IF(Q17="","",ROUND(SUMIFS($I:$I,$A:$A,R$1,$B:$B,"*"&amp;$N17&amp;"*"),2))</f>
        <v/>
      </c>
      <c r="S17" s="23" t="str">
        <f>IF(R17="","",ROUND(SUMIFS($I:$I,$A:$A,S$1,$B:$B,"*"&amp;$N17&amp;"*"),2))</f>
        <v/>
      </c>
      <c r="T17" s="10" t="str">
        <f t="shared" ref="T17" si="14">IF(N17="","",SUM(O17:S17))</f>
        <v/>
      </c>
    </row>
    <row r="18" spans="1:20" ht="25" customHeight="1">
      <c r="A18" s="38">
        <v>45667</v>
      </c>
      <c r="B18" s="15" t="s">
        <v>365</v>
      </c>
      <c r="C18" s="16" t="s">
        <v>127</v>
      </c>
      <c r="D18" s="5">
        <v>0.47013888888888888</v>
      </c>
      <c r="E18" s="5">
        <v>0.57638888888888884</v>
      </c>
      <c r="F18" s="6" t="s">
        <v>193</v>
      </c>
      <c r="G18" s="6">
        <f t="shared" si="3"/>
        <v>8.5416666666666627E-2</v>
      </c>
      <c r="H18" s="50">
        <f>_xlfn.IFNA(VLOOKUP(C:C,'Active Jobs'!B:K,8,0),"")</f>
        <v>200</v>
      </c>
      <c r="I18" s="8">
        <f t="shared" si="4"/>
        <v>2.0499999999999989</v>
      </c>
      <c r="J18" s="50">
        <f t="shared" si="5"/>
        <v>137.55643499999991</v>
      </c>
      <c r="K18" s="50">
        <f t="shared" si="6"/>
        <v>62.443565000000092</v>
      </c>
      <c r="L18" s="9">
        <f t="shared" si="7"/>
        <v>0.6877821749999995</v>
      </c>
      <c r="M18" s="16">
        <v>2</v>
      </c>
    </row>
    <row r="19" spans="1:20" ht="25" customHeight="1">
      <c r="A19" s="38">
        <v>45667</v>
      </c>
      <c r="B19" s="15" t="s">
        <v>365</v>
      </c>
      <c r="C19" s="16" t="s">
        <v>288</v>
      </c>
      <c r="D19" s="5">
        <v>0.57638888888888884</v>
      </c>
      <c r="E19" s="5">
        <v>0.73819444444444449</v>
      </c>
      <c r="F19" s="6" t="str">
        <f t="shared" si="0"/>
        <v>No</v>
      </c>
      <c r="G19" s="6">
        <f t="shared" si="3"/>
        <v>0.16180555555555565</v>
      </c>
      <c r="H19" s="50">
        <v>250</v>
      </c>
      <c r="I19" s="8">
        <f t="shared" si="4"/>
        <v>3.8833333333333355</v>
      </c>
      <c r="J19" s="50">
        <f t="shared" si="5"/>
        <v>260.57438500000012</v>
      </c>
      <c r="K19" s="50">
        <f t="shared" si="6"/>
        <v>-10.57438500000012</v>
      </c>
      <c r="L19" s="9">
        <f t="shared" si="7"/>
        <v>1.0422975400000005</v>
      </c>
      <c r="M19" s="16">
        <v>2</v>
      </c>
    </row>
    <row r="20" spans="1:20" ht="25" customHeight="1">
      <c r="A20" s="38">
        <v>45667</v>
      </c>
      <c r="B20" s="15" t="s">
        <v>336</v>
      </c>
      <c r="C20" s="16" t="s">
        <v>178</v>
      </c>
      <c r="D20" s="5">
        <v>0.35416666666666669</v>
      </c>
      <c r="E20" s="5">
        <v>0.47430555555555554</v>
      </c>
      <c r="F20" s="6" t="str">
        <f t="shared" si="0"/>
        <v>No</v>
      </c>
      <c r="G20" s="6">
        <f t="shared" si="3"/>
        <v>0.12013888888888885</v>
      </c>
      <c r="H20" s="50">
        <f>_xlfn.IFNA(VLOOKUP(C:C,'Active Jobs'!B:K,8,0),"")</f>
        <v>295</v>
      </c>
      <c r="I20" s="8">
        <f t="shared" si="4"/>
        <v>2.8833333333333324</v>
      </c>
      <c r="J20" s="50">
        <f t="shared" si="5"/>
        <v>193.47368499999993</v>
      </c>
      <c r="K20" s="50">
        <f t="shared" si="6"/>
        <v>101.52631500000007</v>
      </c>
      <c r="L20" s="9">
        <f t="shared" si="7"/>
        <v>0.65584299999999973</v>
      </c>
      <c r="M20" s="16">
        <v>1</v>
      </c>
    </row>
    <row r="21" spans="1:20" ht="25" customHeight="1">
      <c r="A21" s="38">
        <v>45667</v>
      </c>
      <c r="B21" s="15" t="s">
        <v>336</v>
      </c>
      <c r="C21" s="16" t="s">
        <v>100</v>
      </c>
      <c r="D21" s="5">
        <v>0.47430555555555554</v>
      </c>
      <c r="E21" s="5">
        <v>0.57361111111111107</v>
      </c>
      <c r="F21" s="6" t="s">
        <v>193</v>
      </c>
      <c r="G21" s="6">
        <f t="shared" si="3"/>
        <v>7.8472222222222207E-2</v>
      </c>
      <c r="H21" s="50">
        <f>_xlfn.IFNA(VLOOKUP(C:C,'Active Jobs'!B:K,8,0),"")</f>
        <v>200</v>
      </c>
      <c r="I21" s="8">
        <f t="shared" si="4"/>
        <v>1.8833333333333329</v>
      </c>
      <c r="J21" s="50">
        <f t="shared" si="5"/>
        <v>126.37298499999997</v>
      </c>
      <c r="K21" s="50">
        <f t="shared" si="6"/>
        <v>73.627015000000029</v>
      </c>
      <c r="L21" s="9">
        <f t="shared" si="7"/>
        <v>0.63186492499999991</v>
      </c>
      <c r="M21" s="16">
        <v>1</v>
      </c>
    </row>
    <row r="22" spans="1:20" ht="25" customHeight="1">
      <c r="A22" s="38">
        <v>45667</v>
      </c>
      <c r="B22" s="15" t="s">
        <v>336</v>
      </c>
      <c r="C22" s="16" t="s">
        <v>196</v>
      </c>
      <c r="D22" s="5">
        <v>0.57361111111111107</v>
      </c>
      <c r="E22" s="5">
        <v>0.65763888888888888</v>
      </c>
      <c r="F22" s="6" t="str">
        <f t="shared" si="0"/>
        <v>No</v>
      </c>
      <c r="G22" s="6">
        <f t="shared" si="3"/>
        <v>8.4027777777777812E-2</v>
      </c>
      <c r="H22" s="50">
        <v>250</v>
      </c>
      <c r="I22" s="8">
        <f t="shared" si="4"/>
        <v>2.0166666666666675</v>
      </c>
      <c r="J22" s="50">
        <f t="shared" si="5"/>
        <v>135.31974500000007</v>
      </c>
      <c r="K22" s="50">
        <f t="shared" si="6"/>
        <v>114.68025499999993</v>
      </c>
      <c r="L22" s="9">
        <f t="shared" si="7"/>
        <v>0.5412789800000003</v>
      </c>
      <c r="M22" s="16">
        <v>1</v>
      </c>
    </row>
    <row r="23" spans="1:20" ht="25" customHeight="1">
      <c r="A23" s="38">
        <v>45667</v>
      </c>
      <c r="B23" s="15" t="s">
        <v>336</v>
      </c>
      <c r="C23" s="16" t="s">
        <v>160</v>
      </c>
      <c r="D23" s="5">
        <v>0.65763888888888888</v>
      </c>
      <c r="E23" s="5">
        <v>0.71805555555555556</v>
      </c>
      <c r="F23" s="6" t="str">
        <f t="shared" si="0"/>
        <v>No</v>
      </c>
      <c r="G23" s="6">
        <f t="shared" si="3"/>
        <v>6.0416666666666674E-2</v>
      </c>
      <c r="H23" s="50">
        <v>0</v>
      </c>
      <c r="I23" s="8">
        <f t="shared" si="4"/>
        <v>1.4500000000000002</v>
      </c>
      <c r="J23" s="50">
        <f t="shared" si="5"/>
        <v>97.296015000000011</v>
      </c>
      <c r="K23" s="50">
        <f t="shared" si="6"/>
        <v>-97.296015000000011</v>
      </c>
      <c r="L23" s="9">
        <f t="shared" si="7"/>
        <v>1</v>
      </c>
      <c r="M23" s="16">
        <v>1</v>
      </c>
    </row>
    <row r="24" spans="1:20" ht="25" customHeight="1">
      <c r="A24" s="38">
        <v>45667</v>
      </c>
      <c r="B24" s="15" t="s">
        <v>84</v>
      </c>
      <c r="C24" s="16" t="s">
        <v>178</v>
      </c>
      <c r="D24" s="5">
        <v>0.35416666666666669</v>
      </c>
      <c r="E24" s="5">
        <v>0.47430555555555554</v>
      </c>
      <c r="F24" s="6" t="str">
        <f t="shared" ref="F24" si="15">IF(E24="","","No")</f>
        <v>No</v>
      </c>
      <c r="G24" s="6">
        <f t="shared" ref="G24:G27" si="16">IF(E24="","",IF(F24="Yes",(E24-D24)-TIME(0,30,0),E24-D24))</f>
        <v>0.12013888888888885</v>
      </c>
      <c r="H24" s="50">
        <f>_xlfn.IFNA(VLOOKUP(C:C,'Active Jobs'!B:K,8,0),"")</f>
        <v>295</v>
      </c>
      <c r="I24" s="8">
        <f t="shared" ref="I24:I27" si="17">IF(F24="Yes",(E24-D24)*24-0.5,IF(F24="No",(E24-D24)*24,""))</f>
        <v>2.8833333333333324</v>
      </c>
      <c r="J24" s="50">
        <f t="shared" ref="J24:J27" si="18">IF(G24="","",G24*24*HourlyRate*2*(1+Super))</f>
        <v>193.47368499999993</v>
      </c>
      <c r="K24" s="50">
        <f t="shared" ref="K24:K27" si="19">IF(H24="","",H24-J24)</f>
        <v>101.52631500000007</v>
      </c>
      <c r="L24" s="9">
        <f t="shared" ref="L24:L27" si="20">IF(K24="","",IF(H24=0,1,J24/H24))</f>
        <v>0.65584299999999973</v>
      </c>
    </row>
    <row r="25" spans="1:20" ht="25" customHeight="1">
      <c r="A25" s="38">
        <v>45667</v>
      </c>
      <c r="B25" s="15" t="s">
        <v>84</v>
      </c>
      <c r="C25" s="16" t="s">
        <v>100</v>
      </c>
      <c r="D25" s="5">
        <v>0.47430555555555554</v>
      </c>
      <c r="E25" s="5">
        <v>0.57361111111111107</v>
      </c>
      <c r="F25" s="6" t="s">
        <v>193</v>
      </c>
      <c r="G25" s="6">
        <f t="shared" si="16"/>
        <v>7.8472222222222207E-2</v>
      </c>
      <c r="H25" s="50">
        <f>_xlfn.IFNA(VLOOKUP(C:C,'Active Jobs'!B:K,8,0),"")</f>
        <v>200</v>
      </c>
      <c r="I25" s="8">
        <f t="shared" si="17"/>
        <v>1.8833333333333329</v>
      </c>
      <c r="J25" s="50">
        <f t="shared" si="18"/>
        <v>126.37298499999997</v>
      </c>
      <c r="K25" s="50">
        <f t="shared" si="19"/>
        <v>73.627015000000029</v>
      </c>
      <c r="L25" s="9">
        <f t="shared" si="20"/>
        <v>0.63186492499999991</v>
      </c>
    </row>
    <row r="26" spans="1:20" ht="25" customHeight="1">
      <c r="A26" s="38">
        <v>45667</v>
      </c>
      <c r="B26" s="15" t="s">
        <v>84</v>
      </c>
      <c r="C26" s="16" t="s">
        <v>196</v>
      </c>
      <c r="D26" s="5">
        <v>0.57361111111111107</v>
      </c>
      <c r="E26" s="5">
        <v>0.65763888888888888</v>
      </c>
      <c r="F26" s="6" t="str">
        <f t="shared" ref="F26:F27" si="21">IF(E26="","","No")</f>
        <v>No</v>
      </c>
      <c r="G26" s="6">
        <f t="shared" si="16"/>
        <v>8.4027777777777812E-2</v>
      </c>
      <c r="H26" s="50">
        <v>250</v>
      </c>
      <c r="I26" s="8">
        <f t="shared" si="17"/>
        <v>2.0166666666666675</v>
      </c>
      <c r="J26" s="50">
        <f t="shared" si="18"/>
        <v>135.31974500000007</v>
      </c>
      <c r="K26" s="50">
        <f t="shared" si="19"/>
        <v>114.68025499999993</v>
      </c>
      <c r="L26" s="9">
        <f t="shared" si="20"/>
        <v>0.5412789800000003</v>
      </c>
    </row>
    <row r="27" spans="1:20" ht="25" customHeight="1">
      <c r="A27" s="38">
        <v>45667</v>
      </c>
      <c r="B27" s="15" t="s">
        <v>84</v>
      </c>
      <c r="C27" s="16" t="s">
        <v>160</v>
      </c>
      <c r="D27" s="5">
        <v>0.65763888888888888</v>
      </c>
      <c r="E27" s="5">
        <v>0.71805555555555556</v>
      </c>
      <c r="F27" s="6" t="str">
        <f t="shared" si="21"/>
        <v>No</v>
      </c>
      <c r="G27" s="6">
        <f t="shared" si="16"/>
        <v>6.0416666666666674E-2</v>
      </c>
      <c r="H27" s="50">
        <v>0</v>
      </c>
      <c r="I27" s="8">
        <f t="shared" si="17"/>
        <v>1.4500000000000002</v>
      </c>
      <c r="J27" s="50">
        <f t="shared" si="18"/>
        <v>97.296015000000011</v>
      </c>
      <c r="K27" s="50">
        <f t="shared" si="19"/>
        <v>-97.296015000000011</v>
      </c>
      <c r="L27" s="9">
        <f t="shared" si="20"/>
        <v>1</v>
      </c>
    </row>
    <row r="28" spans="1:20" ht="25" customHeight="1">
      <c r="B28" s="15"/>
      <c r="D28" s="5"/>
      <c r="E28" s="5"/>
      <c r="F28" s="6"/>
      <c r="G28" s="6"/>
      <c r="H28" s="50"/>
      <c r="I28" s="8"/>
      <c r="J28" s="50"/>
      <c r="K28" s="50"/>
      <c r="L28" s="9"/>
    </row>
    <row r="29" spans="1:20" ht="25" customHeight="1">
      <c r="F29" s="6"/>
      <c r="G29" s="6"/>
      <c r="H29" s="50"/>
      <c r="I29" s="8"/>
      <c r="J29" s="51"/>
      <c r="K29" s="51"/>
      <c r="L29" s="52"/>
    </row>
    <row r="30" spans="1:20" ht="25" customHeight="1">
      <c r="F30" s="6" t="str">
        <f t="shared" si="0"/>
        <v/>
      </c>
      <c r="G30" s="6" t="str">
        <f t="shared" si="3"/>
        <v/>
      </c>
      <c r="H30" s="50" t="str">
        <f>_xlfn.IFNA(VLOOKUP(C:C,'Active Jobs'!B:K,8,0),"")</f>
        <v/>
      </c>
      <c r="I30" s="8" t="str">
        <f t="shared" si="4"/>
        <v/>
      </c>
      <c r="J30" s="51" t="str">
        <f>IF(G30="","",G30*24*HourlyRate*2*(1+Super))</f>
        <v/>
      </c>
      <c r="K30" s="51" t="str">
        <f t="shared" si="6"/>
        <v/>
      </c>
      <c r="L30" s="52" t="str">
        <f t="shared" si="7"/>
        <v/>
      </c>
    </row>
    <row r="31" spans="1:20" ht="25" customHeight="1">
      <c r="A31" s="39"/>
      <c r="B31" s="29"/>
      <c r="C31" s="30"/>
      <c r="D31" s="1"/>
      <c r="E31" s="1"/>
      <c r="F31" s="31"/>
      <c r="G31" s="32"/>
      <c r="H31" s="53">
        <f>SUBTOTAL(109,Table2261210[Quoted])</f>
        <v>6240</v>
      </c>
      <c r="I31" s="34">
        <f>SUBTOTAL(109,Table2261210[Hours Payable])</f>
        <v>66.716666666666669</v>
      </c>
      <c r="J31" s="53">
        <f>SUBTOTAL(109,Table2261210[Wages (Incl. Super)])</f>
        <v>4476.7350349999988</v>
      </c>
      <c r="K31" s="53">
        <f>SUBTOTAL(109,Table2261210[Profit])</f>
        <v>2031.6677650000001</v>
      </c>
      <c r="L31" s="35">
        <f>SUBTOTAL(101,Table2261210[Quote/Wages])</f>
        <v>0.69087904427065316</v>
      </c>
    </row>
  </sheetData>
  <conditionalFormatting sqref="B32:B252 B1:B30">
    <cfRule type="expression" dxfId="26" priority="1">
      <formula>AND(ROW()&gt;1, E1&lt;&gt;"", COUNTIFS(A:A, $A1, B:B, $B1, F:F, "Yes")=0)</formula>
    </cfRule>
  </conditionalFormatting>
  <conditionalFormatting sqref="F32:F252 F1:F30">
    <cfRule type="expression" dxfId="25" priority="2" stopIfTrue="1">
      <formula>AND(ROW()&gt;1, E1&lt;&gt;"", COUNTIFS(A:A, $A1, B:B, $B1, F:F, "Yes")=0)</formula>
    </cfRule>
  </conditionalFormatting>
  <dataValidations count="1">
    <dataValidation type="list" allowBlank="1" showErrorMessage="1" promptTitle="Select" sqref="B2:B30" xr:uid="{47E876B9-1D65-D64B-91F4-F066E4BA73A9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1AE3F1AC-15BA-1043-91F8-DDB9FC5BBA36}">
          <x14:formula1>
            <xm:f>'Active Jobs'!$B$2:$B$154</xm:f>
          </x14:formula1>
          <xm:sqref>C2:C30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C4157-5B0C-9841-87AF-C3DD096F3B4C}">
  <sheetPr codeName="Sheet6"/>
  <dimension ref="A1:W31"/>
  <sheetViews>
    <sheetView zoomScale="125" zoomScaleNormal="125" workbookViewId="0">
      <selection activeCell="M2" sqref="M2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Q1">TRANSPOSE(_xlfn._xlws.FILTER(_xlfn.UNIQUE(A2:A202), _xlfn.UNIQUE(A2:A202)&lt;&gt;""))</f>
        <v>45656</v>
      </c>
      <c r="P1" s="28">
        <v>45659</v>
      </c>
      <c r="Q1" s="28">
        <v>45660</v>
      </c>
      <c r="R1" s="28"/>
      <c r="S1" s="28"/>
      <c r="T1" s="27" t="s">
        <v>14</v>
      </c>
      <c r="U1" s="21"/>
      <c r="V1" s="22" t="s">
        <v>15</v>
      </c>
      <c r="W1" s="20" t="s">
        <v>16</v>
      </c>
    </row>
    <row r="2" spans="1:23" ht="25" customHeight="1">
      <c r="A2" s="37">
        <v>45656</v>
      </c>
      <c r="B2" s="15" t="s">
        <v>365</v>
      </c>
      <c r="C2" s="16" t="s">
        <v>133</v>
      </c>
      <c r="D2" s="5">
        <v>0.3611111111111111</v>
      </c>
      <c r="E2" s="5">
        <v>0.48472222222222222</v>
      </c>
      <c r="F2" s="6" t="str">
        <f t="shared" ref="F2:F30" si="0">IF(E2="","","No")</f>
        <v>No</v>
      </c>
      <c r="G2" s="6">
        <f>IF(E2="","",IF(F2="Yes",(E2-D2)-TIME(0,30,0),E2-D2))</f>
        <v>0.12361111111111112</v>
      </c>
      <c r="H2" s="50">
        <f>_xlfn.IFNA(VLOOKUP(C:C,'Active Jobs'!B:K,8,0),"")</f>
        <v>250</v>
      </c>
      <c r="I2" s="8">
        <f>IF(F2="Yes",(E2-D2)*24-0.5,IF(F2="No",(E2-D2)*24,""))</f>
        <v>2.9666666666666668</v>
      </c>
      <c r="J2" s="50">
        <f>IF(G2="","",G2*24*HourlyRate*2*(1+Super))</f>
        <v>199.06541000000001</v>
      </c>
      <c r="K2" s="50">
        <f>IF(H2="","",H2-J2)</f>
        <v>50.934589999999986</v>
      </c>
      <c r="L2" s="9">
        <f>IF(K2="","",IF(H2=0,1,J2/H2))</f>
        <v>0.7962616400000001</v>
      </c>
      <c r="M2" s="16">
        <v>2</v>
      </c>
      <c r="N2" s="41" t="str" cm="1">
        <f t="array" ref="N2:N3">_xlfn.UNIQUE(TRANSPOSE(_xlfn.TEXTSPLIT(_xlfn.TEXTJOIN(" &amp; ", TRUE, B2:B202), " &amp; ")))</f>
        <v>Julie Roccati</v>
      </c>
      <c r="O2" s="23">
        <f t="shared" ref="O2:S14" si="1">IF(N2="","",ROUND(SUMIFS($I:$I,$A:$A,O$1,$B:$B,"*"&amp;$N2&amp;"*"),2))</f>
        <v>4.7699999999999996</v>
      </c>
      <c r="P2" s="23">
        <f t="shared" si="1"/>
        <v>8.4700000000000006</v>
      </c>
      <c r="Q2" s="23">
        <f t="shared" si="1"/>
        <v>7.42</v>
      </c>
      <c r="R2" s="23">
        <f t="shared" si="1"/>
        <v>0</v>
      </c>
      <c r="S2" s="23">
        <f t="shared" si="1"/>
        <v>0</v>
      </c>
      <c r="T2" s="10">
        <f t="shared" ref="T2:T14" si="2">IF(N2="","",SUM(O2:S2))</f>
        <v>20.66</v>
      </c>
      <c r="U2" s="21"/>
      <c r="V2" s="24">
        <f>T2*HourlyRate</f>
        <v>621.65940000000001</v>
      </c>
      <c r="W2" s="25">
        <f>V2*Super</f>
        <v>71.490831</v>
      </c>
    </row>
    <row r="3" spans="1:23" ht="25" customHeight="1">
      <c r="A3" s="37">
        <v>45656</v>
      </c>
      <c r="B3" s="15" t="s">
        <v>365</v>
      </c>
      <c r="C3" s="16" t="s">
        <v>20</v>
      </c>
      <c r="D3" s="5">
        <v>0.48472222222222222</v>
      </c>
      <c r="E3" s="5">
        <v>0.55972222222222223</v>
      </c>
      <c r="F3" s="6" t="str">
        <f t="shared" si="0"/>
        <v>No</v>
      </c>
      <c r="G3" s="6">
        <f t="shared" ref="G3:G30" si="3">IF(E3="","",IF(F3="Yes",(E3-D3)-TIME(0,30,0),E3-D3))</f>
        <v>7.5000000000000011E-2</v>
      </c>
      <c r="H3" s="50">
        <f>_xlfn.IFNA(VLOOKUP(C:C,'Active Jobs'!B:K,8,0),"")</f>
        <v>250</v>
      </c>
      <c r="I3" s="8">
        <f t="shared" ref="I3:I30" si="4">IF(F3="Yes",(E3-D3)*24-0.5,IF(F3="No",(E3-D3)*24,""))</f>
        <v>1.8000000000000003</v>
      </c>
      <c r="J3" s="50">
        <f t="shared" ref="J3:J26" si="5">IF(G3="","",G3*24*HourlyRate*2*(1+Super))</f>
        <v>120.78126000000002</v>
      </c>
      <c r="K3" s="50">
        <f t="shared" ref="K3:K30" si="6">IF(H3="","",H3-J3)</f>
        <v>129.21873999999997</v>
      </c>
      <c r="L3" s="9">
        <f t="shared" ref="L3:L30" si="7">IF(K3="","",IF(H3=0,1,J3/H3))</f>
        <v>0.48312504000000006</v>
      </c>
      <c r="M3" s="16">
        <v>2</v>
      </c>
      <c r="N3" s="42" t="str">
        <v>Sheyda Watermann</v>
      </c>
      <c r="O3" s="23">
        <f t="shared" si="1"/>
        <v>4.7699999999999996</v>
      </c>
      <c r="P3" s="23">
        <f t="shared" si="1"/>
        <v>8.4700000000000006</v>
      </c>
      <c r="Q3" s="23">
        <f t="shared" si="1"/>
        <v>7.42</v>
      </c>
      <c r="R3" s="23">
        <f t="shared" si="1"/>
        <v>0</v>
      </c>
      <c r="S3" s="23">
        <f t="shared" si="1"/>
        <v>0</v>
      </c>
      <c r="T3" s="10">
        <f t="shared" si="2"/>
        <v>20.66</v>
      </c>
      <c r="U3" s="21"/>
      <c r="V3" s="24">
        <f>T3*HourlyRate</f>
        <v>621.65940000000001</v>
      </c>
      <c r="W3" s="25">
        <f>V3*Super</f>
        <v>71.490831</v>
      </c>
    </row>
    <row r="4" spans="1:23" ht="25" customHeight="1">
      <c r="A4" s="37">
        <v>45659</v>
      </c>
      <c r="B4" s="15" t="s">
        <v>365</v>
      </c>
      <c r="C4" s="16" t="s">
        <v>147</v>
      </c>
      <c r="D4" s="5">
        <v>0.375</v>
      </c>
      <c r="E4" s="5">
        <v>0.45833333333333331</v>
      </c>
      <c r="F4" s="6" t="str">
        <f t="shared" si="0"/>
        <v>No</v>
      </c>
      <c r="G4" s="6">
        <f t="shared" si="3"/>
        <v>8.3333333333333315E-2</v>
      </c>
      <c r="H4" s="50">
        <f>_xlfn.IFNA(VLOOKUP(C:C,'Active Jobs'!B:K,8,0),"")</f>
        <v>200</v>
      </c>
      <c r="I4" s="8">
        <f t="shared" si="4"/>
        <v>1.9999999999999996</v>
      </c>
      <c r="J4" s="50">
        <f t="shared" si="5"/>
        <v>134.20139999999998</v>
      </c>
      <c r="K4" s="50">
        <f t="shared" si="6"/>
        <v>65.798600000000022</v>
      </c>
      <c r="L4" s="9">
        <f t="shared" si="7"/>
        <v>0.67100699999999991</v>
      </c>
      <c r="M4" s="16">
        <v>2</v>
      </c>
      <c r="N4" s="42"/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10" t="str">
        <f t="shared" si="2"/>
        <v/>
      </c>
      <c r="U4" s="21"/>
      <c r="V4" s="24"/>
      <c r="W4" s="25"/>
    </row>
    <row r="5" spans="1:23" ht="25" customHeight="1">
      <c r="A5" s="37">
        <v>45659</v>
      </c>
      <c r="B5" s="15" t="s">
        <v>365</v>
      </c>
      <c r="C5" s="16" t="s">
        <v>146</v>
      </c>
      <c r="D5" s="5">
        <v>0.46180555555555558</v>
      </c>
      <c r="E5" s="5">
        <v>0.56944444444444442</v>
      </c>
      <c r="F5" s="6" t="s">
        <v>17</v>
      </c>
      <c r="G5" s="6">
        <f t="shared" si="3"/>
        <v>8.6805555555555511E-2</v>
      </c>
      <c r="H5" s="50">
        <f>_xlfn.IFNA(VLOOKUP(C:C,'Active Jobs'!B:K,8,0),"")</f>
        <v>250</v>
      </c>
      <c r="I5" s="8">
        <f t="shared" si="4"/>
        <v>2.0833333333333321</v>
      </c>
      <c r="J5" s="50">
        <f t="shared" si="5"/>
        <v>139.79312499999992</v>
      </c>
      <c r="K5" s="50">
        <f t="shared" si="6"/>
        <v>110.20687500000008</v>
      </c>
      <c r="L5" s="9">
        <f t="shared" si="7"/>
        <v>0.55917249999999963</v>
      </c>
      <c r="M5" s="16">
        <v>2</v>
      </c>
      <c r="N5" s="42"/>
      <c r="O5" s="23" t="str">
        <f t="shared" si="1"/>
        <v/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10" t="str">
        <f t="shared" si="2"/>
        <v/>
      </c>
      <c r="U5" s="21"/>
      <c r="V5" s="24" t="str">
        <f>IF(N5="","",T5*HourlyRate)</f>
        <v/>
      </c>
      <c r="W5" s="25" t="str">
        <f>IF(N5="","",V5*Super)</f>
        <v/>
      </c>
    </row>
    <row r="6" spans="1:23" ht="25" customHeight="1">
      <c r="A6" s="37">
        <v>45659</v>
      </c>
      <c r="B6" s="15" t="s">
        <v>365</v>
      </c>
      <c r="C6" s="16" t="s">
        <v>144</v>
      </c>
      <c r="D6" s="5">
        <v>0.57499999999999996</v>
      </c>
      <c r="E6" s="5">
        <v>0.69444444444444442</v>
      </c>
      <c r="F6" s="6" t="str">
        <f t="shared" si="0"/>
        <v>No</v>
      </c>
      <c r="G6" s="6">
        <f t="shared" si="3"/>
        <v>0.11944444444444446</v>
      </c>
      <c r="H6" s="50">
        <f>_xlfn.IFNA(VLOOKUP(C:C,'Active Jobs'!B:K,8,0),"")</f>
        <v>250</v>
      </c>
      <c r="I6" s="8">
        <f t="shared" si="4"/>
        <v>2.8666666666666671</v>
      </c>
      <c r="J6" s="50">
        <f t="shared" si="5"/>
        <v>192.35534000000001</v>
      </c>
      <c r="K6" s="50">
        <f t="shared" si="6"/>
        <v>57.644659999999988</v>
      </c>
      <c r="L6" s="9">
        <f t="shared" si="7"/>
        <v>0.76942136000000005</v>
      </c>
      <c r="M6" s="16">
        <v>2</v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/>
      </c>
      <c r="T6" s="10" t="str">
        <f t="shared" si="2"/>
        <v/>
      </c>
      <c r="U6" s="21"/>
      <c r="V6" s="24"/>
      <c r="W6" s="25"/>
    </row>
    <row r="7" spans="1:23" ht="25" customHeight="1">
      <c r="A7" s="38">
        <v>45659</v>
      </c>
      <c r="B7" s="15" t="s">
        <v>365</v>
      </c>
      <c r="C7" s="16" t="s">
        <v>55</v>
      </c>
      <c r="D7" s="5">
        <v>0.69722222222222219</v>
      </c>
      <c r="E7" s="5">
        <v>0.76041666666666663</v>
      </c>
      <c r="F7" s="6" t="str">
        <f t="shared" si="0"/>
        <v>No</v>
      </c>
      <c r="G7" s="6">
        <f t="shared" si="3"/>
        <v>6.3194444444444442E-2</v>
      </c>
      <c r="H7" s="50">
        <f>_xlfn.IFNA(VLOOKUP(C:C,'Active Jobs'!B:K,8,0),"")</f>
        <v>220</v>
      </c>
      <c r="I7" s="8">
        <f t="shared" si="4"/>
        <v>1.5166666666666666</v>
      </c>
      <c r="J7" s="50">
        <f t="shared" si="5"/>
        <v>101.76939499999999</v>
      </c>
      <c r="K7" s="50">
        <f t="shared" si="6"/>
        <v>118.23060500000001</v>
      </c>
      <c r="L7" s="9">
        <f t="shared" si="7"/>
        <v>0.46258815909090906</v>
      </c>
      <c r="M7" s="16">
        <v>2</v>
      </c>
      <c r="N7" s="47"/>
      <c r="O7" s="23"/>
      <c r="P7" s="23"/>
      <c r="Q7" s="23"/>
      <c r="R7" s="23"/>
      <c r="S7" s="23"/>
      <c r="T7" s="48"/>
      <c r="U7" s="21"/>
      <c r="V7" s="24">
        <f>SUM(V2:V5)</f>
        <v>1243.3188</v>
      </c>
      <c r="W7" s="24">
        <f>SUM(W2:W5)</f>
        <v>142.981662</v>
      </c>
    </row>
    <row r="8" spans="1:23" ht="25" customHeight="1">
      <c r="A8" s="38">
        <v>45660</v>
      </c>
      <c r="B8" s="15" t="s">
        <v>365</v>
      </c>
      <c r="C8" s="49" t="s">
        <v>44</v>
      </c>
      <c r="D8" s="5">
        <v>0.37916666666666665</v>
      </c>
      <c r="E8" s="5">
        <v>0.45833333333333331</v>
      </c>
      <c r="F8" s="6" t="str">
        <f t="shared" si="0"/>
        <v>No</v>
      </c>
      <c r="G8" s="6">
        <f t="shared" si="3"/>
        <v>7.9166666666666663E-2</v>
      </c>
      <c r="H8" s="50">
        <f>_xlfn.IFNA(VLOOKUP(C:C,'Active Jobs'!B:K,8,0),"")</f>
        <v>200</v>
      </c>
      <c r="I8" s="8">
        <f t="shared" si="4"/>
        <v>1.9</v>
      </c>
      <c r="J8" s="50">
        <f t="shared" si="5"/>
        <v>127.49132999999999</v>
      </c>
      <c r="K8" s="50">
        <f t="shared" si="6"/>
        <v>72.508670000000009</v>
      </c>
      <c r="L8" s="9">
        <f t="shared" si="7"/>
        <v>0.63745664999999996</v>
      </c>
      <c r="M8" s="16">
        <v>2</v>
      </c>
      <c r="N8" s="41"/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10" t="str">
        <f t="shared" si="2"/>
        <v/>
      </c>
      <c r="U8" s="21"/>
      <c r="V8" s="21"/>
      <c r="W8" s="21"/>
    </row>
    <row r="9" spans="1:23" ht="25" customHeight="1">
      <c r="A9" s="38">
        <v>45660</v>
      </c>
      <c r="B9" s="15" t="s">
        <v>365</v>
      </c>
      <c r="C9" s="16" t="s">
        <v>155</v>
      </c>
      <c r="D9" s="5">
        <v>0.45902777777777776</v>
      </c>
      <c r="E9" s="5">
        <v>0.56944444444444442</v>
      </c>
      <c r="F9" s="6" t="s">
        <v>17</v>
      </c>
      <c r="G9" s="6">
        <f t="shared" si="3"/>
        <v>8.9583333333333334E-2</v>
      </c>
      <c r="H9" s="50">
        <f>_xlfn.IFNA(VLOOKUP(C:C,'Active Jobs'!B:K,8,0),"")</f>
        <v>220</v>
      </c>
      <c r="I9" s="8">
        <f t="shared" si="4"/>
        <v>2.15</v>
      </c>
      <c r="J9" s="50">
        <f t="shared" si="5"/>
        <v>144.266505</v>
      </c>
      <c r="K9" s="50">
        <f t="shared" si="6"/>
        <v>75.733495000000005</v>
      </c>
      <c r="L9" s="9">
        <f t="shared" si="7"/>
        <v>0.65575684090909092</v>
      </c>
      <c r="M9" s="16">
        <v>2</v>
      </c>
      <c r="N9" s="47"/>
      <c r="O9" s="23"/>
      <c r="P9" s="23"/>
      <c r="Q9" s="23"/>
      <c r="R9" s="23"/>
      <c r="S9" s="23"/>
      <c r="T9" s="48"/>
      <c r="U9" s="21"/>
      <c r="V9" s="24"/>
      <c r="W9" s="25"/>
    </row>
    <row r="10" spans="1:23" ht="25" customHeight="1">
      <c r="A10" s="38">
        <v>45660</v>
      </c>
      <c r="B10" s="15" t="s">
        <v>365</v>
      </c>
      <c r="C10" s="16" t="s">
        <v>126</v>
      </c>
      <c r="D10" s="5">
        <v>0.57638888888888884</v>
      </c>
      <c r="E10" s="5">
        <v>0.65277777777777779</v>
      </c>
      <c r="F10" s="6" t="str">
        <f t="shared" si="0"/>
        <v>No</v>
      </c>
      <c r="G10" s="6">
        <f t="shared" si="3"/>
        <v>7.6388888888888951E-2</v>
      </c>
      <c r="H10" s="50">
        <f>_xlfn.IFNA(VLOOKUP(C:C,'Active Jobs'!B:K,8,0),"")</f>
        <v>250</v>
      </c>
      <c r="I10" s="8">
        <f t="shared" si="4"/>
        <v>1.8333333333333348</v>
      </c>
      <c r="J10" s="50">
        <f t="shared" si="5"/>
        <v>123.0179500000001</v>
      </c>
      <c r="K10" s="50">
        <f t="shared" si="6"/>
        <v>126.9820499999999</v>
      </c>
      <c r="L10" s="9">
        <f t="shared" si="7"/>
        <v>0.49207180000000039</v>
      </c>
      <c r="M10" s="16">
        <v>2</v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/>
      </c>
      <c r="S10" s="23" t="str">
        <f t="shared" si="1"/>
        <v/>
      </c>
      <c r="T10" s="10" t="str">
        <f t="shared" si="2"/>
        <v/>
      </c>
      <c r="U10" s="21"/>
      <c r="V10" s="21"/>
      <c r="W10" s="10"/>
    </row>
    <row r="11" spans="1:23" ht="25" customHeight="1">
      <c r="A11" s="38">
        <v>45660</v>
      </c>
      <c r="B11" s="15" t="s">
        <v>365</v>
      </c>
      <c r="C11" s="16" t="s">
        <v>47</v>
      </c>
      <c r="D11" s="5">
        <v>0.65972222222222221</v>
      </c>
      <c r="E11" s="5">
        <v>0.72361111111111109</v>
      </c>
      <c r="F11" s="6" t="str">
        <f t="shared" si="0"/>
        <v>No</v>
      </c>
      <c r="G11" s="6">
        <f t="shared" si="3"/>
        <v>6.3888888888888884E-2</v>
      </c>
      <c r="H11" s="50">
        <f>_xlfn.IFNA(VLOOKUP(C:C,'Active Jobs'!B:K,8,0),"")</f>
        <v>200</v>
      </c>
      <c r="I11" s="8">
        <f t="shared" si="4"/>
        <v>1.5333333333333332</v>
      </c>
      <c r="J11" s="50">
        <f t="shared" si="5"/>
        <v>102.88773999999999</v>
      </c>
      <c r="K11" s="50">
        <f t="shared" si="6"/>
        <v>97.112260000000006</v>
      </c>
      <c r="L11" s="9">
        <f t="shared" si="7"/>
        <v>0.51443869999999992</v>
      </c>
      <c r="M11" s="16">
        <v>2</v>
      </c>
      <c r="O11" s="23" t="str">
        <f t="shared" si="1"/>
        <v/>
      </c>
      <c r="P11" s="23" t="str">
        <f t="shared" si="1"/>
        <v/>
      </c>
      <c r="Q11" s="23" t="str">
        <f t="shared" si="1"/>
        <v/>
      </c>
      <c r="R11" s="23" t="str">
        <f t="shared" si="1"/>
        <v/>
      </c>
      <c r="S11" s="23" t="str">
        <f t="shared" si="1"/>
        <v/>
      </c>
      <c r="T11" s="10" t="str">
        <f t="shared" si="2"/>
        <v/>
      </c>
      <c r="U11" s="21"/>
      <c r="V11" s="54"/>
      <c r="W11" s="21"/>
    </row>
    <row r="12" spans="1:23" ht="25" customHeight="1">
      <c r="B12" s="15"/>
      <c r="D12" s="5"/>
      <c r="E12" s="5"/>
      <c r="F12" s="6" t="str">
        <f t="shared" si="0"/>
        <v/>
      </c>
      <c r="G12" s="6" t="str">
        <f t="shared" si="3"/>
        <v/>
      </c>
      <c r="H12" s="50" t="str">
        <f>_xlfn.IFNA(VLOOKUP(C:C,'Active Jobs'!B:K,8,0),"")</f>
        <v/>
      </c>
      <c r="I12" s="8" t="str">
        <f t="shared" si="4"/>
        <v/>
      </c>
      <c r="J12" s="50" t="str">
        <f t="shared" si="5"/>
        <v/>
      </c>
      <c r="K12" s="50" t="str">
        <f t="shared" si="6"/>
        <v/>
      </c>
      <c r="L12" s="9" t="str">
        <f t="shared" si="7"/>
        <v/>
      </c>
      <c r="O12" s="23" t="str">
        <f t="shared" si="1"/>
        <v/>
      </c>
      <c r="P12" s="23" t="str">
        <f t="shared" si="1"/>
        <v/>
      </c>
      <c r="Q12" s="23" t="str">
        <f t="shared" si="1"/>
        <v/>
      </c>
      <c r="R12" s="23" t="str">
        <f t="shared" si="1"/>
        <v/>
      </c>
      <c r="S12" s="23" t="str">
        <f t="shared" si="1"/>
        <v/>
      </c>
      <c r="T12" s="10" t="str">
        <f t="shared" si="2"/>
        <v/>
      </c>
    </row>
    <row r="13" spans="1:23" ht="25" customHeight="1">
      <c r="B13" s="15"/>
      <c r="D13" s="5"/>
      <c r="E13" s="5"/>
      <c r="F13" s="6" t="str">
        <f t="shared" si="0"/>
        <v/>
      </c>
      <c r="G13" s="6" t="str">
        <f t="shared" si="3"/>
        <v/>
      </c>
      <c r="H13" s="50" t="str">
        <f>_xlfn.IFNA(VLOOKUP(C:C,'Active Jobs'!B:K,8,0),"")</f>
        <v/>
      </c>
      <c r="I13" s="8" t="str">
        <f t="shared" si="4"/>
        <v/>
      </c>
      <c r="J13" s="50" t="str">
        <f t="shared" si="5"/>
        <v/>
      </c>
      <c r="K13" s="50" t="str">
        <f t="shared" si="6"/>
        <v/>
      </c>
      <c r="L13" s="9" t="str">
        <f t="shared" si="7"/>
        <v/>
      </c>
      <c r="O13" s="23" t="str">
        <f t="shared" si="1"/>
        <v/>
      </c>
      <c r="P13" s="23" t="str">
        <f t="shared" si="1"/>
        <v/>
      </c>
      <c r="Q13" s="23" t="str">
        <f t="shared" si="1"/>
        <v/>
      </c>
      <c r="R13" s="23" t="str">
        <f t="shared" si="1"/>
        <v/>
      </c>
      <c r="S13" s="23" t="str">
        <f t="shared" si="1"/>
        <v/>
      </c>
      <c r="T13" s="10" t="str">
        <f t="shared" si="2"/>
        <v/>
      </c>
    </row>
    <row r="14" spans="1:23" ht="25" customHeight="1">
      <c r="B14" s="15"/>
      <c r="D14" s="5"/>
      <c r="E14" s="5"/>
      <c r="F14" s="6" t="str">
        <f t="shared" si="0"/>
        <v/>
      </c>
      <c r="G14" s="6" t="str">
        <f t="shared" si="3"/>
        <v/>
      </c>
      <c r="H14" s="50" t="str">
        <f>_xlfn.IFNA(VLOOKUP(C:C,'Active Jobs'!B:K,8,0),"")</f>
        <v/>
      </c>
      <c r="I14" s="8" t="str">
        <f t="shared" si="4"/>
        <v/>
      </c>
      <c r="J14" s="50" t="str">
        <f t="shared" si="5"/>
        <v/>
      </c>
      <c r="K14" s="50" t="str">
        <f t="shared" si="6"/>
        <v/>
      </c>
      <c r="L14" s="9" t="str">
        <f t="shared" si="7"/>
        <v/>
      </c>
      <c r="O14" s="23" t="str">
        <f t="shared" si="1"/>
        <v/>
      </c>
      <c r="P14" s="23" t="str">
        <f t="shared" si="1"/>
        <v/>
      </c>
      <c r="Q14" s="23" t="str">
        <f t="shared" si="1"/>
        <v/>
      </c>
      <c r="R14" s="23" t="str">
        <f t="shared" si="1"/>
        <v/>
      </c>
      <c r="S14" s="23" t="str">
        <f t="shared" si="1"/>
        <v/>
      </c>
      <c r="T14" s="10" t="str">
        <f t="shared" si="2"/>
        <v/>
      </c>
    </row>
    <row r="15" spans="1:23" ht="25" customHeight="1">
      <c r="B15" s="15"/>
      <c r="D15" s="5"/>
      <c r="E15" s="5"/>
      <c r="F15" s="6" t="str">
        <f t="shared" si="0"/>
        <v/>
      </c>
      <c r="G15" s="6" t="str">
        <f t="shared" si="3"/>
        <v/>
      </c>
      <c r="H15" s="50" t="str">
        <f>_xlfn.IFNA(VLOOKUP(C:C,'Active Jobs'!B:K,8,0),"")</f>
        <v/>
      </c>
      <c r="I15" s="8" t="str">
        <f t="shared" si="4"/>
        <v/>
      </c>
      <c r="J15" s="50" t="str">
        <f t="shared" si="5"/>
        <v/>
      </c>
      <c r="K15" s="50" t="str">
        <f t="shared" si="6"/>
        <v/>
      </c>
      <c r="L15" s="9" t="str">
        <f t="shared" si="7"/>
        <v/>
      </c>
    </row>
    <row r="16" spans="1:23" ht="25" customHeight="1">
      <c r="B16" s="15"/>
      <c r="D16" s="5"/>
      <c r="E16" s="5"/>
      <c r="F16" s="6" t="str">
        <f t="shared" si="0"/>
        <v/>
      </c>
      <c r="G16" s="6" t="str">
        <f t="shared" si="3"/>
        <v/>
      </c>
      <c r="H16" s="50" t="str">
        <f>_xlfn.IFNA(VLOOKUP(C:C,'Active Jobs'!B:K,8,0),"")</f>
        <v/>
      </c>
      <c r="I16" s="8" t="str">
        <f t="shared" si="4"/>
        <v/>
      </c>
      <c r="J16" s="50" t="str">
        <f t="shared" si="5"/>
        <v/>
      </c>
      <c r="K16" s="50" t="str">
        <f t="shared" si="6"/>
        <v/>
      </c>
      <c r="L16" s="9" t="str">
        <f t="shared" si="7"/>
        <v/>
      </c>
    </row>
    <row r="17" spans="1:20" ht="25" customHeight="1">
      <c r="B17" s="15"/>
      <c r="D17" s="5"/>
      <c r="E17" s="5"/>
      <c r="F17" s="6" t="str">
        <f t="shared" si="0"/>
        <v/>
      </c>
      <c r="G17" s="6" t="str">
        <f t="shared" si="3"/>
        <v/>
      </c>
      <c r="H17" s="50" t="str">
        <f>_xlfn.IFNA(VLOOKUP(C:C,'Active Jobs'!B:K,8,0),"")</f>
        <v/>
      </c>
      <c r="I17" s="8" t="str">
        <f t="shared" si="4"/>
        <v/>
      </c>
      <c r="J17" s="50" t="str">
        <f t="shared" si="5"/>
        <v/>
      </c>
      <c r="K17" s="50" t="str">
        <f t="shared" si="6"/>
        <v/>
      </c>
      <c r="L17" s="9" t="str">
        <f t="shared" si="7"/>
        <v/>
      </c>
      <c r="O17" s="23" t="str">
        <f>IF(N17="","",ROUND(SUMIFS($I:$I,$A:$A,O$1,$B:$B,"*"&amp;$N17&amp;"*"),2))</f>
        <v/>
      </c>
      <c r="P17" s="23" t="str">
        <f>IF(O17="","",ROUND(SUMIFS($I:$I,$A:$A,P$1,$B:$B,"*"&amp;$N17&amp;"*"),2))</f>
        <v/>
      </c>
      <c r="Q17" s="23" t="str">
        <f>IF(P17="","",ROUND(SUMIFS($I:$I,$A:$A,Q$1,$B:$B,"*"&amp;$N17&amp;"*"),2))</f>
        <v/>
      </c>
      <c r="R17" s="23" t="str">
        <f>IF(Q17="","",ROUND(SUMIFS($I:$I,$A:$A,R$1,$B:$B,"*"&amp;$N17&amp;"*"),2))</f>
        <v/>
      </c>
      <c r="S17" s="23" t="str">
        <f>IF(R17="","",ROUND(SUMIFS($I:$I,$A:$A,S$1,$B:$B,"*"&amp;$N17&amp;"*"),2))</f>
        <v/>
      </c>
      <c r="T17" s="10" t="str">
        <f t="shared" ref="T17" si="8">IF(N17="","",SUM(O17:S17))</f>
        <v/>
      </c>
    </row>
    <row r="18" spans="1:20" ht="25" customHeight="1">
      <c r="B18" s="15"/>
      <c r="D18" s="5"/>
      <c r="E18" s="5"/>
      <c r="F18" s="6" t="str">
        <f t="shared" si="0"/>
        <v/>
      </c>
      <c r="G18" s="6" t="str">
        <f t="shared" si="3"/>
        <v/>
      </c>
      <c r="H18" s="50" t="str">
        <f>_xlfn.IFNA(VLOOKUP(C:C,'Active Jobs'!B:K,8,0),"")</f>
        <v/>
      </c>
      <c r="I18" s="8" t="str">
        <f t="shared" si="4"/>
        <v/>
      </c>
      <c r="J18" s="50" t="str">
        <f t="shared" si="5"/>
        <v/>
      </c>
      <c r="K18" s="50" t="str">
        <f t="shared" si="6"/>
        <v/>
      </c>
      <c r="L18" s="9" t="str">
        <f t="shared" si="7"/>
        <v/>
      </c>
    </row>
    <row r="19" spans="1:20" ht="25" customHeight="1">
      <c r="B19" s="15"/>
      <c r="D19" s="5"/>
      <c r="E19" s="5"/>
      <c r="F19" s="6" t="str">
        <f t="shared" si="0"/>
        <v/>
      </c>
      <c r="G19" s="6" t="str">
        <f t="shared" si="3"/>
        <v/>
      </c>
      <c r="H19" s="50" t="str">
        <f>_xlfn.IFNA(VLOOKUP(C:C,'Active Jobs'!B:K,8,0),"")</f>
        <v/>
      </c>
      <c r="I19" s="8" t="str">
        <f t="shared" si="4"/>
        <v/>
      </c>
      <c r="J19" s="50" t="str">
        <f t="shared" si="5"/>
        <v/>
      </c>
      <c r="K19" s="50" t="str">
        <f t="shared" si="6"/>
        <v/>
      </c>
      <c r="L19" s="9" t="str">
        <f t="shared" si="7"/>
        <v/>
      </c>
    </row>
    <row r="20" spans="1:20" ht="25" customHeight="1">
      <c r="B20" s="15"/>
      <c r="D20" s="5"/>
      <c r="E20" s="5"/>
      <c r="F20" s="6" t="str">
        <f t="shared" si="0"/>
        <v/>
      </c>
      <c r="G20" s="6" t="str">
        <f t="shared" si="3"/>
        <v/>
      </c>
      <c r="H20" s="50" t="str">
        <f>_xlfn.IFNA(VLOOKUP(C:C,'Active Jobs'!B:K,8,0),"")</f>
        <v/>
      </c>
      <c r="I20" s="8" t="str">
        <f t="shared" si="4"/>
        <v/>
      </c>
      <c r="J20" s="50" t="str">
        <f t="shared" si="5"/>
        <v/>
      </c>
      <c r="K20" s="50" t="str">
        <f t="shared" si="6"/>
        <v/>
      </c>
      <c r="L20" s="9" t="str">
        <f t="shared" si="7"/>
        <v/>
      </c>
    </row>
    <row r="21" spans="1:20" ht="25" customHeight="1">
      <c r="B21" s="15"/>
      <c r="D21" s="5"/>
      <c r="E21" s="5"/>
      <c r="F21" s="6" t="str">
        <f t="shared" si="0"/>
        <v/>
      </c>
      <c r="G21" s="6" t="str">
        <f t="shared" si="3"/>
        <v/>
      </c>
      <c r="H21" s="50" t="str">
        <f>_xlfn.IFNA(VLOOKUP(C:C,'Active Jobs'!B:K,8,0),"")</f>
        <v/>
      </c>
      <c r="I21" s="8" t="str">
        <f t="shared" si="4"/>
        <v/>
      </c>
      <c r="J21" s="50" t="str">
        <f t="shared" si="5"/>
        <v/>
      </c>
      <c r="K21" s="50" t="str">
        <f t="shared" si="6"/>
        <v/>
      </c>
      <c r="L21" s="9" t="str">
        <f t="shared" si="7"/>
        <v/>
      </c>
    </row>
    <row r="22" spans="1:20" ht="25" customHeight="1">
      <c r="B22" s="15"/>
      <c r="D22" s="5"/>
      <c r="E22" s="5"/>
      <c r="F22" s="6" t="str">
        <f t="shared" si="0"/>
        <v/>
      </c>
      <c r="G22" s="6" t="str">
        <f t="shared" si="3"/>
        <v/>
      </c>
      <c r="H22" s="50" t="str">
        <f>_xlfn.IFNA(VLOOKUP(C:C,'Active Jobs'!B:K,8,0),"")</f>
        <v/>
      </c>
      <c r="I22" s="8" t="str">
        <f t="shared" si="4"/>
        <v/>
      </c>
      <c r="J22" s="50" t="str">
        <f t="shared" si="5"/>
        <v/>
      </c>
      <c r="K22" s="50" t="str">
        <f t="shared" si="6"/>
        <v/>
      </c>
      <c r="L22" s="9" t="str">
        <f t="shared" si="7"/>
        <v/>
      </c>
    </row>
    <row r="23" spans="1:20" ht="25" customHeight="1">
      <c r="B23" s="15"/>
      <c r="D23" s="5"/>
      <c r="E23" s="5"/>
      <c r="F23" s="6" t="str">
        <f t="shared" si="0"/>
        <v/>
      </c>
      <c r="G23" s="6" t="str">
        <f t="shared" si="3"/>
        <v/>
      </c>
      <c r="H23" s="50" t="str">
        <f>_xlfn.IFNA(VLOOKUP(C:C,'Active Jobs'!B:K,8,0),"")</f>
        <v/>
      </c>
      <c r="I23" s="8" t="str">
        <f t="shared" si="4"/>
        <v/>
      </c>
      <c r="J23" s="50" t="str">
        <f t="shared" si="5"/>
        <v/>
      </c>
      <c r="K23" s="50" t="str">
        <f t="shared" si="6"/>
        <v/>
      </c>
      <c r="L23" s="9" t="str">
        <f t="shared" si="7"/>
        <v/>
      </c>
    </row>
    <row r="24" spans="1:20" ht="25" customHeight="1">
      <c r="B24" s="15"/>
      <c r="D24" s="5"/>
      <c r="E24" s="46"/>
      <c r="F24" s="6" t="str">
        <f t="shared" si="0"/>
        <v/>
      </c>
      <c r="G24" s="6" t="str">
        <f t="shared" si="3"/>
        <v/>
      </c>
      <c r="H24" s="50" t="str">
        <f>_xlfn.IFNA(VLOOKUP(C:C,'Active Jobs'!B:K,8,0),"")</f>
        <v/>
      </c>
      <c r="I24" s="8" t="str">
        <f t="shared" si="4"/>
        <v/>
      </c>
      <c r="J24" s="50" t="str">
        <f t="shared" si="5"/>
        <v/>
      </c>
      <c r="K24" s="50" t="str">
        <f t="shared" si="6"/>
        <v/>
      </c>
      <c r="L24" s="9" t="str">
        <f t="shared" si="7"/>
        <v/>
      </c>
    </row>
    <row r="25" spans="1:20" ht="25" customHeight="1">
      <c r="B25" s="15"/>
      <c r="D25" s="46"/>
      <c r="E25" s="46"/>
      <c r="F25" s="6" t="str">
        <f t="shared" si="0"/>
        <v/>
      </c>
      <c r="G25" s="6" t="str">
        <f t="shared" si="3"/>
        <v/>
      </c>
      <c r="H25" s="50" t="str">
        <f>_xlfn.IFNA(VLOOKUP(C:C,'Active Jobs'!B:K,8,0),"")</f>
        <v/>
      </c>
      <c r="I25" s="8" t="str">
        <f t="shared" si="4"/>
        <v/>
      </c>
      <c r="J25" s="50" t="str">
        <f t="shared" si="5"/>
        <v/>
      </c>
      <c r="K25" s="50" t="str">
        <f t="shared" si="6"/>
        <v/>
      </c>
      <c r="L25" s="9" t="str">
        <f t="shared" si="7"/>
        <v/>
      </c>
    </row>
    <row r="26" spans="1:20" ht="25" customHeight="1">
      <c r="B26" s="15"/>
      <c r="D26" s="46"/>
      <c r="E26" s="46"/>
      <c r="F26" s="6" t="str">
        <f t="shared" si="0"/>
        <v/>
      </c>
      <c r="G26" s="6" t="str">
        <f t="shared" si="3"/>
        <v/>
      </c>
      <c r="H26" s="50" t="str">
        <f>_xlfn.IFNA(VLOOKUP(C:C,'Active Jobs'!B:K,8,0),"")</f>
        <v/>
      </c>
      <c r="I26" s="8" t="str">
        <f t="shared" si="4"/>
        <v/>
      </c>
      <c r="J26" s="50" t="str">
        <f t="shared" si="5"/>
        <v/>
      </c>
      <c r="K26" s="50" t="str">
        <f t="shared" si="6"/>
        <v/>
      </c>
      <c r="L26" s="9" t="str">
        <f t="shared" si="7"/>
        <v/>
      </c>
    </row>
    <row r="27" spans="1:20" ht="25" customHeight="1">
      <c r="D27" s="46"/>
      <c r="E27" s="46"/>
      <c r="F27" s="6" t="str">
        <f t="shared" si="0"/>
        <v/>
      </c>
      <c r="G27" s="6" t="str">
        <f t="shared" si="3"/>
        <v/>
      </c>
      <c r="H27" s="50" t="str">
        <f>_xlfn.IFNA(VLOOKUP(C:C,'Active Jobs'!B:K,8,0),"")</f>
        <v/>
      </c>
      <c r="I27" s="8" t="str">
        <f t="shared" si="4"/>
        <v/>
      </c>
      <c r="J27" s="51" t="str">
        <f>IF(G27="","",G27*24*HourlyRate*2*(1+Super))</f>
        <v/>
      </c>
      <c r="K27" s="51" t="str">
        <f t="shared" si="6"/>
        <v/>
      </c>
      <c r="L27" s="52" t="str">
        <f t="shared" si="7"/>
        <v/>
      </c>
    </row>
    <row r="28" spans="1:20" ht="25" customHeight="1">
      <c r="D28" s="46"/>
      <c r="E28" s="46"/>
      <c r="F28" s="6" t="str">
        <f t="shared" si="0"/>
        <v/>
      </c>
      <c r="G28" s="6" t="str">
        <f t="shared" si="3"/>
        <v/>
      </c>
      <c r="H28" s="50" t="str">
        <f>_xlfn.IFNA(VLOOKUP(C:C,'Active Jobs'!B:K,8,0),"")</f>
        <v/>
      </c>
      <c r="I28" s="8" t="str">
        <f t="shared" si="4"/>
        <v/>
      </c>
      <c r="J28" s="51" t="str">
        <f>IF(G28="","",G28*24*HourlyRate*2*(1+Super))</f>
        <v/>
      </c>
      <c r="K28" s="51" t="str">
        <f t="shared" si="6"/>
        <v/>
      </c>
      <c r="L28" s="52" t="str">
        <f t="shared" si="7"/>
        <v/>
      </c>
    </row>
    <row r="29" spans="1:20" ht="25" customHeight="1">
      <c r="F29" s="6" t="str">
        <f t="shared" si="0"/>
        <v/>
      </c>
      <c r="G29" s="6" t="str">
        <f t="shared" si="3"/>
        <v/>
      </c>
      <c r="H29" s="50" t="str">
        <f>_xlfn.IFNA(VLOOKUP(C:C,'Active Jobs'!B:K,8,0),"")</f>
        <v/>
      </c>
      <c r="I29" s="8" t="str">
        <f t="shared" si="4"/>
        <v/>
      </c>
      <c r="J29" s="51" t="str">
        <f>IF(G29="","",G29*24*HourlyRate*2*(1+Super))</f>
        <v/>
      </c>
      <c r="K29" s="51" t="str">
        <f t="shared" si="6"/>
        <v/>
      </c>
      <c r="L29" s="52" t="str">
        <f t="shared" si="7"/>
        <v/>
      </c>
    </row>
    <row r="30" spans="1:20" ht="25" customHeight="1">
      <c r="F30" s="6" t="str">
        <f t="shared" si="0"/>
        <v/>
      </c>
      <c r="G30" s="6" t="str">
        <f t="shared" si="3"/>
        <v/>
      </c>
      <c r="H30" s="50" t="str">
        <f>_xlfn.IFNA(VLOOKUP(C:C,'Active Jobs'!B:K,8,0),"")</f>
        <v/>
      </c>
      <c r="I30" s="8" t="str">
        <f t="shared" si="4"/>
        <v/>
      </c>
      <c r="J30" s="51" t="str">
        <f>IF(G30="","",G30*24*HourlyRate*2*(1+Super))</f>
        <v/>
      </c>
      <c r="K30" s="51" t="str">
        <f t="shared" si="6"/>
        <v/>
      </c>
      <c r="L30" s="52" t="str">
        <f t="shared" si="7"/>
        <v/>
      </c>
    </row>
    <row r="31" spans="1:20" ht="25" customHeight="1">
      <c r="A31" s="39"/>
      <c r="B31" s="29"/>
      <c r="C31" s="30"/>
      <c r="D31" s="1"/>
      <c r="E31" s="1"/>
      <c r="F31" s="31"/>
      <c r="G31" s="32"/>
      <c r="H31" s="53">
        <f>SUBTOTAL(109,Table22612[Quoted])</f>
        <v>2290</v>
      </c>
      <c r="I31" s="34">
        <f>SUBTOTAL(109,Table22612[Hours Payable])</f>
        <v>20.650000000000006</v>
      </c>
      <c r="J31" s="53">
        <f>SUBTOTAL(109,Table22612[Wages (Incl. Super)])</f>
        <v>1385.629455</v>
      </c>
      <c r="K31" s="53">
        <f>SUBTOTAL(109,Table22612[Profit])</f>
        <v>904.37054499999988</v>
      </c>
      <c r="L31" s="35">
        <f>SUBTOTAL(101,Table22612[Quote/Wages])</f>
        <v>0.60412996900000004</v>
      </c>
    </row>
  </sheetData>
  <conditionalFormatting sqref="B1:B30 B32:B252">
    <cfRule type="expression" dxfId="24" priority="1">
      <formula>AND(ROW()&gt;1, E1&lt;&gt;"", COUNTIFS(A:A, $A1, B:B, $B1, F:F, "Yes")=0)</formula>
    </cfRule>
  </conditionalFormatting>
  <conditionalFormatting sqref="F1:F30 F32:F252">
    <cfRule type="expression" dxfId="23" priority="2" stopIfTrue="1">
      <formula>AND(ROW()&gt;1, E1&lt;&gt;"", COUNTIFS(A:A, $A1, B:B, $B1, F:F, "Yes")=0)</formula>
    </cfRule>
  </conditionalFormatting>
  <dataValidations count="1">
    <dataValidation type="list" allowBlank="1" showErrorMessage="1" promptTitle="Select" sqref="B2:B30" xr:uid="{7C86AC2C-0329-ED4C-A8C6-294EA7BF580A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B16904B-BE97-0D40-8B72-6F111EB5CD57}">
          <x14:formula1>
            <xm:f>'Active Jobs'!$B$2:$B$154</xm:f>
          </x14:formula1>
          <xm:sqref>C2:C30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C2F72-0B77-1440-9B5B-94B8DF0E8C44}">
  <sheetPr codeName="Sheet7"/>
  <dimension ref="A1:W31"/>
  <sheetViews>
    <sheetView zoomScale="125" zoomScaleNormal="125" workbookViewId="0">
      <selection activeCell="B6" sqref="B6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24" width="10.7109375" style="16"/>
    <col min="25" max="25" width="18.140625" style="16" bestFit="1" customWidth="1"/>
    <col min="26" max="26" width="8.5703125" style="16" bestFit="1" customWidth="1"/>
    <col min="27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">TRANSPOSE(_xlfn._xlws.FILTER(_xlfn.UNIQUE(A2:A202), _xlfn.UNIQUE(A2:A202)&lt;&gt;""))</f>
        <v>45649</v>
      </c>
      <c r="P1" s="28"/>
      <c r="Q1" s="28"/>
      <c r="R1" s="28"/>
      <c r="S1" s="28"/>
      <c r="T1" s="27" t="s">
        <v>14</v>
      </c>
      <c r="U1" s="21"/>
      <c r="V1" s="22" t="s">
        <v>15</v>
      </c>
      <c r="W1" s="20" t="s">
        <v>16</v>
      </c>
    </row>
    <row r="2" spans="1:23" ht="25" customHeight="1">
      <c r="A2" s="37">
        <v>45649</v>
      </c>
      <c r="B2" s="15" t="s">
        <v>365</v>
      </c>
      <c r="C2" s="16" t="s">
        <v>118</v>
      </c>
      <c r="D2" s="5">
        <v>0.38194444444444442</v>
      </c>
      <c r="E2" s="5">
        <v>0.45902777777777776</v>
      </c>
      <c r="F2" s="6" t="str">
        <f t="shared" ref="F2:F30" si="0">IF(E2="","","No")</f>
        <v>No</v>
      </c>
      <c r="G2" s="6">
        <f>IF(E2="","",IF(F2="Yes",(E2-D2)-TIME(0,30,0),E2-D2))</f>
        <v>7.7083333333333337E-2</v>
      </c>
      <c r="H2" s="50">
        <f>_xlfn.IFNA(VLOOKUP(C:C,'Active Jobs'!B:K,8,0),"")</f>
        <v>200</v>
      </c>
      <c r="I2" s="8">
        <f>IF(F2="Yes",(E2-D2)*24-0.5,IF(F2="No",(E2-D2)*24,""))</f>
        <v>1.85</v>
      </c>
      <c r="J2" s="50">
        <f>IF(G2="","",G2*24*HourlyRate*2*(1+Super))</f>
        <v>124.136295</v>
      </c>
      <c r="K2" s="50">
        <f>IF(H2="","",H2-J2)</f>
        <v>75.863704999999996</v>
      </c>
      <c r="L2" s="9">
        <f>IF(K2="","",IF(H2=0,1,J2/H2))</f>
        <v>0.62068147500000004</v>
      </c>
      <c r="M2" s="16">
        <v>2</v>
      </c>
      <c r="N2" s="41" t="str" cm="1">
        <f t="array" ref="N2:N4">_xlfn.UNIQUE(TRANSPOSE(_xlfn.TEXTSPLIT(_xlfn.TEXTJOIN(" &amp; ", TRUE, B2:B202), " &amp; ")))</f>
        <v>Julie Roccati</v>
      </c>
      <c r="O2" s="23">
        <v>9.83</v>
      </c>
      <c r="P2" s="23">
        <f t="shared" ref="O2:S14" si="1">IF(O2="","",ROUND(SUMIFS($I:$I,$A:$A,P$1,$B:$B,"*"&amp;$N2&amp;"*"),2))</f>
        <v>0</v>
      </c>
      <c r="Q2" s="23">
        <f t="shared" si="1"/>
        <v>0</v>
      </c>
      <c r="R2" s="23">
        <f t="shared" si="1"/>
        <v>0</v>
      </c>
      <c r="S2" s="23">
        <f t="shared" si="1"/>
        <v>0</v>
      </c>
      <c r="T2" s="10">
        <f t="shared" ref="T2:T14" si="2">IF(N2="","",SUM(O2:S2))</f>
        <v>9.83</v>
      </c>
      <c r="U2" s="21"/>
      <c r="V2" s="24">
        <f>T2*HourlyRate</f>
        <v>295.78469999999999</v>
      </c>
      <c r="W2" s="25">
        <f>V2*Super</f>
        <v>34.015240499999997</v>
      </c>
    </row>
    <row r="3" spans="1:23" ht="25" customHeight="1">
      <c r="A3" s="37">
        <v>45649</v>
      </c>
      <c r="B3" s="15" t="s">
        <v>365</v>
      </c>
      <c r="C3" s="16" t="s">
        <v>186</v>
      </c>
      <c r="D3" s="5">
        <v>0.45902777777777776</v>
      </c>
      <c r="E3" s="5">
        <v>0.56527777777777777</v>
      </c>
      <c r="F3" s="6" t="s">
        <v>17</v>
      </c>
      <c r="G3" s="6">
        <f t="shared" ref="G3:G30" si="3">IF(E3="","",IF(F3="Yes",(E3-D3)-TIME(0,30,0),E3-D3))</f>
        <v>8.5416666666666682E-2</v>
      </c>
      <c r="H3" s="50" t="str">
        <f>_xlfn.IFNA(VLOOKUP(C:C,'Active Jobs'!B:K,8,0),"")</f>
        <v/>
      </c>
      <c r="I3" s="8">
        <f t="shared" ref="I3:I30" si="4">IF(F3="Yes",(E3-D3)*24-0.5,IF(F3="No",(E3-D3)*24,""))</f>
        <v>2.0500000000000003</v>
      </c>
      <c r="J3" s="50">
        <f t="shared" ref="J3:J26" si="5">IF(G3="","",G3*24*HourlyRate*2*(1+Super))</f>
        <v>137.55643500000002</v>
      </c>
      <c r="K3" s="50" t="str">
        <f t="shared" ref="K3:K30" si="6">IF(H3="","",H3-J3)</f>
        <v/>
      </c>
      <c r="L3" s="9" t="str">
        <f t="shared" ref="L3:L30" si="7">IF(K3="","",IF(H3=0,1,J3/H3))</f>
        <v/>
      </c>
      <c r="M3" s="16">
        <v>2</v>
      </c>
      <c r="N3" s="42" t="str">
        <v>Sheyda Watermann</v>
      </c>
      <c r="O3" s="23">
        <f t="shared" si="1"/>
        <v>8.83</v>
      </c>
      <c r="P3" s="23">
        <f t="shared" si="1"/>
        <v>0</v>
      </c>
      <c r="Q3" s="23">
        <f t="shared" si="1"/>
        <v>0</v>
      </c>
      <c r="R3" s="23">
        <f t="shared" si="1"/>
        <v>0</v>
      </c>
      <c r="S3" s="23">
        <f t="shared" si="1"/>
        <v>0</v>
      </c>
      <c r="T3" s="10">
        <f t="shared" si="2"/>
        <v>8.83</v>
      </c>
      <c r="U3" s="21"/>
      <c r="V3" s="24">
        <f>T3*HourlyRate</f>
        <v>265.69470000000001</v>
      </c>
      <c r="W3" s="25">
        <f>V3*Super</f>
        <v>30.554890500000003</v>
      </c>
    </row>
    <row r="4" spans="1:23" ht="25" customHeight="1">
      <c r="A4" s="37">
        <v>45649</v>
      </c>
      <c r="B4" s="15" t="s">
        <v>365</v>
      </c>
      <c r="C4" s="16" t="s">
        <v>29</v>
      </c>
      <c r="D4" s="5">
        <v>0.56527777777777777</v>
      </c>
      <c r="E4" s="5">
        <v>0.65625</v>
      </c>
      <c r="F4" s="6" t="str">
        <f t="shared" si="0"/>
        <v>No</v>
      </c>
      <c r="G4" s="6">
        <f t="shared" si="3"/>
        <v>9.0972222222222232E-2</v>
      </c>
      <c r="H4" s="50">
        <f>_xlfn.IFNA(VLOOKUP(C:C,'Active Jobs'!B:K,8,0),"")</f>
        <v>200</v>
      </c>
      <c r="I4" s="8">
        <f t="shared" si="4"/>
        <v>2.1833333333333336</v>
      </c>
      <c r="J4" s="50">
        <f t="shared" si="5"/>
        <v>146.50319500000001</v>
      </c>
      <c r="K4" s="50">
        <f t="shared" si="6"/>
        <v>53.496804999999995</v>
      </c>
      <c r="L4" s="9">
        <f t="shared" si="7"/>
        <v>0.73251597499999999</v>
      </c>
      <c r="M4" s="16">
        <v>2</v>
      </c>
      <c r="N4" s="42" t="str">
        <v>Tia Campbell</v>
      </c>
      <c r="O4" s="23">
        <f t="shared" si="1"/>
        <v>7.28</v>
      </c>
      <c r="P4" s="23">
        <f t="shared" si="1"/>
        <v>0</v>
      </c>
      <c r="Q4" s="23">
        <f t="shared" si="1"/>
        <v>0</v>
      </c>
      <c r="R4" s="23">
        <f t="shared" si="1"/>
        <v>0</v>
      </c>
      <c r="S4" s="23">
        <f t="shared" si="1"/>
        <v>0</v>
      </c>
      <c r="T4" s="10">
        <f t="shared" si="2"/>
        <v>7.28</v>
      </c>
      <c r="U4" s="21"/>
      <c r="V4" s="24">
        <f>T4*HourlyRate</f>
        <v>219.05520000000001</v>
      </c>
      <c r="W4" s="25">
        <f>V4*Super</f>
        <v>25.191348000000001</v>
      </c>
    </row>
    <row r="5" spans="1:23" ht="25" customHeight="1">
      <c r="A5" s="37">
        <v>45649</v>
      </c>
      <c r="B5" s="15" t="s">
        <v>365</v>
      </c>
      <c r="C5" s="16" t="s">
        <v>141</v>
      </c>
      <c r="D5" s="5">
        <v>0.65625</v>
      </c>
      <c r="E5" s="5">
        <v>0.77083333333333337</v>
      </c>
      <c r="F5" s="6" t="str">
        <f t="shared" si="0"/>
        <v>No</v>
      </c>
      <c r="G5" s="6">
        <f t="shared" si="3"/>
        <v>0.11458333333333337</v>
      </c>
      <c r="H5" s="50">
        <f>_xlfn.IFNA(VLOOKUP(C:C,'Active Jobs'!B:K,8,0),"")</f>
        <v>250</v>
      </c>
      <c r="I5" s="8">
        <f t="shared" si="4"/>
        <v>2.7500000000000009</v>
      </c>
      <c r="J5" s="50">
        <f t="shared" si="5"/>
        <v>184.52692500000006</v>
      </c>
      <c r="K5" s="50">
        <f t="shared" si="6"/>
        <v>65.473074999999938</v>
      </c>
      <c r="L5" s="9">
        <f t="shared" si="7"/>
        <v>0.73810770000000026</v>
      </c>
      <c r="M5" s="16">
        <v>2</v>
      </c>
      <c r="N5" s="42"/>
      <c r="O5" s="23" t="str">
        <f t="shared" si="1"/>
        <v/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10" t="str">
        <f t="shared" si="2"/>
        <v/>
      </c>
      <c r="U5" s="21"/>
      <c r="V5" s="24" t="str">
        <f>IF(N5="","",T5*HourlyRate)</f>
        <v/>
      </c>
      <c r="W5" s="25" t="str">
        <f>IF(N5="","",V5*Super)</f>
        <v/>
      </c>
    </row>
    <row r="6" spans="1:23" ht="25" customHeight="1">
      <c r="A6" s="37">
        <v>45649</v>
      </c>
      <c r="B6" s="15" t="s">
        <v>361</v>
      </c>
      <c r="C6" s="16" t="s">
        <v>197</v>
      </c>
      <c r="D6" s="5">
        <v>0.37361111111111112</v>
      </c>
      <c r="E6" s="5">
        <v>0.69791666666666663</v>
      </c>
      <c r="F6" s="6" t="s">
        <v>17</v>
      </c>
      <c r="G6" s="6">
        <f t="shared" si="3"/>
        <v>0.3034722222222222</v>
      </c>
      <c r="H6" s="61">
        <v>850</v>
      </c>
      <c r="I6" s="8">
        <f t="shared" si="4"/>
        <v>7.2833333333333323</v>
      </c>
      <c r="J6" s="50">
        <f t="shared" si="5"/>
        <v>488.71676499999995</v>
      </c>
      <c r="K6" s="50">
        <f t="shared" si="6"/>
        <v>361.28323500000005</v>
      </c>
      <c r="L6" s="9">
        <f t="shared" si="7"/>
        <v>0.5749609</v>
      </c>
      <c r="M6" s="16">
        <v>1</v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/>
      </c>
      <c r="T6" s="10" t="str">
        <f t="shared" si="2"/>
        <v/>
      </c>
      <c r="U6" s="21"/>
      <c r="V6" s="24"/>
      <c r="W6" s="25"/>
    </row>
    <row r="7" spans="1:23" ht="25" customHeight="1">
      <c r="A7" s="37"/>
      <c r="B7" s="15"/>
      <c r="D7" s="5"/>
      <c r="E7" s="5"/>
      <c r="F7" s="6" t="str">
        <f t="shared" si="0"/>
        <v/>
      </c>
      <c r="G7" s="6" t="str">
        <f t="shared" si="3"/>
        <v/>
      </c>
      <c r="H7" s="50" t="str">
        <f>_xlfn.IFNA(VLOOKUP(C:C,'Active Jobs'!B:K,8,0),"")</f>
        <v/>
      </c>
      <c r="I7" s="8" t="str">
        <f t="shared" si="4"/>
        <v/>
      </c>
      <c r="J7" s="50" t="str">
        <f t="shared" si="5"/>
        <v/>
      </c>
      <c r="K7" s="50" t="str">
        <f t="shared" si="6"/>
        <v/>
      </c>
      <c r="L7" s="9" t="str">
        <f t="shared" si="7"/>
        <v/>
      </c>
      <c r="N7" s="47"/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48" t="str">
        <f t="shared" si="2"/>
        <v/>
      </c>
      <c r="U7" s="21"/>
      <c r="V7" s="24">
        <f>SUM(V2:V5)</f>
        <v>780.53459999999995</v>
      </c>
      <c r="W7" s="24">
        <f>SUM(W2:W5)</f>
        <v>89.761479000000008</v>
      </c>
    </row>
    <row r="8" spans="1:23" ht="25" customHeight="1">
      <c r="A8" s="37"/>
      <c r="B8" s="15"/>
      <c r="D8" s="5"/>
      <c r="E8" s="5"/>
      <c r="F8" s="6" t="str">
        <f t="shared" si="0"/>
        <v/>
      </c>
      <c r="G8" s="6" t="str">
        <f t="shared" si="3"/>
        <v/>
      </c>
      <c r="H8" s="50" t="str">
        <f>_xlfn.IFNA(VLOOKUP(C:C,'Active Jobs'!B:K,8,0),"")</f>
        <v/>
      </c>
      <c r="I8" s="8" t="str">
        <f t="shared" si="4"/>
        <v/>
      </c>
      <c r="J8" s="50" t="str">
        <f t="shared" si="5"/>
        <v/>
      </c>
      <c r="K8" s="50" t="str">
        <f t="shared" si="6"/>
        <v/>
      </c>
      <c r="L8" s="9" t="str">
        <f t="shared" si="7"/>
        <v/>
      </c>
      <c r="N8" s="41"/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10" t="str">
        <f t="shared" si="2"/>
        <v/>
      </c>
      <c r="U8" s="21"/>
      <c r="V8" s="21"/>
      <c r="W8" s="21"/>
    </row>
    <row r="9" spans="1:23" ht="25" customHeight="1">
      <c r="A9" s="37"/>
      <c r="B9" s="15"/>
      <c r="D9" s="5"/>
      <c r="E9" s="5"/>
      <c r="F9" s="6" t="str">
        <f t="shared" si="0"/>
        <v/>
      </c>
      <c r="G9" s="6" t="str">
        <f t="shared" si="3"/>
        <v/>
      </c>
      <c r="H9" s="50" t="str">
        <f>_xlfn.IFNA(VLOOKUP(C:C,'Active Jobs'!B:K,8,0),"")</f>
        <v/>
      </c>
      <c r="I9" s="8" t="str">
        <f t="shared" si="4"/>
        <v/>
      </c>
      <c r="J9" s="50" t="str">
        <f t="shared" si="5"/>
        <v/>
      </c>
      <c r="K9" s="50" t="str">
        <f t="shared" si="6"/>
        <v/>
      </c>
      <c r="L9" s="9" t="str">
        <f t="shared" si="7"/>
        <v/>
      </c>
      <c r="N9" s="41"/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10" t="str">
        <f t="shared" si="2"/>
        <v/>
      </c>
      <c r="U9" s="21"/>
      <c r="V9" s="21"/>
      <c r="W9" s="21"/>
    </row>
    <row r="10" spans="1:23" ht="25" customHeight="1">
      <c r="A10" s="37"/>
      <c r="B10" s="15"/>
      <c r="D10" s="5"/>
      <c r="E10" s="5"/>
      <c r="F10" s="6" t="str">
        <f t="shared" si="0"/>
        <v/>
      </c>
      <c r="G10" s="6" t="str">
        <f t="shared" si="3"/>
        <v/>
      </c>
      <c r="H10" s="50" t="str">
        <f>_xlfn.IFNA(VLOOKUP(C:C,'Active Jobs'!B:K,8,0),"")</f>
        <v/>
      </c>
      <c r="I10" s="8" t="str">
        <f t="shared" si="4"/>
        <v/>
      </c>
      <c r="J10" s="50" t="str">
        <f t="shared" si="5"/>
        <v/>
      </c>
      <c r="K10" s="50" t="str">
        <f t="shared" si="6"/>
        <v/>
      </c>
      <c r="L10" s="9" t="str">
        <f t="shared" si="7"/>
        <v/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/>
      </c>
      <c r="S10" s="23" t="str">
        <f t="shared" si="1"/>
        <v/>
      </c>
      <c r="T10" s="10" t="str">
        <f t="shared" si="2"/>
        <v/>
      </c>
      <c r="U10" s="21"/>
      <c r="V10" s="21"/>
      <c r="W10" s="10"/>
    </row>
    <row r="11" spans="1:23" ht="25" customHeight="1">
      <c r="A11" s="37"/>
      <c r="B11" s="15"/>
      <c r="D11" s="5"/>
      <c r="E11" s="5"/>
      <c r="F11" s="6" t="str">
        <f t="shared" si="0"/>
        <v/>
      </c>
      <c r="G11" s="6" t="str">
        <f t="shared" si="3"/>
        <v/>
      </c>
      <c r="H11" s="50" t="str">
        <f>_xlfn.IFNA(VLOOKUP(C:C,'Active Jobs'!B:K,8,0),"")</f>
        <v/>
      </c>
      <c r="I11" s="8" t="str">
        <f t="shared" si="4"/>
        <v/>
      </c>
      <c r="J11" s="50" t="str">
        <f t="shared" si="5"/>
        <v/>
      </c>
      <c r="K11" s="50" t="str">
        <f t="shared" si="6"/>
        <v/>
      </c>
      <c r="L11" s="9" t="str">
        <f t="shared" si="7"/>
        <v/>
      </c>
      <c r="O11" s="23" t="str">
        <f t="shared" si="1"/>
        <v/>
      </c>
      <c r="P11" s="23" t="str">
        <f t="shared" si="1"/>
        <v/>
      </c>
      <c r="Q11" s="23" t="str">
        <f t="shared" si="1"/>
        <v/>
      </c>
      <c r="R11" s="23" t="str">
        <f t="shared" si="1"/>
        <v/>
      </c>
      <c r="S11" s="23" t="str">
        <f t="shared" si="1"/>
        <v/>
      </c>
      <c r="T11" s="10" t="str">
        <f t="shared" si="2"/>
        <v/>
      </c>
      <c r="U11" s="21"/>
      <c r="V11" s="54"/>
      <c r="W11" s="21"/>
    </row>
    <row r="12" spans="1:23" ht="25" customHeight="1">
      <c r="A12" s="37"/>
      <c r="B12" s="15"/>
      <c r="D12" s="5"/>
      <c r="E12" s="5"/>
      <c r="F12" s="6" t="str">
        <f t="shared" si="0"/>
        <v/>
      </c>
      <c r="G12" s="6" t="str">
        <f t="shared" si="3"/>
        <v/>
      </c>
      <c r="H12" s="50" t="str">
        <f>_xlfn.IFNA(VLOOKUP(C:C,'Active Jobs'!B:K,8,0),"")</f>
        <v/>
      </c>
      <c r="I12" s="8" t="str">
        <f t="shared" si="4"/>
        <v/>
      </c>
      <c r="J12" s="50" t="str">
        <f t="shared" si="5"/>
        <v/>
      </c>
      <c r="K12" s="50" t="str">
        <f t="shared" si="6"/>
        <v/>
      </c>
      <c r="L12" s="9" t="str">
        <f t="shared" si="7"/>
        <v/>
      </c>
      <c r="O12" s="23" t="str">
        <f t="shared" si="1"/>
        <v/>
      </c>
      <c r="P12" s="23" t="str">
        <f t="shared" si="1"/>
        <v/>
      </c>
      <c r="Q12" s="23" t="str">
        <f t="shared" si="1"/>
        <v/>
      </c>
      <c r="R12" s="23" t="str">
        <f t="shared" si="1"/>
        <v/>
      </c>
      <c r="S12" s="23" t="str">
        <f t="shared" si="1"/>
        <v/>
      </c>
      <c r="T12" s="10" t="str">
        <f t="shared" si="2"/>
        <v/>
      </c>
    </row>
    <row r="13" spans="1:23" ht="25" customHeight="1">
      <c r="A13" s="37"/>
      <c r="B13" s="15"/>
      <c r="D13" s="5"/>
      <c r="E13" s="5"/>
      <c r="F13" s="6" t="str">
        <f t="shared" si="0"/>
        <v/>
      </c>
      <c r="G13" s="6" t="str">
        <f t="shared" si="3"/>
        <v/>
      </c>
      <c r="H13" s="50" t="str">
        <f>_xlfn.IFNA(VLOOKUP(C:C,'Active Jobs'!B:K,8,0),"")</f>
        <v/>
      </c>
      <c r="I13" s="8" t="str">
        <f t="shared" si="4"/>
        <v/>
      </c>
      <c r="J13" s="50" t="str">
        <f t="shared" si="5"/>
        <v/>
      </c>
      <c r="K13" s="50" t="str">
        <f t="shared" si="6"/>
        <v/>
      </c>
      <c r="L13" s="9" t="str">
        <f t="shared" si="7"/>
        <v/>
      </c>
      <c r="O13" s="23" t="str">
        <f t="shared" si="1"/>
        <v/>
      </c>
      <c r="P13" s="23" t="str">
        <f t="shared" si="1"/>
        <v/>
      </c>
      <c r="Q13" s="23" t="str">
        <f t="shared" si="1"/>
        <v/>
      </c>
      <c r="R13" s="23" t="str">
        <f t="shared" si="1"/>
        <v/>
      </c>
      <c r="S13" s="23" t="str">
        <f t="shared" si="1"/>
        <v/>
      </c>
      <c r="T13" s="10" t="str">
        <f t="shared" si="2"/>
        <v/>
      </c>
    </row>
    <row r="14" spans="1:23" ht="25" customHeight="1">
      <c r="A14" s="37"/>
      <c r="B14" s="15"/>
      <c r="D14" s="5"/>
      <c r="E14" s="5"/>
      <c r="F14" s="6" t="str">
        <f t="shared" si="0"/>
        <v/>
      </c>
      <c r="G14" s="6" t="str">
        <f t="shared" si="3"/>
        <v/>
      </c>
      <c r="H14" s="50" t="str">
        <f>_xlfn.IFNA(VLOOKUP(C:C,'Active Jobs'!B:K,8,0),"")</f>
        <v/>
      </c>
      <c r="I14" s="8" t="str">
        <f t="shared" si="4"/>
        <v/>
      </c>
      <c r="J14" s="50" t="str">
        <f t="shared" si="5"/>
        <v/>
      </c>
      <c r="K14" s="50" t="str">
        <f t="shared" si="6"/>
        <v/>
      </c>
      <c r="L14" s="9" t="str">
        <f t="shared" si="7"/>
        <v/>
      </c>
      <c r="O14" s="23" t="str">
        <f t="shared" si="1"/>
        <v/>
      </c>
      <c r="P14" s="23" t="str">
        <f t="shared" si="1"/>
        <v/>
      </c>
      <c r="Q14" s="23" t="str">
        <f t="shared" si="1"/>
        <v/>
      </c>
      <c r="R14" s="23" t="str">
        <f t="shared" si="1"/>
        <v/>
      </c>
      <c r="S14" s="23" t="str">
        <f t="shared" si="1"/>
        <v/>
      </c>
      <c r="T14" s="10" t="str">
        <f t="shared" si="2"/>
        <v/>
      </c>
    </row>
    <row r="15" spans="1:23" ht="25" customHeight="1">
      <c r="A15" s="37"/>
      <c r="B15" s="15"/>
      <c r="D15" s="5"/>
      <c r="E15" s="5"/>
      <c r="F15" s="6" t="str">
        <f t="shared" si="0"/>
        <v/>
      </c>
      <c r="G15" s="6" t="str">
        <f t="shared" si="3"/>
        <v/>
      </c>
      <c r="H15" s="50" t="str">
        <f>_xlfn.IFNA(VLOOKUP(C:C,'Active Jobs'!B:K,8,0),"")</f>
        <v/>
      </c>
      <c r="I15" s="8" t="str">
        <f t="shared" si="4"/>
        <v/>
      </c>
      <c r="J15" s="50" t="str">
        <f t="shared" si="5"/>
        <v/>
      </c>
      <c r="K15" s="50" t="str">
        <f t="shared" si="6"/>
        <v/>
      </c>
      <c r="L15" s="9" t="str">
        <f t="shared" si="7"/>
        <v/>
      </c>
    </row>
    <row r="16" spans="1:23" ht="25" customHeight="1">
      <c r="A16" s="37"/>
      <c r="B16" s="15"/>
      <c r="D16" s="5"/>
      <c r="E16" s="5"/>
      <c r="F16" s="6" t="str">
        <f t="shared" si="0"/>
        <v/>
      </c>
      <c r="G16" s="6" t="str">
        <f t="shared" si="3"/>
        <v/>
      </c>
      <c r="H16" s="50" t="str">
        <f>_xlfn.IFNA(VLOOKUP(C:C,'Active Jobs'!B:K,8,0),"")</f>
        <v/>
      </c>
      <c r="I16" s="8" t="str">
        <f t="shared" si="4"/>
        <v/>
      </c>
      <c r="J16" s="50" t="str">
        <f t="shared" si="5"/>
        <v/>
      </c>
      <c r="K16" s="50" t="str">
        <f t="shared" si="6"/>
        <v/>
      </c>
      <c r="L16" s="9" t="str">
        <f t="shared" si="7"/>
        <v/>
      </c>
    </row>
    <row r="17" spans="1:20" ht="25" customHeight="1">
      <c r="A17" s="37"/>
      <c r="B17" s="15"/>
      <c r="D17" s="5"/>
      <c r="E17" s="5"/>
      <c r="F17" s="6" t="str">
        <f t="shared" si="0"/>
        <v/>
      </c>
      <c r="G17" s="6" t="str">
        <f t="shared" si="3"/>
        <v/>
      </c>
      <c r="H17" s="50" t="str">
        <f>_xlfn.IFNA(VLOOKUP(C:C,'Active Jobs'!B:K,8,0),"")</f>
        <v/>
      </c>
      <c r="I17" s="8" t="str">
        <f t="shared" si="4"/>
        <v/>
      </c>
      <c r="J17" s="50" t="str">
        <f t="shared" si="5"/>
        <v/>
      </c>
      <c r="K17" s="50" t="str">
        <f t="shared" si="6"/>
        <v/>
      </c>
      <c r="L17" s="9" t="str">
        <f t="shared" si="7"/>
        <v/>
      </c>
      <c r="O17" s="23" t="str">
        <f>IF(N17="","",ROUND(SUMIFS($I:$I,$A:$A,O$1,$B:$B,"*"&amp;$N17&amp;"*"),2))</f>
        <v/>
      </c>
      <c r="P17" s="23" t="str">
        <f>IF(O17="","",ROUND(SUMIFS($I:$I,$A:$A,P$1,$B:$B,"*"&amp;$N17&amp;"*"),2))</f>
        <v/>
      </c>
      <c r="Q17" s="23" t="str">
        <f>IF(P17="","",ROUND(SUMIFS($I:$I,$A:$A,Q$1,$B:$B,"*"&amp;$N17&amp;"*"),2))</f>
        <v/>
      </c>
      <c r="R17" s="23" t="str">
        <f>IF(Q17="","",ROUND(SUMIFS($I:$I,$A:$A,R$1,$B:$B,"*"&amp;$N17&amp;"*"),2))</f>
        <v/>
      </c>
      <c r="S17" s="23" t="str">
        <f>IF(R17="","",ROUND(SUMIFS($I:$I,$A:$A,S$1,$B:$B,"*"&amp;$N17&amp;"*"),2))</f>
        <v/>
      </c>
      <c r="T17" s="10" t="str">
        <f t="shared" ref="T17" si="8">IF(N17="","",SUM(O17:S17))</f>
        <v/>
      </c>
    </row>
    <row r="18" spans="1:20" ht="25" customHeight="1">
      <c r="A18" s="37"/>
      <c r="B18" s="15"/>
      <c r="D18" s="5"/>
      <c r="E18" s="5"/>
      <c r="F18" s="6" t="str">
        <f t="shared" si="0"/>
        <v/>
      </c>
      <c r="G18" s="6" t="str">
        <f t="shared" si="3"/>
        <v/>
      </c>
      <c r="H18" s="50" t="str">
        <f>_xlfn.IFNA(VLOOKUP(C:C,'Active Jobs'!B:K,8,0),"")</f>
        <v/>
      </c>
      <c r="I18" s="8" t="str">
        <f t="shared" si="4"/>
        <v/>
      </c>
      <c r="J18" s="50" t="str">
        <f t="shared" si="5"/>
        <v/>
      </c>
      <c r="K18" s="50" t="str">
        <f t="shared" si="6"/>
        <v/>
      </c>
      <c r="L18" s="9" t="str">
        <f t="shared" si="7"/>
        <v/>
      </c>
    </row>
    <row r="19" spans="1:20" ht="25" customHeight="1">
      <c r="A19" s="37"/>
      <c r="B19" s="15"/>
      <c r="D19" s="5"/>
      <c r="E19" s="5"/>
      <c r="F19" s="6" t="str">
        <f t="shared" si="0"/>
        <v/>
      </c>
      <c r="G19" s="6" t="str">
        <f t="shared" si="3"/>
        <v/>
      </c>
      <c r="H19" s="50" t="str">
        <f>_xlfn.IFNA(VLOOKUP(C:C,'Active Jobs'!B:K,8,0),"")</f>
        <v/>
      </c>
      <c r="I19" s="8" t="str">
        <f t="shared" si="4"/>
        <v/>
      </c>
      <c r="J19" s="50" t="str">
        <f t="shared" si="5"/>
        <v/>
      </c>
      <c r="K19" s="50" t="str">
        <f t="shared" si="6"/>
        <v/>
      </c>
      <c r="L19" s="9" t="str">
        <f t="shared" si="7"/>
        <v/>
      </c>
    </row>
    <row r="20" spans="1:20" ht="25" customHeight="1">
      <c r="A20" s="37"/>
      <c r="B20" s="15"/>
      <c r="D20" s="5"/>
      <c r="E20" s="5"/>
      <c r="F20" s="6" t="str">
        <f t="shared" si="0"/>
        <v/>
      </c>
      <c r="G20" s="6" t="str">
        <f t="shared" si="3"/>
        <v/>
      </c>
      <c r="H20" s="50" t="str">
        <f>_xlfn.IFNA(VLOOKUP(C:C,'Active Jobs'!B:K,8,0),"")</f>
        <v/>
      </c>
      <c r="I20" s="8" t="str">
        <f t="shared" si="4"/>
        <v/>
      </c>
      <c r="J20" s="50" t="str">
        <f t="shared" si="5"/>
        <v/>
      </c>
      <c r="K20" s="50" t="str">
        <f t="shared" si="6"/>
        <v/>
      </c>
      <c r="L20" s="9" t="str">
        <f t="shared" si="7"/>
        <v/>
      </c>
    </row>
    <row r="21" spans="1:20" ht="25" customHeight="1">
      <c r="A21" s="37"/>
      <c r="B21" s="15"/>
      <c r="D21" s="5"/>
      <c r="E21" s="5"/>
      <c r="F21" s="6" t="str">
        <f t="shared" si="0"/>
        <v/>
      </c>
      <c r="G21" s="6" t="str">
        <f t="shared" si="3"/>
        <v/>
      </c>
      <c r="H21" s="50" t="str">
        <f>_xlfn.IFNA(VLOOKUP(C:C,'Active Jobs'!B:K,8,0),"")</f>
        <v/>
      </c>
      <c r="I21" s="8" t="str">
        <f t="shared" si="4"/>
        <v/>
      </c>
      <c r="J21" s="50" t="str">
        <f t="shared" si="5"/>
        <v/>
      </c>
      <c r="K21" s="50" t="str">
        <f t="shared" si="6"/>
        <v/>
      </c>
      <c r="L21" s="9" t="str">
        <f t="shared" si="7"/>
        <v/>
      </c>
    </row>
    <row r="22" spans="1:20" ht="25" customHeight="1">
      <c r="A22" s="37"/>
      <c r="B22" s="15"/>
      <c r="D22" s="5"/>
      <c r="E22" s="5"/>
      <c r="F22" s="6" t="str">
        <f t="shared" si="0"/>
        <v/>
      </c>
      <c r="G22" s="6" t="str">
        <f t="shared" si="3"/>
        <v/>
      </c>
      <c r="H22" s="50" t="str">
        <f>_xlfn.IFNA(VLOOKUP(C:C,'Active Jobs'!B:K,8,0),"")</f>
        <v/>
      </c>
      <c r="I22" s="8" t="str">
        <f t="shared" si="4"/>
        <v/>
      </c>
      <c r="J22" s="50" t="str">
        <f t="shared" si="5"/>
        <v/>
      </c>
      <c r="K22" s="50" t="str">
        <f t="shared" si="6"/>
        <v/>
      </c>
      <c r="L22" s="9" t="str">
        <f t="shared" si="7"/>
        <v/>
      </c>
      <c r="O22" s="57" t="s">
        <v>364</v>
      </c>
      <c r="P22" s="57" t="s">
        <v>198</v>
      </c>
    </row>
    <row r="23" spans="1:20" ht="25" customHeight="1">
      <c r="A23" s="37"/>
      <c r="B23" s="15"/>
      <c r="D23" s="5"/>
      <c r="E23" s="5"/>
      <c r="F23" s="6" t="str">
        <f t="shared" si="0"/>
        <v/>
      </c>
      <c r="G23" s="6" t="str">
        <f t="shared" si="3"/>
        <v/>
      </c>
      <c r="H23" s="50" t="str">
        <f>_xlfn.IFNA(VLOOKUP(C:C,'Active Jobs'!B:K,8,0),"")</f>
        <v/>
      </c>
      <c r="I23" s="8" t="str">
        <f t="shared" si="4"/>
        <v/>
      </c>
      <c r="J23" s="50" t="str">
        <f t="shared" si="5"/>
        <v/>
      </c>
      <c r="K23" s="50" t="str">
        <f t="shared" si="6"/>
        <v/>
      </c>
      <c r="L23" s="9" t="str">
        <f t="shared" si="7"/>
        <v/>
      </c>
      <c r="O23" s="57" t="s">
        <v>199</v>
      </c>
      <c r="P23" s="58">
        <v>899.94</v>
      </c>
    </row>
    <row r="24" spans="1:20" ht="25" customHeight="1">
      <c r="A24" s="37"/>
      <c r="B24" s="15"/>
      <c r="D24" s="5"/>
      <c r="E24" s="5"/>
      <c r="F24" s="6" t="str">
        <f t="shared" si="0"/>
        <v/>
      </c>
      <c r="G24" s="6" t="str">
        <f t="shared" si="3"/>
        <v/>
      </c>
      <c r="H24" s="50" t="str">
        <f>_xlfn.IFNA(VLOOKUP(C:C,'Active Jobs'!B:K,8,0),"")</f>
        <v/>
      </c>
      <c r="I24" s="8" t="str">
        <f t="shared" si="4"/>
        <v/>
      </c>
      <c r="J24" s="50" t="str">
        <f t="shared" si="5"/>
        <v/>
      </c>
      <c r="K24" s="50" t="str">
        <f t="shared" si="6"/>
        <v/>
      </c>
      <c r="L24" s="9" t="str">
        <f t="shared" si="7"/>
        <v/>
      </c>
      <c r="O24" s="57" t="s">
        <v>200</v>
      </c>
      <c r="P24" s="58">
        <v>876.18</v>
      </c>
    </row>
    <row r="25" spans="1:20" ht="25" customHeight="1">
      <c r="A25" s="37"/>
      <c r="B25" s="15"/>
      <c r="D25" s="5"/>
      <c r="E25" s="5"/>
      <c r="F25" s="6" t="str">
        <f t="shared" si="0"/>
        <v/>
      </c>
      <c r="G25" s="6" t="str">
        <f t="shared" si="3"/>
        <v/>
      </c>
      <c r="H25" s="50" t="str">
        <f>_xlfn.IFNA(VLOOKUP(C:C,'Active Jobs'!B:K,8,0),"")</f>
        <v/>
      </c>
      <c r="I25" s="8" t="str">
        <f t="shared" si="4"/>
        <v/>
      </c>
      <c r="J25" s="50" t="str">
        <f t="shared" si="5"/>
        <v/>
      </c>
      <c r="K25" s="50" t="str">
        <f t="shared" si="6"/>
        <v/>
      </c>
      <c r="L25" s="9" t="str">
        <f t="shared" si="7"/>
        <v/>
      </c>
      <c r="O25" s="59" t="s">
        <v>201</v>
      </c>
      <c r="P25" s="60">
        <f>P23-P24</f>
        <v>23.760000000000105</v>
      </c>
    </row>
    <row r="26" spans="1:20" ht="25" customHeight="1">
      <c r="A26" s="37"/>
      <c r="B26" s="15"/>
      <c r="D26" s="5"/>
      <c r="E26" s="5"/>
      <c r="F26" s="6" t="str">
        <f t="shared" si="0"/>
        <v/>
      </c>
      <c r="G26" s="6" t="str">
        <f t="shared" si="3"/>
        <v/>
      </c>
      <c r="H26" s="50" t="str">
        <f>_xlfn.IFNA(VLOOKUP(C:C,'Active Jobs'!B:K,8,0),"")</f>
        <v/>
      </c>
      <c r="I26" s="8" t="str">
        <f t="shared" si="4"/>
        <v/>
      </c>
      <c r="J26" s="50" t="str">
        <f t="shared" si="5"/>
        <v/>
      </c>
      <c r="K26" s="50" t="str">
        <f t="shared" si="6"/>
        <v/>
      </c>
      <c r="L26" s="9" t="str">
        <f t="shared" si="7"/>
        <v/>
      </c>
    </row>
    <row r="27" spans="1:20" ht="25" customHeight="1">
      <c r="A27" s="37"/>
      <c r="B27" s="15"/>
      <c r="D27" s="5"/>
      <c r="E27" s="5"/>
      <c r="F27" s="6" t="str">
        <f t="shared" si="0"/>
        <v/>
      </c>
      <c r="G27" s="6" t="str">
        <f t="shared" si="3"/>
        <v/>
      </c>
      <c r="H27" s="50" t="str">
        <f>_xlfn.IFNA(VLOOKUP(C:C,'Active Jobs'!B:K,8,0),"")</f>
        <v/>
      </c>
      <c r="I27" s="8" t="str">
        <f t="shared" si="4"/>
        <v/>
      </c>
      <c r="J27" s="51" t="str">
        <f>IF(G27="","",G27*24*HourlyRate*2*(1+Super))</f>
        <v/>
      </c>
      <c r="K27" s="51" t="str">
        <f t="shared" si="6"/>
        <v/>
      </c>
      <c r="L27" s="52" t="str">
        <f t="shared" si="7"/>
        <v/>
      </c>
    </row>
    <row r="28" spans="1:20" ht="25" customHeight="1">
      <c r="A28" s="37"/>
      <c r="B28" s="15"/>
      <c r="D28" s="5"/>
      <c r="E28" s="5"/>
      <c r="F28" s="6" t="str">
        <f t="shared" si="0"/>
        <v/>
      </c>
      <c r="G28" s="6" t="str">
        <f t="shared" si="3"/>
        <v/>
      </c>
      <c r="H28" s="50" t="str">
        <f>_xlfn.IFNA(VLOOKUP(C:C,'Active Jobs'!B:K,8,0),"")</f>
        <v/>
      </c>
      <c r="I28" s="8" t="str">
        <f t="shared" si="4"/>
        <v/>
      </c>
      <c r="J28" s="51" t="str">
        <f>IF(G28="","",G28*24*HourlyRate*2*(1+Super))</f>
        <v/>
      </c>
      <c r="K28" s="51" t="str">
        <f t="shared" si="6"/>
        <v/>
      </c>
      <c r="L28" s="52" t="str">
        <f t="shared" si="7"/>
        <v/>
      </c>
    </row>
    <row r="29" spans="1:20" ht="25" customHeight="1">
      <c r="A29" s="37"/>
      <c r="B29" s="15"/>
      <c r="D29" s="5"/>
      <c r="E29" s="5"/>
      <c r="F29" s="6" t="str">
        <f t="shared" si="0"/>
        <v/>
      </c>
      <c r="G29" s="6" t="str">
        <f t="shared" si="3"/>
        <v/>
      </c>
      <c r="H29" s="50" t="str">
        <f>_xlfn.IFNA(VLOOKUP(C:C,'Active Jobs'!B:K,8,0),"")</f>
        <v/>
      </c>
      <c r="I29" s="8" t="str">
        <f t="shared" si="4"/>
        <v/>
      </c>
      <c r="J29" s="51" t="str">
        <f>IF(G29="","",G29*24*HourlyRate*2*(1+Super))</f>
        <v/>
      </c>
      <c r="K29" s="51" t="str">
        <f t="shared" si="6"/>
        <v/>
      </c>
      <c r="L29" s="52" t="str">
        <f t="shared" si="7"/>
        <v/>
      </c>
    </row>
    <row r="30" spans="1:20" ht="25" customHeight="1">
      <c r="A30" s="37"/>
      <c r="B30" s="15"/>
      <c r="D30" s="5"/>
      <c r="E30" s="5"/>
      <c r="F30" s="6" t="str">
        <f t="shared" si="0"/>
        <v/>
      </c>
      <c r="G30" s="6" t="str">
        <f t="shared" si="3"/>
        <v/>
      </c>
      <c r="H30" s="50" t="str">
        <f>_xlfn.IFNA(VLOOKUP(C:C,'Active Jobs'!B:K,8,0),"")</f>
        <v/>
      </c>
      <c r="I30" s="8" t="str">
        <f t="shared" si="4"/>
        <v/>
      </c>
      <c r="J30" s="51" t="str">
        <f>IF(G30="","",G30*24*HourlyRate*2*(1+Super))</f>
        <v/>
      </c>
      <c r="K30" s="51" t="str">
        <f t="shared" si="6"/>
        <v/>
      </c>
      <c r="L30" s="52" t="str">
        <f t="shared" si="7"/>
        <v/>
      </c>
    </row>
    <row r="31" spans="1:20" ht="25" customHeight="1">
      <c r="A31" s="39"/>
      <c r="B31" s="29"/>
      <c r="C31" s="30"/>
      <c r="D31" s="1"/>
      <c r="E31" s="1"/>
      <c r="F31" s="31"/>
      <c r="G31" s="32"/>
      <c r="H31" s="53">
        <f>SUBTOTAL(109,Table2268[Quoted])</f>
        <v>1500</v>
      </c>
      <c r="I31" s="34">
        <f>SUBTOTAL(109,Table2268[Hours Payable])</f>
        <v>16.116666666666667</v>
      </c>
      <c r="J31" s="53">
        <f>SUBTOTAL(109,Table2268[Wages (Incl. Super)])</f>
        <v>1081.439615</v>
      </c>
      <c r="K31" s="53">
        <f>SUBTOTAL(109,Table2268[Profit])</f>
        <v>556.11681999999996</v>
      </c>
      <c r="L31" s="35">
        <f>SUBTOTAL(101,Table2268[Quote/Wages])</f>
        <v>0.66656651249999999</v>
      </c>
    </row>
  </sheetData>
  <conditionalFormatting sqref="B1:B30 B32:B252">
    <cfRule type="expression" dxfId="22" priority="2">
      <formula>AND(ROW()&gt;1, E1&lt;&gt;"", COUNTIFS(A:A, $A1, B:B, $B1, F:F, "Yes")=0)</formula>
    </cfRule>
  </conditionalFormatting>
  <conditionalFormatting sqref="F1:F30">
    <cfRule type="expression" dxfId="21" priority="1" stopIfTrue="1">
      <formula>AND(ROW()&gt;1, E1&lt;&gt;"", COUNTIFS(A:A, $A1, B:B, $B1, F:F, "Yes")=0)</formula>
    </cfRule>
  </conditionalFormatting>
  <conditionalFormatting sqref="F32:F252">
    <cfRule type="expression" dxfId="20" priority="3" stopIfTrue="1">
      <formula>AND(ROW()&gt;1, E32&lt;&gt;"", COUNTIFS(A:A, $A32, B:B, $B32, F:F, "Yes")=0)</formula>
    </cfRule>
  </conditionalFormatting>
  <dataValidations count="1">
    <dataValidation type="list" allowBlank="1" showErrorMessage="1" promptTitle="Select" sqref="B2:B30" xr:uid="{CF723CE8-517E-754A-B40A-0BB6954777F4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CB304F8-CB8C-984D-B497-CB07F692BFC1}">
          <x14:formula1>
            <xm:f>'Active Jobs'!$B$2:$B$154</xm:f>
          </x14:formula1>
          <xm:sqref>C2:C30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CA1CF-6B40-3B41-8D47-38FDC714A3CA}">
  <sheetPr codeName="Sheet8"/>
  <dimension ref="A1:AD32"/>
  <sheetViews>
    <sheetView zoomScale="125" zoomScaleNormal="125" workbookViewId="0">
      <selection activeCell="V9" sqref="V9"/>
    </sheetView>
  </sheetViews>
  <sheetFormatPr baseColWidth="10" defaultColWidth="10.7109375" defaultRowHeight="25" customHeight="1"/>
  <cols>
    <col min="1" max="1" width="13.42578125" style="38" bestFit="1" customWidth="1"/>
    <col min="2" max="2" width="26.7109375" style="17" bestFit="1" customWidth="1"/>
    <col min="3" max="3" width="15.85546875" style="16" bestFit="1" customWidth="1"/>
    <col min="4" max="5" width="7.140625" style="19" customWidth="1"/>
    <col min="6" max="6" width="11.85546875" style="19" customWidth="1"/>
    <col min="7" max="7" width="16.5703125" style="19" customWidth="1"/>
    <col min="8" max="8" width="9" style="19" customWidth="1"/>
    <col min="9" max="9" width="13.140625" style="19" customWidth="1"/>
    <col min="10" max="10" width="16.85546875" style="19" customWidth="1"/>
    <col min="11" max="11" width="9" style="19" bestFit="1" customWidth="1"/>
    <col min="12" max="12" width="12.42578125" style="19" customWidth="1"/>
    <col min="13" max="13" width="10.7109375" style="16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24" width="10.7109375" style="16"/>
    <col min="25" max="25" width="18.140625" style="16" bestFit="1" customWidth="1"/>
    <col min="26" max="26" width="8.5703125" style="16" bestFit="1" customWidth="1"/>
    <col min="27" max="16384" width="10.7109375" style="16"/>
  </cols>
  <sheetData>
    <row r="1" spans="1:30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S1">TRANSPOSE(_xlfn._xlws.FILTER(_xlfn.UNIQUE(A2:A203), _xlfn.UNIQUE(A2:A203)&lt;&gt;""))</f>
        <v>45642</v>
      </c>
      <c r="P1" s="28">
        <v>45643</v>
      </c>
      <c r="Q1" s="28">
        <v>45644</v>
      </c>
      <c r="R1" s="28">
        <v>45645</v>
      </c>
      <c r="S1" s="28">
        <v>45646</v>
      </c>
      <c r="T1" s="27" t="s">
        <v>14</v>
      </c>
      <c r="U1" s="21"/>
      <c r="V1" s="22" t="s">
        <v>15</v>
      </c>
      <c r="W1" s="20" t="s">
        <v>16</v>
      </c>
      <c r="Y1" s="16" t="s">
        <v>362</v>
      </c>
      <c r="Z1" s="55" t="s">
        <v>73</v>
      </c>
      <c r="AA1" s="55" t="s">
        <v>202</v>
      </c>
      <c r="AB1" s="55" t="s">
        <v>16</v>
      </c>
      <c r="AC1" s="55" t="s">
        <v>203</v>
      </c>
      <c r="AD1" s="55" t="s">
        <v>70</v>
      </c>
    </row>
    <row r="2" spans="1:30" ht="25" customHeight="1">
      <c r="A2" s="37">
        <v>45642</v>
      </c>
      <c r="B2" s="15" t="s">
        <v>361</v>
      </c>
      <c r="C2" s="16" t="s">
        <v>124</v>
      </c>
      <c r="D2" s="5">
        <v>0.3611111111111111</v>
      </c>
      <c r="E2" s="5">
        <v>0.63055555555555554</v>
      </c>
      <c r="F2" s="6" t="s">
        <v>17</v>
      </c>
      <c r="G2" s="6">
        <f>IF(E2="","",IF(F2="Yes",(E2-D2)-TIME(0,30,0),E2-D2))</f>
        <v>0.24861111111111109</v>
      </c>
      <c r="H2" s="50">
        <v>895</v>
      </c>
      <c r="I2" s="8">
        <f>IF(F2="Yes",(E2-D2)*24-0.5,IF(F2="No",(E2-D2)*24,""))</f>
        <v>5.9666666666666668</v>
      </c>
      <c r="J2" s="50">
        <f>IF(G2="","",G2*24*HourlyRate*2*(1+Super))</f>
        <v>400.36750999999992</v>
      </c>
      <c r="K2" s="50">
        <f t="shared" ref="K2:K31" si="0">IF(H2="","",IF(J2=0,0,H2-J2))</f>
        <v>494.63249000000008</v>
      </c>
      <c r="L2" s="9">
        <f>IF(K2="","",IF(H2=0,1,J2/H2))</f>
        <v>0.4473379999999999</v>
      </c>
      <c r="M2" s="19">
        <v>1</v>
      </c>
      <c r="N2" s="41" t="str" cm="1">
        <f t="array" ref="N2:N5">_xlfn.UNIQUE(TRANSPOSE(_xlfn.TEXTSPLIT(_xlfn.TEXTJOIN(" &amp; ", TRUE, B2:B203), " &amp; ")))</f>
        <v>Tia Campbell</v>
      </c>
      <c r="O2" s="23">
        <f t="shared" ref="O2:S6" si="1">IF(N2="","",ROUND(SUMIFS($I:$I,$A:$A,O$1,$B:$B,"*"&amp;$N2&amp;"*"),2))</f>
        <v>5.97</v>
      </c>
      <c r="P2" s="23">
        <f t="shared" si="1"/>
        <v>5.75</v>
      </c>
      <c r="Q2" s="23">
        <f t="shared" si="1"/>
        <v>7.48</v>
      </c>
      <c r="R2" s="23">
        <f t="shared" si="1"/>
        <v>6.25</v>
      </c>
      <c r="S2" s="23">
        <f t="shared" si="1"/>
        <v>7.75</v>
      </c>
      <c r="T2" s="10">
        <f t="shared" ref="T2:T15" si="2">IF(N2="","",SUM(O2:S2))</f>
        <v>33.200000000000003</v>
      </c>
      <c r="U2" s="21"/>
      <c r="V2" s="24">
        <f>T2*HourlyRate</f>
        <v>998.98800000000006</v>
      </c>
      <c r="W2" s="25">
        <f>V2*Super</f>
        <v>114.88362000000001</v>
      </c>
      <c r="Z2" s="56">
        <v>1763.74</v>
      </c>
      <c r="AA2" s="56">
        <f>(Z2-AC2)-AB2</f>
        <v>1419.009</v>
      </c>
      <c r="AB2" s="16">
        <f>(Z2-AC2)*0.115</f>
        <v>184.39100000000002</v>
      </c>
      <c r="AC2" s="16">
        <f>Z2/11</f>
        <v>160.34</v>
      </c>
      <c r="AD2" s="16">
        <f>AA2/30.09</f>
        <v>47.158823529411762</v>
      </c>
    </row>
    <row r="3" spans="1:30" ht="25" customHeight="1">
      <c r="A3" s="37">
        <v>45642</v>
      </c>
      <c r="B3" s="15" t="s">
        <v>365</v>
      </c>
      <c r="C3" s="16" t="s">
        <v>133</v>
      </c>
      <c r="D3" s="5">
        <v>0.3611111111111111</v>
      </c>
      <c r="E3" s="5">
        <v>0.47222222222222221</v>
      </c>
      <c r="F3" s="6" t="str">
        <f t="shared" ref="F3:F30" si="3">IF(E3="","","No")</f>
        <v>No</v>
      </c>
      <c r="G3" s="6">
        <f t="shared" ref="G3:G31" si="4">IF(E3="","",IF(F3="Yes",(E3-D3)-TIME(0,30,0),E3-D3))</f>
        <v>0.1111111111111111</v>
      </c>
      <c r="H3" s="50">
        <f>_xlfn.IFNA(VLOOKUP(C:C,'Active Jobs'!B:K,8,0),"")</f>
        <v>250</v>
      </c>
      <c r="I3" s="8">
        <f t="shared" ref="I3:I31" si="5">IF(F3="Yes",(E3-D3)*24-0.5,IF(F3="No",(E3-D3)*24,""))</f>
        <v>2.6666666666666665</v>
      </c>
      <c r="J3" s="50">
        <f t="shared" ref="J3:J27" si="6">IF(G3="","",G3*24*HourlyRate*2*(1+Super))</f>
        <v>178.93519999999998</v>
      </c>
      <c r="K3" s="50">
        <f t="shared" si="0"/>
        <v>71.06480000000002</v>
      </c>
      <c r="L3" s="9">
        <f t="shared" ref="L3:L31" si="7">IF(K3="","",IF(H3=0,1,J3/H3))</f>
        <v>0.71574079999999995</v>
      </c>
      <c r="M3" s="19">
        <v>2</v>
      </c>
      <c r="N3" s="42" t="str">
        <v>Julie Roccati</v>
      </c>
      <c r="O3" s="23">
        <f t="shared" si="1"/>
        <v>6.97</v>
      </c>
      <c r="P3" s="23">
        <f t="shared" si="1"/>
        <v>6.75</v>
      </c>
      <c r="Q3" s="23">
        <f t="shared" si="1"/>
        <v>6.05</v>
      </c>
      <c r="R3" s="23">
        <f t="shared" si="1"/>
        <v>7.25</v>
      </c>
      <c r="S3" s="23">
        <f t="shared" si="1"/>
        <v>7.25</v>
      </c>
      <c r="T3" s="10">
        <f t="shared" si="2"/>
        <v>34.269999999999996</v>
      </c>
      <c r="U3" s="21"/>
      <c r="V3" s="24">
        <f>T3*HourlyRate</f>
        <v>1031.1842999999999</v>
      </c>
      <c r="W3" s="25">
        <f>V3*Super</f>
        <v>118.58619449999999</v>
      </c>
    </row>
    <row r="4" spans="1:30" ht="25" customHeight="1">
      <c r="A4" s="37">
        <v>45642</v>
      </c>
      <c r="B4" s="15" t="s">
        <v>365</v>
      </c>
      <c r="C4" s="16" t="s">
        <v>204</v>
      </c>
      <c r="D4" s="5">
        <v>0.47222222222222221</v>
      </c>
      <c r="E4" s="5">
        <v>0.57916666666666672</v>
      </c>
      <c r="F4" s="6" t="s">
        <v>17</v>
      </c>
      <c r="G4" s="6">
        <f t="shared" si="4"/>
        <v>8.611111111111118E-2</v>
      </c>
      <c r="H4" s="50">
        <v>250</v>
      </c>
      <c r="I4" s="8">
        <f t="shared" si="5"/>
        <v>2.0666666666666682</v>
      </c>
      <c r="J4" s="50">
        <f t="shared" si="6"/>
        <v>138.67478000000008</v>
      </c>
      <c r="K4" s="50">
        <f t="shared" si="0"/>
        <v>111.32521999999992</v>
      </c>
      <c r="L4" s="9">
        <f t="shared" si="7"/>
        <v>0.55469912000000032</v>
      </c>
      <c r="M4" s="16">
        <v>2</v>
      </c>
      <c r="N4" s="42" t="str">
        <v>Sheyda Watermann</v>
      </c>
      <c r="O4" s="23">
        <f t="shared" si="1"/>
        <v>6.97</v>
      </c>
      <c r="P4" s="23">
        <f t="shared" si="1"/>
        <v>6.75</v>
      </c>
      <c r="Q4" s="23">
        <f t="shared" si="1"/>
        <v>6.05</v>
      </c>
      <c r="R4" s="23">
        <f t="shared" si="1"/>
        <v>7.25</v>
      </c>
      <c r="S4" s="23">
        <f t="shared" si="1"/>
        <v>7.25</v>
      </c>
      <c r="T4" s="10">
        <f t="shared" si="2"/>
        <v>34.269999999999996</v>
      </c>
      <c r="U4" s="21"/>
      <c r="V4" s="24">
        <f>T4*HourlyRate</f>
        <v>1031.1842999999999</v>
      </c>
      <c r="W4" s="25">
        <f>V4*Super</f>
        <v>118.58619449999999</v>
      </c>
    </row>
    <row r="5" spans="1:30" ht="25" customHeight="1">
      <c r="A5" s="37">
        <v>45642</v>
      </c>
      <c r="B5" s="15" t="s">
        <v>365</v>
      </c>
      <c r="C5" s="16" t="s">
        <v>115</v>
      </c>
      <c r="D5" s="5">
        <v>0.57916666666666672</v>
      </c>
      <c r="E5" s="5">
        <v>0.65138888888888891</v>
      </c>
      <c r="F5" s="6" t="str">
        <f t="shared" si="3"/>
        <v>No</v>
      </c>
      <c r="G5" s="6">
        <f t="shared" si="4"/>
        <v>7.2222222222222188E-2</v>
      </c>
      <c r="H5" s="50">
        <v>230</v>
      </c>
      <c r="I5" s="8">
        <f t="shared" si="5"/>
        <v>1.7333333333333325</v>
      </c>
      <c r="J5" s="50">
        <f t="shared" si="6"/>
        <v>116.30787999999995</v>
      </c>
      <c r="K5" s="50">
        <f t="shared" si="0"/>
        <v>113.69212000000005</v>
      </c>
      <c r="L5" s="9">
        <f t="shared" si="7"/>
        <v>0.50568643478260855</v>
      </c>
      <c r="M5" s="16">
        <v>2</v>
      </c>
      <c r="N5" s="42" t="str">
        <v>Headoffice</v>
      </c>
      <c r="O5" s="23">
        <f t="shared" si="1"/>
        <v>-0.5</v>
      </c>
      <c r="P5" s="23">
        <f t="shared" si="1"/>
        <v>0</v>
      </c>
      <c r="Q5" s="23">
        <f t="shared" si="1"/>
        <v>0</v>
      </c>
      <c r="R5" s="23">
        <f t="shared" si="1"/>
        <v>0</v>
      </c>
      <c r="S5" s="23">
        <f t="shared" si="1"/>
        <v>0</v>
      </c>
      <c r="T5" s="10">
        <f t="shared" si="2"/>
        <v>-0.5</v>
      </c>
      <c r="U5" s="21"/>
      <c r="V5" s="24">
        <f>IF(N5="","",T5*HourlyRate)</f>
        <v>-15.045</v>
      </c>
      <c r="W5" s="25">
        <f>IF(N5="","",V5*Super)</f>
        <v>-1.730175</v>
      </c>
    </row>
    <row r="6" spans="1:30" ht="25" customHeight="1">
      <c r="A6" s="37">
        <v>45642</v>
      </c>
      <c r="B6" s="15" t="s">
        <v>365</v>
      </c>
      <c r="C6" s="16" t="s">
        <v>205</v>
      </c>
      <c r="D6" s="5">
        <v>0.65138888888888891</v>
      </c>
      <c r="E6" s="5">
        <v>0.67222222222222228</v>
      </c>
      <c r="F6" s="6" t="str">
        <f t="shared" si="3"/>
        <v>No</v>
      </c>
      <c r="G6" s="6">
        <f t="shared" si="4"/>
        <v>2.083333333333337E-2</v>
      </c>
      <c r="H6" s="50">
        <v>0</v>
      </c>
      <c r="I6" s="8">
        <f t="shared" si="5"/>
        <v>0.50000000000000089</v>
      </c>
      <c r="J6" s="50">
        <f t="shared" si="6"/>
        <v>33.550350000000059</v>
      </c>
      <c r="K6" s="50">
        <f t="shared" si="0"/>
        <v>-33.550350000000059</v>
      </c>
      <c r="L6" s="9">
        <f t="shared" si="7"/>
        <v>1</v>
      </c>
      <c r="M6" s="16">
        <v>2</v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/>
      </c>
      <c r="T6" s="10" t="str">
        <f t="shared" si="2"/>
        <v/>
      </c>
      <c r="U6" s="21"/>
      <c r="V6" s="24"/>
      <c r="W6" s="25"/>
    </row>
    <row r="7" spans="1:30" ht="25" customHeight="1">
      <c r="A7" s="37">
        <v>45642</v>
      </c>
      <c r="B7" s="15" t="s">
        <v>206</v>
      </c>
      <c r="C7" s="16" t="s">
        <v>207</v>
      </c>
      <c r="D7" s="5"/>
      <c r="E7" s="5"/>
      <c r="F7" s="6" t="s">
        <v>17</v>
      </c>
      <c r="G7" s="6" t="str">
        <f>IF(E7="","",IF(F7="Yes",(E7-D7)-TIME(0,30,0),E7-D7))</f>
        <v/>
      </c>
      <c r="H7" s="50">
        <v>895</v>
      </c>
      <c r="I7" s="9">
        <f>IF(F7="Yes",(E7-D7)*24-0.5,IF(F7="No",(E7-D7)*24,""))</f>
        <v>-0.5</v>
      </c>
      <c r="J7" s="50">
        <v>0</v>
      </c>
      <c r="K7" s="50">
        <f t="shared" si="0"/>
        <v>0</v>
      </c>
      <c r="L7" s="9">
        <f>IF(K7="","",IF(H7=0,1,J7/H7))</f>
        <v>0</v>
      </c>
      <c r="M7" s="16" t="s">
        <v>340</v>
      </c>
      <c r="O7" s="23"/>
      <c r="P7" s="23"/>
      <c r="Q7" s="23"/>
      <c r="R7" s="23"/>
      <c r="S7" s="23"/>
      <c r="T7" s="10"/>
      <c r="U7" s="21"/>
      <c r="V7" s="24"/>
      <c r="W7" s="25"/>
    </row>
    <row r="8" spans="1:30" ht="25" customHeight="1">
      <c r="A8" s="38">
        <v>45643</v>
      </c>
      <c r="B8" s="15" t="s">
        <v>361</v>
      </c>
      <c r="C8" s="16" t="s">
        <v>208</v>
      </c>
      <c r="D8" s="5">
        <v>0.36458333333333331</v>
      </c>
      <c r="E8" s="5">
        <v>0.625</v>
      </c>
      <c r="F8" s="6" t="s">
        <v>17</v>
      </c>
      <c r="G8" s="6">
        <f t="shared" si="4"/>
        <v>0.23958333333333334</v>
      </c>
      <c r="H8" s="50">
        <v>850</v>
      </c>
      <c r="I8" s="8">
        <f t="shared" si="5"/>
        <v>5.75</v>
      </c>
      <c r="J8" s="50">
        <f t="shared" si="6"/>
        <v>385.829025</v>
      </c>
      <c r="K8" s="50">
        <f t="shared" si="0"/>
        <v>464.170975</v>
      </c>
      <c r="L8" s="9">
        <f t="shared" si="7"/>
        <v>0.4539165</v>
      </c>
      <c r="M8" s="16">
        <v>1</v>
      </c>
      <c r="N8" s="47"/>
      <c r="O8" s="23"/>
      <c r="P8" s="23"/>
      <c r="Q8" s="23"/>
      <c r="R8" s="23"/>
      <c r="S8" s="23"/>
      <c r="T8" s="48"/>
      <c r="U8" s="21"/>
      <c r="V8" s="24">
        <f>SUM(V2:V5)</f>
        <v>3046.3116</v>
      </c>
      <c r="W8" s="24">
        <f>SUM(W2:W5)</f>
        <v>350.32583399999999</v>
      </c>
    </row>
    <row r="9" spans="1:30" ht="25" customHeight="1">
      <c r="A9" s="38">
        <v>45643</v>
      </c>
      <c r="B9" s="15" t="s">
        <v>365</v>
      </c>
      <c r="C9" s="49" t="s">
        <v>136</v>
      </c>
      <c r="D9" s="5">
        <v>0.36458333333333331</v>
      </c>
      <c r="E9" s="5">
        <v>0.44791666666666669</v>
      </c>
      <c r="F9" s="6" t="str">
        <f t="shared" si="3"/>
        <v>No</v>
      </c>
      <c r="G9" s="6">
        <f t="shared" si="4"/>
        <v>8.333333333333337E-2</v>
      </c>
      <c r="H9" s="50">
        <f>_xlfn.IFNA(VLOOKUP(C:C,'Active Jobs'!B:K,8,0),"")</f>
        <v>220</v>
      </c>
      <c r="I9" s="8">
        <f t="shared" si="5"/>
        <v>2.0000000000000009</v>
      </c>
      <c r="J9" s="50">
        <f t="shared" si="6"/>
        <v>134.20140000000006</v>
      </c>
      <c r="K9" s="50">
        <f t="shared" si="0"/>
        <v>85.798599999999936</v>
      </c>
      <c r="L9" s="9">
        <f t="shared" si="7"/>
        <v>0.61000636363636396</v>
      </c>
      <c r="M9" s="16">
        <v>2</v>
      </c>
      <c r="N9" s="41"/>
      <c r="O9" s="23" t="str">
        <f>IF(N9="","",ROUND(SUMIFS($I:$I,$A:$A,O$1,$B:$B,"*"&amp;$N9&amp;"*"),2))</f>
        <v/>
      </c>
      <c r="P9" s="23" t="str">
        <f>IF(O9="","",ROUND(SUMIFS($I:$I,$A:$A,P$1,$B:$B,"*"&amp;$N9&amp;"*"),2))</f>
        <v/>
      </c>
      <c r="Q9" s="23" t="str">
        <f>IF(P9="","",ROUND(SUMIFS($I:$I,$A:$A,Q$1,$B:$B,"*"&amp;$N9&amp;"*"),2))</f>
        <v/>
      </c>
      <c r="R9" s="23" t="str">
        <f>IF(Q9="","",ROUND(SUMIFS($I:$I,$A:$A,R$1,$B:$B,"*"&amp;$N9&amp;"*"),2))</f>
        <v/>
      </c>
      <c r="S9" s="23" t="str">
        <f>IF(R9="","",ROUND(SUMIFS($I:$I,$A:$A,S$1,$B:$B,"*"&amp;$N9&amp;"*"),2))</f>
        <v/>
      </c>
      <c r="T9" s="10" t="str">
        <f t="shared" si="2"/>
        <v/>
      </c>
      <c r="U9" s="21"/>
      <c r="V9" s="21"/>
      <c r="W9" s="21"/>
    </row>
    <row r="10" spans="1:30" ht="25" customHeight="1">
      <c r="A10" s="38">
        <v>45643</v>
      </c>
      <c r="B10" s="15" t="s">
        <v>365</v>
      </c>
      <c r="C10" s="16" t="s">
        <v>142</v>
      </c>
      <c r="D10" s="5">
        <v>0.44791666666666669</v>
      </c>
      <c r="E10" s="5">
        <v>0.53125</v>
      </c>
      <c r="F10" s="6" t="s">
        <v>17</v>
      </c>
      <c r="G10" s="6">
        <f t="shared" si="4"/>
        <v>6.2499999999999986E-2</v>
      </c>
      <c r="H10" s="50">
        <f>_xlfn.IFNA(VLOOKUP(C:C,'Active Jobs'!B:K,8,0),"")</f>
        <v>220</v>
      </c>
      <c r="I10" s="8">
        <f t="shared" si="5"/>
        <v>1.4999999999999996</v>
      </c>
      <c r="J10" s="50">
        <f t="shared" si="6"/>
        <v>100.65104999999997</v>
      </c>
      <c r="K10" s="50">
        <f t="shared" si="0"/>
        <v>119.34895000000003</v>
      </c>
      <c r="L10" s="9">
        <f t="shared" si="7"/>
        <v>0.45750477272727258</v>
      </c>
      <c r="M10" s="16">
        <v>2</v>
      </c>
      <c r="N10" s="47" t="s">
        <v>209</v>
      </c>
      <c r="O10" s="23">
        <v>6.67</v>
      </c>
      <c r="P10" s="23">
        <v>6.58</v>
      </c>
      <c r="Q10" s="23">
        <v>8.25</v>
      </c>
      <c r="R10" s="23">
        <v>7.08</v>
      </c>
      <c r="S10" s="23">
        <v>9.33</v>
      </c>
      <c r="T10" s="48">
        <f t="shared" ref="T10" si="8">IF(N10="","",SUM(O10:S10))</f>
        <v>37.909999999999997</v>
      </c>
      <c r="U10" s="21"/>
      <c r="V10" s="24">
        <f>T10*HourlyRate</f>
        <v>1140.7118999999998</v>
      </c>
      <c r="W10" s="25">
        <f>V10*Super</f>
        <v>131.18186849999998</v>
      </c>
    </row>
    <row r="11" spans="1:30" ht="25" customHeight="1">
      <c r="A11" s="38">
        <v>45643</v>
      </c>
      <c r="B11" s="15" t="s">
        <v>365</v>
      </c>
      <c r="C11" s="16" t="s">
        <v>160</v>
      </c>
      <c r="D11" s="5">
        <v>0.53125</v>
      </c>
      <c r="E11" s="5">
        <v>0.66666666666666663</v>
      </c>
      <c r="F11" s="6" t="str">
        <f t="shared" si="3"/>
        <v>No</v>
      </c>
      <c r="G11" s="6">
        <f t="shared" si="4"/>
        <v>0.13541666666666663</v>
      </c>
      <c r="H11" s="50">
        <v>0</v>
      </c>
      <c r="I11" s="8">
        <f t="shared" si="5"/>
        <v>3.2499999999999991</v>
      </c>
      <c r="J11" s="50">
        <f t="shared" si="6"/>
        <v>218.07727499999996</v>
      </c>
      <c r="K11" s="50">
        <f t="shared" si="0"/>
        <v>-218.07727499999996</v>
      </c>
      <c r="L11" s="9">
        <f t="shared" si="7"/>
        <v>1</v>
      </c>
      <c r="M11" s="16">
        <v>2</v>
      </c>
      <c r="O11" s="23" t="str">
        <f t="shared" ref="O11:S15" si="9">IF(N11="","",ROUND(SUMIFS($I:$I,$A:$A,O$1,$B:$B,"*"&amp;$N11&amp;"*"),2))</f>
        <v/>
      </c>
      <c r="P11" s="23" t="str">
        <f t="shared" si="9"/>
        <v/>
      </c>
      <c r="Q11" s="23" t="str">
        <f t="shared" si="9"/>
        <v/>
      </c>
      <c r="R11" s="23" t="str">
        <f t="shared" si="9"/>
        <v/>
      </c>
      <c r="S11" s="23" t="str">
        <f t="shared" si="9"/>
        <v/>
      </c>
      <c r="T11" s="10" t="str">
        <f t="shared" si="2"/>
        <v/>
      </c>
      <c r="U11" s="21"/>
      <c r="V11" s="21"/>
      <c r="W11" s="10"/>
    </row>
    <row r="12" spans="1:30" ht="25" customHeight="1">
      <c r="A12" s="38">
        <v>45644</v>
      </c>
      <c r="B12" s="15" t="s">
        <v>361</v>
      </c>
      <c r="C12" s="16" t="s">
        <v>210</v>
      </c>
      <c r="D12" s="5">
        <v>0.36458333333333331</v>
      </c>
      <c r="E12" s="5">
        <v>0.46944444444444444</v>
      </c>
      <c r="F12" s="6" t="str">
        <f t="shared" si="3"/>
        <v>No</v>
      </c>
      <c r="G12" s="6">
        <f t="shared" si="4"/>
        <v>0.10486111111111113</v>
      </c>
      <c r="H12" s="50">
        <v>215</v>
      </c>
      <c r="I12" s="8">
        <f t="shared" si="5"/>
        <v>2.5166666666666671</v>
      </c>
      <c r="J12" s="50">
        <f t="shared" si="6"/>
        <v>168.87009500000002</v>
      </c>
      <c r="K12" s="50">
        <f t="shared" si="0"/>
        <v>46.12990499999998</v>
      </c>
      <c r="L12" s="9">
        <f t="shared" si="7"/>
        <v>0.78544230232558154</v>
      </c>
      <c r="M12" s="16">
        <v>1</v>
      </c>
      <c r="O12" s="23" t="str">
        <f t="shared" si="9"/>
        <v/>
      </c>
      <c r="P12" s="23" t="str">
        <f t="shared" si="9"/>
        <v/>
      </c>
      <c r="Q12" s="23" t="str">
        <f t="shared" si="9"/>
        <v/>
      </c>
      <c r="R12" s="23" t="str">
        <f t="shared" si="9"/>
        <v/>
      </c>
      <c r="S12" s="23" t="str">
        <f t="shared" si="9"/>
        <v/>
      </c>
      <c r="T12" s="10" t="str">
        <f t="shared" si="2"/>
        <v/>
      </c>
      <c r="U12" s="21"/>
      <c r="V12" s="54"/>
      <c r="W12" s="21"/>
    </row>
    <row r="13" spans="1:30" ht="25" customHeight="1">
      <c r="A13" s="38">
        <v>45644</v>
      </c>
      <c r="B13" s="15" t="s">
        <v>361</v>
      </c>
      <c r="C13" s="16" t="s">
        <v>211</v>
      </c>
      <c r="D13" s="5">
        <v>0.46944444444444444</v>
      </c>
      <c r="E13" s="5">
        <v>0.58611111111111114</v>
      </c>
      <c r="F13" s="6" t="s">
        <v>17</v>
      </c>
      <c r="G13" s="6">
        <f t="shared" si="4"/>
        <v>9.5833333333333368E-2</v>
      </c>
      <c r="H13" s="50">
        <v>320</v>
      </c>
      <c r="I13" s="8">
        <f t="shared" si="5"/>
        <v>2.3000000000000007</v>
      </c>
      <c r="J13" s="50">
        <f t="shared" si="6"/>
        <v>154.33161000000004</v>
      </c>
      <c r="K13" s="50">
        <f t="shared" si="0"/>
        <v>165.66838999999996</v>
      </c>
      <c r="L13" s="9">
        <f t="shared" si="7"/>
        <v>0.48228628125000012</v>
      </c>
      <c r="M13" s="16">
        <v>1</v>
      </c>
      <c r="O13" s="23" t="str">
        <f t="shared" si="9"/>
        <v/>
      </c>
      <c r="P13" s="23" t="str">
        <f t="shared" si="9"/>
        <v/>
      </c>
      <c r="Q13" s="23" t="str">
        <f t="shared" si="9"/>
        <v/>
      </c>
      <c r="R13" s="23" t="str">
        <f t="shared" si="9"/>
        <v/>
      </c>
      <c r="S13" s="23" t="str">
        <f t="shared" si="9"/>
        <v/>
      </c>
      <c r="T13" s="10" t="str">
        <f t="shared" si="2"/>
        <v/>
      </c>
    </row>
    <row r="14" spans="1:30" ht="25" customHeight="1">
      <c r="A14" s="38">
        <v>45644</v>
      </c>
      <c r="B14" s="15" t="s">
        <v>361</v>
      </c>
      <c r="C14" s="16" t="s">
        <v>25</v>
      </c>
      <c r="D14" s="5">
        <v>0.58611111111111114</v>
      </c>
      <c r="E14" s="5">
        <v>0.69722222222222219</v>
      </c>
      <c r="F14" s="6" t="str">
        <f t="shared" si="3"/>
        <v>No</v>
      </c>
      <c r="G14" s="6">
        <f t="shared" si="4"/>
        <v>0.11111111111111105</v>
      </c>
      <c r="H14" s="50">
        <v>220</v>
      </c>
      <c r="I14" s="8">
        <f t="shared" si="5"/>
        <v>2.6666666666666652</v>
      </c>
      <c r="J14" s="50">
        <f t="shared" si="6"/>
        <v>178.9351999999999</v>
      </c>
      <c r="K14" s="50">
        <f t="shared" si="0"/>
        <v>41.064800000000105</v>
      </c>
      <c r="L14" s="9">
        <f t="shared" si="7"/>
        <v>0.81334181818181772</v>
      </c>
      <c r="M14" s="16">
        <v>1</v>
      </c>
      <c r="O14" s="23" t="str">
        <f t="shared" si="9"/>
        <v/>
      </c>
      <c r="P14" s="23" t="str">
        <f t="shared" si="9"/>
        <v/>
      </c>
      <c r="Q14" s="23" t="str">
        <f t="shared" si="9"/>
        <v/>
      </c>
      <c r="R14" s="23" t="str">
        <f t="shared" si="9"/>
        <v/>
      </c>
      <c r="S14" s="23" t="str">
        <f t="shared" si="9"/>
        <v/>
      </c>
      <c r="T14" s="10" t="str">
        <f t="shared" si="2"/>
        <v/>
      </c>
    </row>
    <row r="15" spans="1:30" ht="25" customHeight="1">
      <c r="A15" s="38">
        <v>45644</v>
      </c>
      <c r="B15" s="15" t="s">
        <v>365</v>
      </c>
      <c r="C15" s="16" t="s">
        <v>147</v>
      </c>
      <c r="D15" s="5">
        <v>0.36458333333333331</v>
      </c>
      <c r="E15" s="5">
        <v>0.4548611111111111</v>
      </c>
      <c r="F15" s="6" t="str">
        <f t="shared" si="3"/>
        <v>No</v>
      </c>
      <c r="G15" s="6">
        <f t="shared" si="4"/>
        <v>9.027777777777779E-2</v>
      </c>
      <c r="H15" s="50">
        <f>_xlfn.IFNA(VLOOKUP(C:C,'Active Jobs'!B:K,8,0),"")</f>
        <v>200</v>
      </c>
      <c r="I15" s="8">
        <f t="shared" si="5"/>
        <v>2.166666666666667</v>
      </c>
      <c r="J15" s="50">
        <f t="shared" si="6"/>
        <v>145.38485000000003</v>
      </c>
      <c r="K15" s="50">
        <f t="shared" si="0"/>
        <v>54.615149999999971</v>
      </c>
      <c r="L15" s="9">
        <f t="shared" si="7"/>
        <v>0.72692425000000016</v>
      </c>
      <c r="M15" s="16">
        <v>2</v>
      </c>
      <c r="O15" s="23" t="str">
        <f t="shared" si="9"/>
        <v/>
      </c>
      <c r="P15" s="23" t="str">
        <f t="shared" si="9"/>
        <v/>
      </c>
      <c r="Q15" s="23" t="str">
        <f t="shared" si="9"/>
        <v/>
      </c>
      <c r="R15" s="23" t="str">
        <f t="shared" si="9"/>
        <v/>
      </c>
      <c r="S15" s="23" t="str">
        <f t="shared" si="9"/>
        <v/>
      </c>
      <c r="T15" s="10" t="str">
        <f t="shared" si="2"/>
        <v/>
      </c>
    </row>
    <row r="16" spans="1:30" ht="25" customHeight="1">
      <c r="A16" s="38">
        <v>45644</v>
      </c>
      <c r="B16" s="15" t="s">
        <v>365</v>
      </c>
      <c r="C16" s="16" t="s">
        <v>44</v>
      </c>
      <c r="D16" s="5">
        <v>0.4548611111111111</v>
      </c>
      <c r="E16" s="5">
        <v>0.56180555555555556</v>
      </c>
      <c r="F16" s="6" t="s">
        <v>17</v>
      </c>
      <c r="G16" s="6">
        <f t="shared" si="4"/>
        <v>8.6111111111111124E-2</v>
      </c>
      <c r="H16" s="50">
        <f>_xlfn.IFNA(VLOOKUP(C:C,'Active Jobs'!B:K,8,0),"")</f>
        <v>200</v>
      </c>
      <c r="I16" s="8">
        <f t="shared" si="5"/>
        <v>2.0666666666666669</v>
      </c>
      <c r="J16" s="50">
        <f t="shared" si="6"/>
        <v>138.67478000000003</v>
      </c>
      <c r="K16" s="50">
        <f t="shared" si="0"/>
        <v>61.325219999999973</v>
      </c>
      <c r="L16" s="9">
        <f t="shared" si="7"/>
        <v>0.6933739000000001</v>
      </c>
      <c r="M16" s="16">
        <v>2</v>
      </c>
    </row>
    <row r="17" spans="1:20" ht="25" customHeight="1">
      <c r="A17" s="38">
        <v>45644</v>
      </c>
      <c r="B17" s="15" t="s">
        <v>365</v>
      </c>
      <c r="C17" s="16" t="s">
        <v>104</v>
      </c>
      <c r="D17" s="5">
        <v>0.56180555555555556</v>
      </c>
      <c r="E17" s="5">
        <v>0.63749999999999996</v>
      </c>
      <c r="F17" s="6" t="str">
        <f t="shared" si="3"/>
        <v>No</v>
      </c>
      <c r="G17" s="6">
        <f t="shared" si="4"/>
        <v>7.5694444444444398E-2</v>
      </c>
      <c r="H17" s="50">
        <v>215</v>
      </c>
      <c r="I17" s="8">
        <f t="shared" si="5"/>
        <v>1.8166666666666655</v>
      </c>
      <c r="J17" s="50">
        <f t="shared" si="6"/>
        <v>121.89960499999992</v>
      </c>
      <c r="K17" s="50">
        <f t="shared" si="0"/>
        <v>93.100395000000077</v>
      </c>
      <c r="L17" s="9">
        <f t="shared" si="7"/>
        <v>0.5669749069767438</v>
      </c>
      <c r="M17" s="16">
        <v>2</v>
      </c>
    </row>
    <row r="18" spans="1:20" ht="25" customHeight="1">
      <c r="A18" s="38">
        <v>45645</v>
      </c>
      <c r="B18" s="15" t="s">
        <v>361</v>
      </c>
      <c r="C18" s="16" t="s">
        <v>148</v>
      </c>
      <c r="D18" s="5">
        <v>0.36458333333333331</v>
      </c>
      <c r="E18" s="5">
        <v>0.45833333333333331</v>
      </c>
      <c r="F18" s="6" t="str">
        <f t="shared" si="3"/>
        <v>No</v>
      </c>
      <c r="G18" s="6">
        <f t="shared" si="4"/>
        <v>9.375E-2</v>
      </c>
      <c r="H18" s="50">
        <v>200</v>
      </c>
      <c r="I18" s="8">
        <f t="shared" si="5"/>
        <v>2.25</v>
      </c>
      <c r="J18" s="50">
        <f t="shared" si="6"/>
        <v>150.976575</v>
      </c>
      <c r="K18" s="50">
        <f t="shared" si="0"/>
        <v>49.023425000000003</v>
      </c>
      <c r="L18" s="9">
        <f t="shared" si="7"/>
        <v>0.75488287499999995</v>
      </c>
      <c r="M18" s="16">
        <v>1</v>
      </c>
      <c r="O18" s="23" t="str">
        <f>IF(N18="","",ROUND(SUMIFS($I:$I,$A:$A,O$1,$B:$B,"*"&amp;$N18&amp;"*"),2))</f>
        <v/>
      </c>
      <c r="P18" s="23" t="str">
        <f>IF(O18="","",ROUND(SUMIFS($I:$I,$A:$A,P$1,$B:$B,"*"&amp;$N18&amp;"*"),2))</f>
        <v/>
      </c>
      <c r="Q18" s="23" t="str">
        <f>IF(P18="","",ROUND(SUMIFS($I:$I,$A:$A,Q$1,$B:$B,"*"&amp;$N18&amp;"*"),2))</f>
        <v/>
      </c>
      <c r="R18" s="23" t="str">
        <f>IF(Q18="","",ROUND(SUMIFS($I:$I,$A:$A,R$1,$B:$B,"*"&amp;$N18&amp;"*"),2))</f>
        <v/>
      </c>
      <c r="S18" s="23" t="str">
        <f>IF(R18="","",ROUND(SUMIFS($I:$I,$A:$A,S$1,$B:$B,"*"&amp;$N18&amp;"*"),2))</f>
        <v/>
      </c>
      <c r="T18" s="10" t="str">
        <f t="shared" ref="T18" si="10">IF(N18="","",SUM(O18:S18))</f>
        <v/>
      </c>
    </row>
    <row r="19" spans="1:20" ht="25" customHeight="1">
      <c r="A19" s="38">
        <v>45645</v>
      </c>
      <c r="B19" s="15" t="s">
        <v>361</v>
      </c>
      <c r="C19" s="16" t="s">
        <v>146</v>
      </c>
      <c r="D19" s="5">
        <v>0.45833333333333331</v>
      </c>
      <c r="E19" s="5">
        <v>0.57708333333333328</v>
      </c>
      <c r="F19" s="6" t="s">
        <v>17</v>
      </c>
      <c r="G19" s="6">
        <f t="shared" si="4"/>
        <v>9.7916666666666638E-2</v>
      </c>
      <c r="H19" s="50">
        <f>_xlfn.IFNA(VLOOKUP(C:C,'Active Jobs'!B:K,8,0),"")</f>
        <v>250</v>
      </c>
      <c r="I19" s="8">
        <f t="shared" si="5"/>
        <v>2.3499999999999992</v>
      </c>
      <c r="J19" s="50">
        <f t="shared" si="6"/>
        <v>157.68664499999994</v>
      </c>
      <c r="K19" s="50">
        <f t="shared" si="0"/>
        <v>92.313355000000058</v>
      </c>
      <c r="L19" s="9">
        <f t="shared" si="7"/>
        <v>0.63074657999999972</v>
      </c>
      <c r="M19" s="16">
        <v>1</v>
      </c>
    </row>
    <row r="20" spans="1:20" ht="25" customHeight="1">
      <c r="A20" s="38">
        <v>45645</v>
      </c>
      <c r="B20" s="15" t="s">
        <v>361</v>
      </c>
      <c r="C20" s="16" t="s">
        <v>51</v>
      </c>
      <c r="D20" s="5">
        <v>0.57708333333333328</v>
      </c>
      <c r="E20" s="5">
        <v>0.64583333333333337</v>
      </c>
      <c r="F20" s="6" t="str">
        <f t="shared" si="3"/>
        <v>No</v>
      </c>
      <c r="G20" s="6">
        <f t="shared" si="4"/>
        <v>6.8750000000000089E-2</v>
      </c>
      <c r="H20" s="50">
        <f>_xlfn.IFNA(VLOOKUP(C:C,'Active Jobs'!B:K,8,0),"")</f>
        <v>250</v>
      </c>
      <c r="I20" s="8">
        <f t="shared" si="5"/>
        <v>1.6500000000000021</v>
      </c>
      <c r="J20" s="50">
        <f t="shared" si="6"/>
        <v>110.71615500000014</v>
      </c>
      <c r="K20" s="50">
        <f t="shared" si="0"/>
        <v>139.28384499999987</v>
      </c>
      <c r="L20" s="9">
        <f t="shared" si="7"/>
        <v>0.4428646200000006</v>
      </c>
      <c r="M20" s="16">
        <v>1</v>
      </c>
    </row>
    <row r="21" spans="1:20" ht="25" customHeight="1">
      <c r="A21" s="38">
        <v>45645</v>
      </c>
      <c r="B21" s="15" t="s">
        <v>365</v>
      </c>
      <c r="C21" s="16" t="s">
        <v>151</v>
      </c>
      <c r="D21" s="5">
        <v>0.36458333333333331</v>
      </c>
      <c r="E21" s="5">
        <v>0.48333333333333334</v>
      </c>
      <c r="F21" s="6" t="str">
        <f t="shared" si="3"/>
        <v>No</v>
      </c>
      <c r="G21" s="6">
        <f t="shared" si="4"/>
        <v>0.11875000000000002</v>
      </c>
      <c r="H21" s="50">
        <f>_xlfn.IFNA(VLOOKUP(C:C,'Active Jobs'!B:K,8,0),"")</f>
        <v>250</v>
      </c>
      <c r="I21" s="8">
        <f t="shared" si="5"/>
        <v>2.8500000000000005</v>
      </c>
      <c r="J21" s="50">
        <f t="shared" si="6"/>
        <v>191.23699500000004</v>
      </c>
      <c r="K21" s="50">
        <f t="shared" si="0"/>
        <v>58.763004999999964</v>
      </c>
      <c r="L21" s="9">
        <f t="shared" si="7"/>
        <v>0.76494798000000019</v>
      </c>
      <c r="M21" s="16">
        <v>2</v>
      </c>
    </row>
    <row r="22" spans="1:20" ht="25" customHeight="1">
      <c r="A22" s="38">
        <v>45645</v>
      </c>
      <c r="B22" s="15" t="s">
        <v>365</v>
      </c>
      <c r="C22" s="16" t="s">
        <v>152</v>
      </c>
      <c r="D22" s="5">
        <v>0.48333333333333334</v>
      </c>
      <c r="E22" s="5">
        <v>0.60069444444444442</v>
      </c>
      <c r="F22" s="6" t="s">
        <v>17</v>
      </c>
      <c r="G22" s="6">
        <f t="shared" si="4"/>
        <v>9.6527777777777754E-2</v>
      </c>
      <c r="H22" s="50">
        <f>_xlfn.IFNA(VLOOKUP(C:C,'Active Jobs'!B:K,8,0),"")</f>
        <v>220</v>
      </c>
      <c r="I22" s="8">
        <f t="shared" si="5"/>
        <v>2.316666666666666</v>
      </c>
      <c r="J22" s="50">
        <f t="shared" si="6"/>
        <v>155.44995499999993</v>
      </c>
      <c r="K22" s="50">
        <f t="shared" si="0"/>
        <v>64.550045000000068</v>
      </c>
      <c r="L22" s="9">
        <f t="shared" si="7"/>
        <v>0.70659070454545425</v>
      </c>
      <c r="M22" s="16">
        <v>2</v>
      </c>
    </row>
    <row r="23" spans="1:20" ht="25" customHeight="1">
      <c r="A23" s="38">
        <v>45645</v>
      </c>
      <c r="B23" s="15" t="s">
        <v>365</v>
      </c>
      <c r="C23" s="16" t="s">
        <v>55</v>
      </c>
      <c r="D23" s="5">
        <v>0.60069444444444442</v>
      </c>
      <c r="E23" s="5">
        <v>0.6875</v>
      </c>
      <c r="F23" s="6" t="str">
        <f t="shared" si="3"/>
        <v>No</v>
      </c>
      <c r="G23" s="6">
        <f t="shared" si="4"/>
        <v>8.680555555555558E-2</v>
      </c>
      <c r="H23" s="50">
        <f>_xlfn.IFNA(VLOOKUP(C:C,'Active Jobs'!B:K,8,0),"")</f>
        <v>220</v>
      </c>
      <c r="I23" s="8">
        <f t="shared" si="5"/>
        <v>2.0833333333333339</v>
      </c>
      <c r="J23" s="50">
        <f t="shared" si="6"/>
        <v>139.79312500000003</v>
      </c>
      <c r="K23" s="50">
        <f t="shared" si="0"/>
        <v>80.206874999999968</v>
      </c>
      <c r="L23" s="9">
        <f t="shared" si="7"/>
        <v>0.63542329545454557</v>
      </c>
      <c r="M23" s="16">
        <v>2</v>
      </c>
    </row>
    <row r="24" spans="1:20" ht="25" customHeight="1">
      <c r="A24" s="38">
        <v>45646</v>
      </c>
      <c r="B24" s="15" t="s">
        <v>361</v>
      </c>
      <c r="C24" s="16" t="s">
        <v>52</v>
      </c>
      <c r="D24" s="5">
        <v>0.36458333333333331</v>
      </c>
      <c r="E24" s="5">
        <v>0.47013888888888888</v>
      </c>
      <c r="F24" s="6" t="str">
        <f t="shared" si="3"/>
        <v>No</v>
      </c>
      <c r="G24" s="6">
        <f t="shared" si="4"/>
        <v>0.10555555555555557</v>
      </c>
      <c r="H24" s="50">
        <f>_xlfn.IFNA(VLOOKUP(C:C,'Active Jobs'!B:K,8,0),"")</f>
        <v>220</v>
      </c>
      <c r="I24" s="8">
        <f t="shared" si="5"/>
        <v>2.5333333333333337</v>
      </c>
      <c r="J24" s="50">
        <f t="shared" si="6"/>
        <v>169.98844000000003</v>
      </c>
      <c r="K24" s="50">
        <f t="shared" si="0"/>
        <v>50.011559999999974</v>
      </c>
      <c r="L24" s="9">
        <f t="shared" si="7"/>
        <v>0.77267472727272735</v>
      </c>
      <c r="M24" s="16">
        <v>1</v>
      </c>
    </row>
    <row r="25" spans="1:20" ht="25" customHeight="1">
      <c r="A25" s="38">
        <v>45646</v>
      </c>
      <c r="B25" s="15" t="s">
        <v>361</v>
      </c>
      <c r="C25" s="16" t="s">
        <v>212</v>
      </c>
      <c r="D25" s="5">
        <v>0.47013888888888888</v>
      </c>
      <c r="E25" s="46">
        <v>0.57152777777777775</v>
      </c>
      <c r="F25" s="6" t="s">
        <v>17</v>
      </c>
      <c r="G25" s="6">
        <f t="shared" si="4"/>
        <v>8.0555555555555533E-2</v>
      </c>
      <c r="H25" s="50" t="str">
        <f>_xlfn.IFNA(VLOOKUP(C:C,'Active Jobs'!B:K,8,0),"")</f>
        <v/>
      </c>
      <c r="I25" s="8">
        <f t="shared" si="5"/>
        <v>1.9333333333333327</v>
      </c>
      <c r="J25" s="50">
        <f t="shared" si="6"/>
        <v>129.72801999999996</v>
      </c>
      <c r="K25" s="50" t="str">
        <f t="shared" si="0"/>
        <v/>
      </c>
      <c r="L25" s="9" t="str">
        <f t="shared" si="7"/>
        <v/>
      </c>
      <c r="M25" s="16">
        <v>1</v>
      </c>
    </row>
    <row r="26" spans="1:20" ht="25" customHeight="1">
      <c r="A26" s="38">
        <v>45646</v>
      </c>
      <c r="B26" s="15" t="s">
        <v>361</v>
      </c>
      <c r="C26" s="16" t="s">
        <v>155</v>
      </c>
      <c r="D26" s="46">
        <v>0.57152777777777775</v>
      </c>
      <c r="E26" s="46">
        <v>0.65972222222222221</v>
      </c>
      <c r="F26" s="6" t="str">
        <f t="shared" si="3"/>
        <v>No</v>
      </c>
      <c r="G26" s="6">
        <f t="shared" si="4"/>
        <v>8.8194444444444464E-2</v>
      </c>
      <c r="H26" s="50">
        <f>_xlfn.IFNA(VLOOKUP(C:C,'Active Jobs'!B:K,8,0),"")</f>
        <v>220</v>
      </c>
      <c r="I26" s="8">
        <f t="shared" si="5"/>
        <v>2.1166666666666671</v>
      </c>
      <c r="J26" s="50">
        <f t="shared" si="6"/>
        <v>142.02981500000004</v>
      </c>
      <c r="K26" s="50">
        <f t="shared" si="0"/>
        <v>77.970184999999958</v>
      </c>
      <c r="L26" s="9">
        <f t="shared" si="7"/>
        <v>0.64559006818181841</v>
      </c>
      <c r="M26" s="16">
        <v>1</v>
      </c>
    </row>
    <row r="27" spans="1:20" ht="25" customHeight="1">
      <c r="A27" s="38">
        <v>45646</v>
      </c>
      <c r="B27" s="15" t="s">
        <v>361</v>
      </c>
      <c r="C27" s="16" t="s">
        <v>213</v>
      </c>
      <c r="D27" s="46">
        <v>0.65972222222222221</v>
      </c>
      <c r="E27" s="46">
        <v>0.70833333333333337</v>
      </c>
      <c r="F27" s="6" t="str">
        <f t="shared" si="3"/>
        <v>No</v>
      </c>
      <c r="G27" s="6">
        <f t="shared" si="4"/>
        <v>4.861111111111116E-2</v>
      </c>
      <c r="H27" s="50">
        <v>250</v>
      </c>
      <c r="I27" s="8">
        <f t="shared" si="5"/>
        <v>1.1666666666666679</v>
      </c>
      <c r="J27" s="50">
        <f t="shared" si="6"/>
        <v>78.284150000000068</v>
      </c>
      <c r="K27" s="50">
        <f t="shared" si="0"/>
        <v>171.71584999999993</v>
      </c>
      <c r="L27" s="9">
        <f t="shared" si="7"/>
        <v>0.31313660000000026</v>
      </c>
      <c r="M27" s="16">
        <v>1</v>
      </c>
    </row>
    <row r="28" spans="1:20" ht="25" customHeight="1">
      <c r="A28" s="38">
        <v>45646</v>
      </c>
      <c r="B28" s="17" t="s">
        <v>365</v>
      </c>
      <c r="C28" s="16" t="s">
        <v>126</v>
      </c>
      <c r="D28" s="46">
        <v>0.36458333333333331</v>
      </c>
      <c r="E28" s="46">
        <v>0.46875</v>
      </c>
      <c r="F28" s="6" t="str">
        <f t="shared" si="3"/>
        <v>No</v>
      </c>
      <c r="G28" s="6">
        <f t="shared" si="4"/>
        <v>0.10416666666666669</v>
      </c>
      <c r="H28" s="50">
        <f>_xlfn.IFNA(VLOOKUP(C:C,'Active Jobs'!B:K,8,0),"")</f>
        <v>250</v>
      </c>
      <c r="I28" s="8">
        <f t="shared" si="5"/>
        <v>2.5000000000000004</v>
      </c>
      <c r="J28" s="51">
        <f>IF(G28="","",G28*24*HourlyRate*2*(1+Super))</f>
        <v>167.75175000000002</v>
      </c>
      <c r="K28" s="50">
        <f t="shared" si="0"/>
        <v>82.248249999999985</v>
      </c>
      <c r="L28" s="52">
        <f t="shared" si="7"/>
        <v>0.67100700000000002</v>
      </c>
      <c r="M28" s="16">
        <v>2</v>
      </c>
    </row>
    <row r="29" spans="1:20" ht="25" customHeight="1">
      <c r="A29" s="38">
        <v>45646</v>
      </c>
      <c r="B29" s="17" t="s">
        <v>365</v>
      </c>
      <c r="C29" s="16" t="s">
        <v>356</v>
      </c>
      <c r="D29" s="46">
        <v>0.46875</v>
      </c>
      <c r="E29" s="46">
        <v>0.6875</v>
      </c>
      <c r="F29" s="6" t="s">
        <v>17</v>
      </c>
      <c r="G29" s="6">
        <f t="shared" si="4"/>
        <v>0.19791666666666666</v>
      </c>
      <c r="H29" s="50">
        <v>570</v>
      </c>
      <c r="I29" s="8">
        <f t="shared" si="5"/>
        <v>4.75</v>
      </c>
      <c r="J29" s="51">
        <f>IF(G29="","",G29*24*HourlyRate*2*(1+Super))</f>
        <v>318.72832500000004</v>
      </c>
      <c r="K29" s="50">
        <f t="shared" si="0"/>
        <v>251.27167499999996</v>
      </c>
      <c r="L29" s="52">
        <f t="shared" si="7"/>
        <v>0.55917250000000007</v>
      </c>
      <c r="M29" s="16">
        <v>2</v>
      </c>
    </row>
    <row r="30" spans="1:20" ht="25" customHeight="1">
      <c r="F30" s="6" t="str">
        <f t="shared" si="3"/>
        <v/>
      </c>
      <c r="G30" s="6" t="str">
        <f t="shared" si="4"/>
        <v/>
      </c>
      <c r="H30" s="50" t="str">
        <f>_xlfn.IFNA(VLOOKUP(C:C,'Active Jobs'!B:K,8,0),"")</f>
        <v/>
      </c>
      <c r="I30" s="8" t="str">
        <f t="shared" si="5"/>
        <v/>
      </c>
      <c r="J30" s="51" t="str">
        <f>IF(G30="","",G30*24*HourlyRate*2*(1+Super))</f>
        <v/>
      </c>
      <c r="K30" s="51" t="str">
        <f t="shared" si="0"/>
        <v/>
      </c>
      <c r="L30" s="52" t="str">
        <f t="shared" si="7"/>
        <v/>
      </c>
    </row>
    <row r="31" spans="1:20" ht="25" customHeight="1">
      <c r="F31" s="19" t="str">
        <f t="shared" ref="F31" si="11">IF(E31="","","No")</f>
        <v/>
      </c>
      <c r="G31" s="6" t="str">
        <f t="shared" si="4"/>
        <v/>
      </c>
      <c r="H31" s="50" t="str">
        <f>_xlfn.IFNA(VLOOKUP(C:C,'Active Jobs'!B:K,8,0),"")</f>
        <v/>
      </c>
      <c r="I31" s="8" t="str">
        <f t="shared" si="5"/>
        <v/>
      </c>
      <c r="J31" s="51" t="str">
        <f>IF(G31="","",G31*24*HourlyRate*2*(1+Super))</f>
        <v/>
      </c>
      <c r="K31" s="51" t="str">
        <f t="shared" si="0"/>
        <v/>
      </c>
      <c r="L31" s="52" t="str">
        <f t="shared" si="7"/>
        <v/>
      </c>
    </row>
    <row r="32" spans="1:20" ht="25" customHeight="1">
      <c r="A32" s="39"/>
      <c r="B32" s="29"/>
      <c r="C32" s="30"/>
      <c r="D32" s="1"/>
      <c r="E32" s="1"/>
      <c r="F32" s="31"/>
      <c r="G32" s="32"/>
      <c r="H32" s="53">
        <f>SUBTOTAL(109,Table226[Quoted])</f>
        <v>8080</v>
      </c>
      <c r="I32" s="34">
        <f>SUBTOTAL(109,Table226[Hours Payable])</f>
        <v>66.966666666666669</v>
      </c>
      <c r="J32" s="53">
        <f>SUBTOTAL(109,Table226[Wages (Incl. Super)])</f>
        <v>4527.0605599999999</v>
      </c>
      <c r="K32" s="53">
        <f>SUBTOTAL(109,Table226[Profit])</f>
        <v>2787.6674600000006</v>
      </c>
      <c r="L32" s="35">
        <f>SUBTOTAL(101,Table226[Quote/Wages])</f>
        <v>0.61889897779018266</v>
      </c>
    </row>
  </sheetData>
  <conditionalFormatting sqref="B1:B31 B33:B253">
    <cfRule type="expression" dxfId="19" priority="1">
      <formula>AND(ROW()&gt;1, E1&lt;&gt;"", COUNTIFS(A:A, $A1, B:B, $B1, F:F, "Yes")=0)</formula>
    </cfRule>
  </conditionalFormatting>
  <conditionalFormatting sqref="F1:F31 F33:F253">
    <cfRule type="expression" dxfId="18" priority="2" stopIfTrue="1">
      <formula>AND(ROW()&gt;1, E1&lt;&gt;"", COUNTIFS(A:A, $A1, B:B, $B1, F:F, "Yes")=0)</formula>
    </cfRule>
  </conditionalFormatting>
  <dataValidations count="1">
    <dataValidation type="list" allowBlank="1" showErrorMessage="1" promptTitle="Select" sqref="B2:B31" xr:uid="{84AE64A7-F530-924E-859B-7FF7BB00A093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6C3E544-F4EA-0145-A247-FCC3D3F4CE78}">
          <x14:formula1>
            <xm:f>'Active Jobs'!$B$2:$B$154</xm:f>
          </x14:formula1>
          <xm:sqref>C2:C31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C1016-A748-A24F-BFC6-9A7F9C1091CE}">
  <sheetPr codeName="Sheet9"/>
  <dimension ref="A1:W33"/>
  <sheetViews>
    <sheetView zoomScale="125" zoomScaleNormal="125" workbookViewId="0">
      <selection activeCell="L16" sqref="L16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6" customWidth="1"/>
    <col min="6" max="6" width="11.85546875" style="16" customWidth="1"/>
    <col min="7" max="7" width="16.5703125" style="16" customWidth="1"/>
    <col min="8" max="8" width="9" style="16" customWidth="1"/>
    <col min="9" max="9" width="13.140625" style="16" customWidth="1"/>
    <col min="10" max="10" width="16.85546875" style="16" customWidth="1"/>
    <col min="11" max="11" width="9" style="16" bestFit="1" customWidth="1"/>
    <col min="12" max="12" width="12.42578125" style="16" customWidth="1"/>
    <col min="13" max="13" width="10.7109375" style="19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24" width="10.7109375" style="16"/>
    <col min="25" max="25" width="18.140625" style="16" bestFit="1" customWidth="1"/>
    <col min="26" max="26" width="8.5703125" style="16" bestFit="1" customWidth="1"/>
    <col min="27" max="16384" width="10.7109375" style="16"/>
  </cols>
  <sheetData>
    <row r="1" spans="1:23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S1">TRANSPOSE(_xlfn._xlws.FILTER(_xlfn.UNIQUE(A2:A204), _xlfn.UNIQUE(A2:A204)&lt;&gt;""))</f>
        <v>45635</v>
      </c>
      <c r="P1" s="28">
        <v>45636</v>
      </c>
      <c r="Q1" s="28">
        <v>45637</v>
      </c>
      <c r="R1" s="28">
        <v>45638</v>
      </c>
      <c r="S1" s="28">
        <v>45639</v>
      </c>
      <c r="T1" s="27" t="s">
        <v>14</v>
      </c>
      <c r="U1" s="21"/>
      <c r="V1" s="22" t="s">
        <v>15</v>
      </c>
      <c r="W1" s="20" t="s">
        <v>16</v>
      </c>
    </row>
    <row r="2" spans="1:23" ht="25" customHeight="1">
      <c r="A2" s="37">
        <v>45635</v>
      </c>
      <c r="B2" s="15" t="s">
        <v>363</v>
      </c>
      <c r="C2" s="16" t="s">
        <v>141</v>
      </c>
      <c r="D2" s="5">
        <v>0.36805555555555558</v>
      </c>
      <c r="E2" s="5">
        <v>0.45833333333333331</v>
      </c>
      <c r="F2" s="6" t="str">
        <f>IF(E2="","","No")</f>
        <v>No</v>
      </c>
      <c r="G2" s="6">
        <f>IF(E2="","",IF(F2="Yes",(E2-D2)-TIME(0,30,0),E2-D2))</f>
        <v>9.0277777777777735E-2</v>
      </c>
      <c r="H2" s="7">
        <f>_xlfn.IFNA(VLOOKUP(C:C,'Active Jobs'!B:K,8,0),"")</f>
        <v>250</v>
      </c>
      <c r="I2" s="8">
        <f>IF(F2="Yes",(E2-D2)*24-0.5,IF(F2="No",(E2-D2)*24,""))</f>
        <v>2.1666666666666656</v>
      </c>
      <c r="J2" s="7">
        <f>IF(G2="","",G2*24*HourlyRate*2*(1+Super))</f>
        <v>145.38484999999991</v>
      </c>
      <c r="K2" s="7">
        <f t="shared" ref="K2:K32" si="0">IF(H2="","",IF(J2=0,0,H2-J2))</f>
        <v>104.61515000000009</v>
      </c>
      <c r="L2" s="9">
        <f>IF(K2="","",IF(H2=0,1,J2/H2))</f>
        <v>0.58153939999999971</v>
      </c>
      <c r="M2" s="19">
        <v>1</v>
      </c>
      <c r="N2" s="41" t="str" cm="1">
        <f t="array" ref="N2:N6">_xlfn.UNIQUE(TRANSPOSE(_xlfn.TEXTSPLIT(_xlfn.TEXTJOIN(" &amp; ", TRUE, B2:B204), " &amp; ")))</f>
        <v>Orla Shelly</v>
      </c>
      <c r="O2" s="23">
        <f t="shared" ref="O2:S9" si="1">IF(N2="","",ROUND(SUMIFS($I:$I,$A:$A,O$1,$B:$B,"*"&amp;$N2&amp;"*"),2))</f>
        <v>5.5</v>
      </c>
      <c r="P2" s="23">
        <f t="shared" si="1"/>
        <v>5.25</v>
      </c>
      <c r="Q2" s="23">
        <f t="shared" si="1"/>
        <v>6</v>
      </c>
      <c r="R2" s="23">
        <f t="shared" si="1"/>
        <v>6.5</v>
      </c>
      <c r="S2" s="23">
        <f t="shared" si="1"/>
        <v>7.5</v>
      </c>
      <c r="T2" s="10">
        <f t="shared" ref="T2:T15" si="2">IF(N2="","",SUM(O2:S2))</f>
        <v>30.75</v>
      </c>
      <c r="U2" s="21"/>
      <c r="V2" s="24">
        <f>T2*HourlyRate</f>
        <v>925.26750000000004</v>
      </c>
      <c r="W2" s="25">
        <f>V2*Super</f>
        <v>106.40576250000001</v>
      </c>
    </row>
    <row r="3" spans="1:23" ht="25" customHeight="1">
      <c r="A3" s="38">
        <v>45635</v>
      </c>
      <c r="B3" s="15" t="s">
        <v>363</v>
      </c>
      <c r="C3" s="16" t="s">
        <v>355</v>
      </c>
      <c r="D3" s="5">
        <v>0.45833333333333331</v>
      </c>
      <c r="E3" s="5">
        <v>0.61805555555555558</v>
      </c>
      <c r="F3" s="6" t="s">
        <v>17</v>
      </c>
      <c r="G3" s="6">
        <f t="shared" ref="G3:G26" si="3">IF(E3="","",IF(F3="Yes",(E3-D3)-TIME(0,30,0),E3-D3))</f>
        <v>0.13888888888888892</v>
      </c>
      <c r="H3" s="7">
        <v>495</v>
      </c>
      <c r="I3" s="8">
        <f t="shared" ref="I3:I26" si="4">IF(F3="Yes",(E3-D3)*24-0.5,IF(F3="No",(E3-D3)*24,""))</f>
        <v>3.3333333333333344</v>
      </c>
      <c r="J3" s="7">
        <f t="shared" ref="J3:J26" si="5">IF(G3="","",G3*24*HourlyRate*2*(1+Super))</f>
        <v>223.66900000000001</v>
      </c>
      <c r="K3" s="7">
        <f t="shared" si="0"/>
        <v>271.33100000000002</v>
      </c>
      <c r="L3" s="9">
        <f t="shared" ref="L3:L26" si="6">IF(K3="","",IF(H3=0,1,J3/H3))</f>
        <v>0.45185656565656568</v>
      </c>
      <c r="M3" s="19">
        <v>1</v>
      </c>
      <c r="N3" s="42" t="str">
        <v>Tia Campbell</v>
      </c>
      <c r="O3" s="23">
        <f t="shared" si="1"/>
        <v>5.5</v>
      </c>
      <c r="P3" s="23">
        <f t="shared" si="1"/>
        <v>5.25</v>
      </c>
      <c r="Q3" s="23">
        <f t="shared" si="1"/>
        <v>0</v>
      </c>
      <c r="R3" s="23">
        <f t="shared" si="1"/>
        <v>6.5</v>
      </c>
      <c r="S3" s="23">
        <f t="shared" si="1"/>
        <v>7.5</v>
      </c>
      <c r="T3" s="10">
        <f t="shared" si="2"/>
        <v>24.75</v>
      </c>
      <c r="U3" s="21"/>
      <c r="V3" s="24">
        <f>T3*HourlyRate</f>
        <v>744.72749999999996</v>
      </c>
      <c r="W3" s="25">
        <f>V3*Super</f>
        <v>85.643662500000005</v>
      </c>
    </row>
    <row r="4" spans="1:23" ht="25" customHeight="1">
      <c r="A4" s="38">
        <v>45635</v>
      </c>
      <c r="B4" s="15" t="s">
        <v>365</v>
      </c>
      <c r="C4" s="16" t="s">
        <v>118</v>
      </c>
      <c r="D4" s="5">
        <v>0.36805555555555558</v>
      </c>
      <c r="E4" s="5">
        <v>0.4513888888888889</v>
      </c>
      <c r="F4" s="6" t="str">
        <f t="shared" ref="F4:F25" si="7">IF(E4="","","No")</f>
        <v>No</v>
      </c>
      <c r="G4" s="6">
        <f t="shared" si="3"/>
        <v>8.3333333333333315E-2</v>
      </c>
      <c r="H4" s="7">
        <f>_xlfn.IFNA(VLOOKUP(C:C,'Active Jobs'!B:K,8,0),"")</f>
        <v>200</v>
      </c>
      <c r="I4" s="8">
        <f t="shared" si="4"/>
        <v>1.9999999999999996</v>
      </c>
      <c r="J4" s="7">
        <f t="shared" si="5"/>
        <v>134.20139999999998</v>
      </c>
      <c r="K4" s="7">
        <f t="shared" si="0"/>
        <v>65.798600000000022</v>
      </c>
      <c r="L4" s="9">
        <f t="shared" si="6"/>
        <v>0.67100699999999991</v>
      </c>
      <c r="M4" s="19">
        <v>2</v>
      </c>
      <c r="N4" s="42" t="str">
        <v>Julie Roccati</v>
      </c>
      <c r="O4" s="23">
        <f t="shared" si="1"/>
        <v>3.5</v>
      </c>
      <c r="P4" s="23">
        <f t="shared" si="1"/>
        <v>7.25</v>
      </c>
      <c r="Q4" s="23">
        <f t="shared" si="1"/>
        <v>0</v>
      </c>
      <c r="R4" s="23">
        <f t="shared" si="1"/>
        <v>5.5</v>
      </c>
      <c r="S4" s="23">
        <f t="shared" si="1"/>
        <v>6.33</v>
      </c>
      <c r="T4" s="10">
        <f t="shared" si="2"/>
        <v>22.58</v>
      </c>
      <c r="U4" s="21"/>
      <c r="V4" s="24">
        <f>T4*HourlyRate</f>
        <v>679.43219999999997</v>
      </c>
      <c r="W4" s="25">
        <f>V4*Super</f>
        <v>78.134703000000002</v>
      </c>
    </row>
    <row r="5" spans="1:23" ht="25" customHeight="1">
      <c r="A5" s="38">
        <v>45635</v>
      </c>
      <c r="B5" s="15" t="s">
        <v>365</v>
      </c>
      <c r="C5" s="16" t="s">
        <v>29</v>
      </c>
      <c r="D5" s="5">
        <v>0.4513888888888889</v>
      </c>
      <c r="E5" s="5">
        <v>0.51388888888888884</v>
      </c>
      <c r="F5" s="6" t="s">
        <v>53</v>
      </c>
      <c r="G5" s="6">
        <f t="shared" si="3"/>
        <v>6.2499999999999944E-2</v>
      </c>
      <c r="H5" s="7">
        <f>_xlfn.IFNA(VLOOKUP(C:C,'Active Jobs'!B:K,8,0),"")</f>
        <v>200</v>
      </c>
      <c r="I5" s="8">
        <f t="shared" si="4"/>
        <v>1.4999999999999987</v>
      </c>
      <c r="J5" s="7">
        <f t="shared" si="5"/>
        <v>100.65104999999991</v>
      </c>
      <c r="K5" s="7">
        <f t="shared" si="0"/>
        <v>99.348950000000087</v>
      </c>
      <c r="L5" s="9">
        <f t="shared" si="6"/>
        <v>0.5032552499999996</v>
      </c>
      <c r="M5" s="19">
        <v>2</v>
      </c>
      <c r="N5" s="42" t="str">
        <v>Sheyda Watermann</v>
      </c>
      <c r="O5" s="23">
        <f t="shared" si="1"/>
        <v>3.5</v>
      </c>
      <c r="P5" s="23">
        <f t="shared" si="1"/>
        <v>7.25</v>
      </c>
      <c r="Q5" s="23">
        <f t="shared" si="1"/>
        <v>6</v>
      </c>
      <c r="R5" s="23">
        <f t="shared" si="1"/>
        <v>5.5</v>
      </c>
      <c r="S5" s="23">
        <f t="shared" si="1"/>
        <v>6.33</v>
      </c>
      <c r="T5" s="10">
        <f t="shared" si="2"/>
        <v>28.58</v>
      </c>
      <c r="U5" s="21"/>
      <c r="V5" s="24">
        <f>T5*HourlyRate</f>
        <v>859.97219999999993</v>
      </c>
      <c r="W5" s="25">
        <f>V5*Super</f>
        <v>98.896802999999991</v>
      </c>
    </row>
    <row r="6" spans="1:23" ht="25" customHeight="1">
      <c r="A6" s="38">
        <v>45636</v>
      </c>
      <c r="B6" s="15" t="s">
        <v>363</v>
      </c>
      <c r="C6" s="16" t="s">
        <v>214</v>
      </c>
      <c r="D6" s="5">
        <v>0.36458333333333331</v>
      </c>
      <c r="E6" s="5">
        <v>0.60416666666666663</v>
      </c>
      <c r="F6" s="6" t="s">
        <v>17</v>
      </c>
      <c r="G6" s="6">
        <f t="shared" si="3"/>
        <v>0.21874999999999997</v>
      </c>
      <c r="H6" s="7">
        <v>740</v>
      </c>
      <c r="I6" s="8">
        <f t="shared" si="4"/>
        <v>5.25</v>
      </c>
      <c r="J6" s="7">
        <f t="shared" si="5"/>
        <v>352.27867499999991</v>
      </c>
      <c r="K6" s="7">
        <f t="shared" si="0"/>
        <v>387.72132500000009</v>
      </c>
      <c r="L6" s="9">
        <f t="shared" si="6"/>
        <v>0.47605226351351337</v>
      </c>
      <c r="M6" s="19">
        <v>1</v>
      </c>
      <c r="N6" s="43" t="str">
        <v>Headoffice</v>
      </c>
      <c r="O6" s="23">
        <f t="shared" si="1"/>
        <v>0</v>
      </c>
      <c r="P6" s="23">
        <f t="shared" si="1"/>
        <v>5.75</v>
      </c>
      <c r="Q6" s="23">
        <f t="shared" si="1"/>
        <v>0</v>
      </c>
      <c r="R6" s="23">
        <f t="shared" si="1"/>
        <v>0</v>
      </c>
      <c r="S6" s="23">
        <f t="shared" si="1"/>
        <v>0</v>
      </c>
      <c r="T6" s="10">
        <f t="shared" si="2"/>
        <v>5.75</v>
      </c>
      <c r="U6" s="21"/>
      <c r="V6" s="24"/>
      <c r="W6" s="25"/>
    </row>
    <row r="7" spans="1:23" ht="25" customHeight="1">
      <c r="A7" s="38">
        <v>45636</v>
      </c>
      <c r="B7" s="15" t="s">
        <v>365</v>
      </c>
      <c r="C7" s="16" t="s">
        <v>21</v>
      </c>
      <c r="D7" s="5">
        <v>0.36458333333333331</v>
      </c>
      <c r="E7" s="5">
        <v>0.50555555555555554</v>
      </c>
      <c r="F7" s="6" t="s">
        <v>17</v>
      </c>
      <c r="G7" s="6">
        <f t="shared" si="3"/>
        <v>0.12013888888888889</v>
      </c>
      <c r="H7" s="7">
        <f>_xlfn.IFNA(VLOOKUP(C:C,'Active Jobs'!B:K,8,0),"")</f>
        <v>220</v>
      </c>
      <c r="I7" s="8">
        <f t="shared" si="4"/>
        <v>2.8833333333333333</v>
      </c>
      <c r="J7" s="7">
        <f t="shared" si="5"/>
        <v>193.47368500000002</v>
      </c>
      <c r="K7" s="7">
        <f t="shared" si="0"/>
        <v>26.526314999999983</v>
      </c>
      <c r="L7" s="9">
        <f t="shared" si="6"/>
        <v>0.87942584090909104</v>
      </c>
      <c r="M7" s="19">
        <v>2</v>
      </c>
      <c r="N7" s="47"/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48" t="str">
        <f t="shared" si="2"/>
        <v/>
      </c>
      <c r="U7" s="21"/>
      <c r="V7" s="24">
        <f>SUM(V2:V5)</f>
        <v>3209.3994000000002</v>
      </c>
      <c r="W7" s="24">
        <f>SUM(W2:W5)</f>
        <v>369.08093099999996</v>
      </c>
    </row>
    <row r="8" spans="1:23" ht="25" customHeight="1">
      <c r="A8" s="38">
        <v>45636</v>
      </c>
      <c r="B8" s="15" t="s">
        <v>365</v>
      </c>
      <c r="C8" s="16" t="s">
        <v>161</v>
      </c>
      <c r="D8" s="5">
        <v>0.50555555555555554</v>
      </c>
      <c r="E8" s="5">
        <v>0.62291666666666667</v>
      </c>
      <c r="F8" s="6" t="s">
        <v>53</v>
      </c>
      <c r="G8" s="6">
        <f t="shared" si="3"/>
        <v>0.11736111111111114</v>
      </c>
      <c r="H8" s="7">
        <f>_xlfn.IFNA(VLOOKUP(C:C,'Active Jobs'!B:K,8,0),"")</f>
        <v>250</v>
      </c>
      <c r="I8" s="8">
        <f t="shared" si="4"/>
        <v>2.8166666666666673</v>
      </c>
      <c r="J8" s="7">
        <f t="shared" si="5"/>
        <v>189.00030500000003</v>
      </c>
      <c r="K8" s="7">
        <f t="shared" si="0"/>
        <v>60.999694999999974</v>
      </c>
      <c r="L8" s="9">
        <f t="shared" si="6"/>
        <v>0.75600122000000014</v>
      </c>
      <c r="M8" s="19">
        <v>2</v>
      </c>
      <c r="N8" s="41"/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10" t="str">
        <f t="shared" si="2"/>
        <v/>
      </c>
      <c r="U8" s="21"/>
      <c r="V8" s="21"/>
      <c r="W8" s="21"/>
    </row>
    <row r="9" spans="1:23" ht="25" customHeight="1">
      <c r="A9" s="38">
        <v>45636</v>
      </c>
      <c r="B9" s="15" t="s">
        <v>365</v>
      </c>
      <c r="C9" s="16" t="s">
        <v>20</v>
      </c>
      <c r="D9" s="5">
        <v>0.62291666666666667</v>
      </c>
      <c r="E9" s="5">
        <v>0.6875</v>
      </c>
      <c r="F9" s="6" t="str">
        <f t="shared" si="7"/>
        <v>No</v>
      </c>
      <c r="G9" s="6">
        <f t="shared" si="3"/>
        <v>6.4583333333333326E-2</v>
      </c>
      <c r="H9" s="7">
        <f>_xlfn.IFNA(VLOOKUP(C:C,'Active Jobs'!B:K,8,0),"")</f>
        <v>250</v>
      </c>
      <c r="I9" s="8">
        <f t="shared" si="4"/>
        <v>1.5499999999999998</v>
      </c>
      <c r="J9" s="7">
        <f t="shared" si="5"/>
        <v>104.00608499999998</v>
      </c>
      <c r="K9" s="7">
        <f t="shared" si="0"/>
        <v>145.99391500000002</v>
      </c>
      <c r="L9" s="9">
        <f t="shared" si="6"/>
        <v>0.41602433999999994</v>
      </c>
      <c r="M9" s="19">
        <v>2</v>
      </c>
      <c r="N9" s="41"/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10" t="str">
        <f t="shared" si="2"/>
        <v/>
      </c>
      <c r="U9" s="21"/>
      <c r="V9" s="21"/>
      <c r="W9" s="21"/>
    </row>
    <row r="10" spans="1:23" ht="25" customHeight="1">
      <c r="A10" s="38">
        <v>45636</v>
      </c>
      <c r="B10" s="15" t="s">
        <v>206</v>
      </c>
      <c r="C10" s="16" t="s">
        <v>215</v>
      </c>
      <c r="D10" s="5">
        <v>0.33333333333333331</v>
      </c>
      <c r="E10" s="5">
        <v>0.59375</v>
      </c>
      <c r="F10" s="6" t="s">
        <v>17</v>
      </c>
      <c r="G10" s="6">
        <f>IF(E10="","",IF(F10="Yes",(E10-D10)-TIME(0,30,0),E10-D10))</f>
        <v>0.23958333333333334</v>
      </c>
      <c r="H10" s="7">
        <v>695</v>
      </c>
      <c r="I10" s="8">
        <f t="shared" si="4"/>
        <v>5.75</v>
      </c>
      <c r="J10" s="7">
        <f>IF(G10="","",G10*24*HourlyRate*2*(1+Super))</f>
        <v>385.829025</v>
      </c>
      <c r="K10" s="7">
        <f t="shared" si="0"/>
        <v>309.170975</v>
      </c>
      <c r="L10" s="9">
        <f>IF(K10="","",IF(H10=0,1,J10/H10))</f>
        <v>0.55514967625899281</v>
      </c>
      <c r="M10" s="19" t="s">
        <v>340</v>
      </c>
      <c r="N10" s="41"/>
      <c r="O10" s="23"/>
      <c r="P10" s="23"/>
      <c r="Q10" s="23"/>
      <c r="R10" s="23"/>
      <c r="S10" s="23"/>
      <c r="T10" s="10"/>
      <c r="U10" s="21"/>
      <c r="V10" s="21"/>
      <c r="W10" s="21"/>
    </row>
    <row r="11" spans="1:23" ht="25" customHeight="1">
      <c r="A11" s="38">
        <v>45637</v>
      </c>
      <c r="B11" s="15" t="s">
        <v>366</v>
      </c>
      <c r="C11" s="16" t="s">
        <v>186</v>
      </c>
      <c r="D11" s="5">
        <v>0.375</v>
      </c>
      <c r="E11" s="5">
        <v>0.4375</v>
      </c>
      <c r="F11" s="6" t="str">
        <f t="shared" si="7"/>
        <v>No</v>
      </c>
      <c r="G11" s="6">
        <f t="shared" si="3"/>
        <v>6.25E-2</v>
      </c>
      <c r="H11" s="7">
        <v>195</v>
      </c>
      <c r="I11" s="8">
        <f t="shared" si="4"/>
        <v>1.5</v>
      </c>
      <c r="J11" s="7">
        <f t="shared" si="5"/>
        <v>100.65105</v>
      </c>
      <c r="K11" s="7">
        <f t="shared" si="0"/>
        <v>94.348950000000002</v>
      </c>
      <c r="L11" s="9">
        <f t="shared" si="6"/>
        <v>0.51615923076923076</v>
      </c>
      <c r="M11" s="19">
        <v>1</v>
      </c>
      <c r="O11" s="23" t="str">
        <f t="shared" ref="O11:S15" si="8">IF(N11="","",ROUND(SUMIFS($I:$I,$A:$A,O$1,$B:$B,"*"&amp;$N11&amp;"*"),2))</f>
        <v/>
      </c>
      <c r="P11" s="23" t="str">
        <f t="shared" si="8"/>
        <v/>
      </c>
      <c r="Q11" s="23" t="str">
        <f t="shared" si="8"/>
        <v/>
      </c>
      <c r="R11" s="23" t="str">
        <f t="shared" si="8"/>
        <v/>
      </c>
      <c r="S11" s="23" t="str">
        <f t="shared" si="8"/>
        <v/>
      </c>
      <c r="T11" s="10" t="str">
        <f t="shared" si="2"/>
        <v/>
      </c>
      <c r="U11" s="21"/>
      <c r="V11" s="21"/>
      <c r="W11" s="10"/>
    </row>
    <row r="12" spans="1:23" ht="25" customHeight="1">
      <c r="A12" s="38">
        <v>45637</v>
      </c>
      <c r="B12" s="15" t="s">
        <v>366</v>
      </c>
      <c r="C12" s="16" t="s">
        <v>25</v>
      </c>
      <c r="D12" s="5">
        <v>0.4375</v>
      </c>
      <c r="E12" s="5">
        <v>0.53125</v>
      </c>
      <c r="F12" s="6" t="s">
        <v>17</v>
      </c>
      <c r="G12" s="6">
        <f t="shared" si="3"/>
        <v>7.2916666666666671E-2</v>
      </c>
      <c r="H12" s="7">
        <v>220</v>
      </c>
      <c r="I12" s="8">
        <f t="shared" si="4"/>
        <v>1.75</v>
      </c>
      <c r="J12" s="7">
        <f t="shared" si="5"/>
        <v>117.426225</v>
      </c>
      <c r="K12" s="7">
        <f t="shared" si="0"/>
        <v>102.573775</v>
      </c>
      <c r="L12" s="9">
        <f t="shared" si="6"/>
        <v>0.53375556818181824</v>
      </c>
      <c r="M12" s="19">
        <v>1</v>
      </c>
      <c r="O12" s="23" t="str">
        <f t="shared" si="8"/>
        <v/>
      </c>
      <c r="P12" s="23" t="str">
        <f t="shared" si="8"/>
        <v/>
      </c>
      <c r="Q12" s="23" t="str">
        <f t="shared" si="8"/>
        <v/>
      </c>
      <c r="R12" s="23" t="str">
        <f t="shared" si="8"/>
        <v/>
      </c>
      <c r="S12" s="23" t="str">
        <f t="shared" si="8"/>
        <v/>
      </c>
      <c r="T12" s="10" t="str">
        <f t="shared" si="2"/>
        <v/>
      </c>
      <c r="U12" s="21"/>
      <c r="V12" s="21"/>
      <c r="W12" s="21"/>
    </row>
    <row r="13" spans="1:23" ht="25" customHeight="1">
      <c r="A13" s="38">
        <v>45637</v>
      </c>
      <c r="B13" s="15" t="s">
        <v>366</v>
      </c>
      <c r="C13" s="16" t="s">
        <v>216</v>
      </c>
      <c r="D13" s="5">
        <v>0.53125</v>
      </c>
      <c r="E13" s="5">
        <v>0.60763888888888884</v>
      </c>
      <c r="F13" s="6" t="str">
        <f t="shared" si="7"/>
        <v>No</v>
      </c>
      <c r="G13" s="6">
        <f t="shared" si="3"/>
        <v>7.638888888888884E-2</v>
      </c>
      <c r="H13" s="7" t="str">
        <f>_xlfn.IFNA(VLOOKUP(C:C,'Active Jobs'!B:K,8,0),"")</f>
        <v/>
      </c>
      <c r="I13" s="8">
        <f t="shared" si="4"/>
        <v>1.8333333333333321</v>
      </c>
      <c r="J13" s="7">
        <f t="shared" si="5"/>
        <v>123.01794999999991</v>
      </c>
      <c r="K13" s="7" t="str">
        <f t="shared" si="0"/>
        <v/>
      </c>
      <c r="L13" s="9" t="str">
        <f t="shared" si="6"/>
        <v/>
      </c>
      <c r="M13" s="19">
        <v>1</v>
      </c>
      <c r="O13" s="23" t="str">
        <f t="shared" si="8"/>
        <v/>
      </c>
      <c r="P13" s="23" t="str">
        <f t="shared" si="8"/>
        <v/>
      </c>
      <c r="Q13" s="23" t="str">
        <f t="shared" si="8"/>
        <v/>
      </c>
      <c r="R13" s="23" t="str">
        <f t="shared" si="8"/>
        <v/>
      </c>
      <c r="S13" s="23" t="str">
        <f t="shared" si="8"/>
        <v/>
      </c>
      <c r="T13" s="10" t="str">
        <f t="shared" si="2"/>
        <v/>
      </c>
    </row>
    <row r="14" spans="1:23" ht="25" customHeight="1">
      <c r="A14" s="38">
        <v>45637</v>
      </c>
      <c r="B14" s="15" t="s">
        <v>366</v>
      </c>
      <c r="C14" s="16" t="s">
        <v>194</v>
      </c>
      <c r="D14" s="5">
        <v>0.60763888888888884</v>
      </c>
      <c r="E14" s="5">
        <v>0.64583333333333337</v>
      </c>
      <c r="F14" s="6" t="str">
        <f t="shared" si="7"/>
        <v>No</v>
      </c>
      <c r="G14" s="6">
        <f t="shared" si="3"/>
        <v>3.8194444444444531E-2</v>
      </c>
      <c r="H14" s="7" t="str">
        <f>_xlfn.IFNA(VLOOKUP(C:C,'Active Jobs'!B:K,8,0),"")</f>
        <v/>
      </c>
      <c r="I14" s="8">
        <f t="shared" si="4"/>
        <v>0.91666666666666874</v>
      </c>
      <c r="J14" s="7">
        <f t="shared" si="5"/>
        <v>61.508975000000142</v>
      </c>
      <c r="K14" s="7" t="str">
        <f t="shared" si="0"/>
        <v/>
      </c>
      <c r="L14" s="9" t="str">
        <f t="shared" si="6"/>
        <v/>
      </c>
      <c r="M14" s="19">
        <v>1</v>
      </c>
      <c r="O14" s="23" t="str">
        <f t="shared" si="8"/>
        <v/>
      </c>
      <c r="P14" s="23" t="str">
        <f t="shared" si="8"/>
        <v/>
      </c>
      <c r="Q14" s="23" t="str">
        <f t="shared" si="8"/>
        <v/>
      </c>
      <c r="R14" s="23" t="str">
        <f t="shared" si="8"/>
        <v/>
      </c>
      <c r="S14" s="23" t="str">
        <f t="shared" si="8"/>
        <v/>
      </c>
      <c r="T14" s="10" t="str">
        <f t="shared" si="2"/>
        <v/>
      </c>
    </row>
    <row r="15" spans="1:23" ht="25" customHeight="1">
      <c r="A15" s="38">
        <v>45638</v>
      </c>
      <c r="B15" s="15" t="s">
        <v>365</v>
      </c>
      <c r="C15" s="16" t="s">
        <v>55</v>
      </c>
      <c r="D15" s="5">
        <v>0.36805555555555558</v>
      </c>
      <c r="E15" s="5">
        <v>0.46388888888888891</v>
      </c>
      <c r="F15" s="6" t="str">
        <f t="shared" si="7"/>
        <v>No</v>
      </c>
      <c r="G15" s="6">
        <f t="shared" si="3"/>
        <v>9.5833333333333326E-2</v>
      </c>
      <c r="H15" s="7">
        <f>_xlfn.IFNA(VLOOKUP(C:C,'Active Jobs'!B:K,8,0),"")</f>
        <v>220</v>
      </c>
      <c r="I15" s="8">
        <f t="shared" si="4"/>
        <v>2.2999999999999998</v>
      </c>
      <c r="J15" s="7">
        <f t="shared" si="5"/>
        <v>154.33160999999998</v>
      </c>
      <c r="K15" s="7">
        <f t="shared" si="0"/>
        <v>65.668390000000016</v>
      </c>
      <c r="L15" s="9">
        <f t="shared" si="6"/>
        <v>0.70150731818181811</v>
      </c>
      <c r="M15" s="19">
        <v>2</v>
      </c>
      <c r="O15" s="23" t="str">
        <f t="shared" si="8"/>
        <v/>
      </c>
      <c r="P15" s="23" t="str">
        <f t="shared" si="8"/>
        <v/>
      </c>
      <c r="Q15" s="23" t="str">
        <f t="shared" si="8"/>
        <v/>
      </c>
      <c r="R15" s="23" t="str">
        <f t="shared" si="8"/>
        <v/>
      </c>
      <c r="S15" s="23" t="str">
        <f t="shared" si="8"/>
        <v/>
      </c>
      <c r="T15" s="10" t="str">
        <f t="shared" si="2"/>
        <v/>
      </c>
    </row>
    <row r="16" spans="1:23" ht="25" customHeight="1">
      <c r="A16" s="38">
        <v>45638</v>
      </c>
      <c r="B16" s="15" t="s">
        <v>365</v>
      </c>
      <c r="C16" s="16" t="s">
        <v>114</v>
      </c>
      <c r="D16" s="5">
        <v>0.46388888888888891</v>
      </c>
      <c r="E16" s="5">
        <v>0.55208333333333337</v>
      </c>
      <c r="F16" s="6" t="s">
        <v>17</v>
      </c>
      <c r="G16" s="6">
        <f t="shared" si="3"/>
        <v>6.7361111111111135E-2</v>
      </c>
      <c r="H16" s="7">
        <v>220</v>
      </c>
      <c r="I16" s="8">
        <f t="shared" si="4"/>
        <v>1.6166666666666671</v>
      </c>
      <c r="J16" s="7">
        <f t="shared" si="5"/>
        <v>108.47946500000003</v>
      </c>
      <c r="K16" s="7">
        <f t="shared" si="0"/>
        <v>111.52053499999997</v>
      </c>
      <c r="L16" s="9">
        <f t="shared" si="6"/>
        <v>0.49308847727272742</v>
      </c>
      <c r="M16" s="19">
        <v>2</v>
      </c>
    </row>
    <row r="17" spans="1:20" ht="25" customHeight="1">
      <c r="A17" s="38">
        <v>45638</v>
      </c>
      <c r="B17" s="15" t="s">
        <v>365</v>
      </c>
      <c r="C17" s="16" t="s">
        <v>28</v>
      </c>
      <c r="D17" s="5">
        <v>0.55208333333333337</v>
      </c>
      <c r="E17" s="5">
        <v>0.61805555555555558</v>
      </c>
      <c r="F17" s="6" t="str">
        <f t="shared" si="7"/>
        <v>No</v>
      </c>
      <c r="G17" s="6">
        <f t="shared" si="3"/>
        <v>6.597222222222221E-2</v>
      </c>
      <c r="H17" s="7">
        <f>_xlfn.IFNA(VLOOKUP(C:C,'Active Jobs'!B:K,8,0),"")</f>
        <v>200</v>
      </c>
      <c r="I17" s="8">
        <f t="shared" si="4"/>
        <v>1.583333333333333</v>
      </c>
      <c r="J17" s="7">
        <f t="shared" si="5"/>
        <v>106.24277499999998</v>
      </c>
      <c r="K17" s="7">
        <f t="shared" si="0"/>
        <v>93.75722500000002</v>
      </c>
      <c r="L17" s="9">
        <f t="shared" si="6"/>
        <v>0.53121387499999995</v>
      </c>
      <c r="M17" s="19">
        <v>2</v>
      </c>
    </row>
    <row r="18" spans="1:20" ht="25" customHeight="1">
      <c r="A18" s="38">
        <v>45638</v>
      </c>
      <c r="B18" s="15" t="s">
        <v>206</v>
      </c>
      <c r="C18" s="16" t="s">
        <v>217</v>
      </c>
      <c r="D18" s="5"/>
      <c r="E18" s="5"/>
      <c r="F18" s="6" t="str">
        <f>IF(E18="","","No")</f>
        <v/>
      </c>
      <c r="G18" s="6" t="str">
        <f>IF(E18="","",IF(F18="Yes",(E18-D18)-TIME(0,30,0),E18-D18))</f>
        <v/>
      </c>
      <c r="H18" s="7">
        <v>850</v>
      </c>
      <c r="I18" s="9" t="str">
        <f>IF(F18="Yes",(E18-D18)*24-0.5,IF(F18="No",(E18-D18)*24,""))</f>
        <v/>
      </c>
      <c r="J18" s="7">
        <v>0</v>
      </c>
      <c r="K18" s="7">
        <f t="shared" si="0"/>
        <v>0</v>
      </c>
      <c r="L18" s="9">
        <f>IF(K18="","",IF(H18=0,1,J18/H18))</f>
        <v>0</v>
      </c>
      <c r="M18" s="19" t="s">
        <v>340</v>
      </c>
    </row>
    <row r="19" spans="1:20" ht="25" customHeight="1">
      <c r="A19" s="38">
        <v>45638</v>
      </c>
      <c r="B19" s="15" t="s">
        <v>363</v>
      </c>
      <c r="C19" s="16" t="s">
        <v>188</v>
      </c>
      <c r="D19" s="5">
        <v>0.36805555555555558</v>
      </c>
      <c r="E19" s="5">
        <v>0.49236111111111114</v>
      </c>
      <c r="F19" s="6" t="s">
        <v>17</v>
      </c>
      <c r="G19" s="6">
        <f t="shared" ref="G19:G21" si="9">IF(E19="","",IF(F19="Yes",(E19-D19)-TIME(0,30,0),E19-D19))</f>
        <v>0.10347222222222223</v>
      </c>
      <c r="H19" s="7">
        <v>230</v>
      </c>
      <c r="I19" s="8">
        <f t="shared" ref="I19:I21" si="10">IF(F19="Yes",(E19-D19)*24-0.5,IF(F19="No",(E19-D19)*24,""))</f>
        <v>2.4833333333333334</v>
      </c>
      <c r="J19" s="7">
        <f t="shared" ref="J19:J21" si="11">IF(G19="","",G19*24*HourlyRate*2*(1+Super))</f>
        <v>166.63340500000001</v>
      </c>
      <c r="K19" s="7">
        <f t="shared" si="0"/>
        <v>63.36659499999999</v>
      </c>
      <c r="L19" s="9">
        <f t="shared" ref="L19:L21" si="12">IF(K19="","",IF(H19=0,1,J19/H19))</f>
        <v>0.72449306521739132</v>
      </c>
      <c r="M19" s="19">
        <v>1</v>
      </c>
      <c r="O19" s="23" t="str">
        <f>IF(N19="","",ROUND(SUMIFS($I:$I,$A:$A,O$1,$B:$B,"*"&amp;$N19&amp;"*"),2))</f>
        <v/>
      </c>
      <c r="P19" s="23" t="str">
        <f>IF(O19="","",ROUND(SUMIFS($I:$I,$A:$A,P$1,$B:$B,"*"&amp;$N19&amp;"*"),2))</f>
        <v/>
      </c>
      <c r="Q19" s="23" t="str">
        <f>IF(P19="","",ROUND(SUMIFS($I:$I,$A:$A,Q$1,$B:$B,"*"&amp;$N19&amp;"*"),2))</f>
        <v/>
      </c>
      <c r="R19" s="23" t="str">
        <f>IF(Q19="","",ROUND(SUMIFS($I:$I,$A:$A,R$1,$B:$B,"*"&amp;$N19&amp;"*"),2))</f>
        <v/>
      </c>
      <c r="S19" s="23" t="str">
        <f>IF(R19="","",ROUND(SUMIFS($I:$I,$A:$A,S$1,$B:$B,"*"&amp;$N19&amp;"*"),2))</f>
        <v/>
      </c>
      <c r="T19" s="10" t="str">
        <f t="shared" ref="T19" si="13">IF(N19="","",SUM(O19:S19))</f>
        <v/>
      </c>
    </row>
    <row r="20" spans="1:20" ht="25" customHeight="1">
      <c r="A20" s="38">
        <v>45638</v>
      </c>
      <c r="B20" s="15" t="s">
        <v>363</v>
      </c>
      <c r="C20" s="16" t="s">
        <v>144</v>
      </c>
      <c r="D20" s="5">
        <v>0.49236111111111114</v>
      </c>
      <c r="E20" s="5">
        <v>0.6020833333333333</v>
      </c>
      <c r="F20" s="6" t="str">
        <f t="shared" si="7"/>
        <v>No</v>
      </c>
      <c r="G20" s="6">
        <f t="shared" si="9"/>
        <v>0.10972222222222217</v>
      </c>
      <c r="H20" s="7">
        <v>250</v>
      </c>
      <c r="I20" s="8">
        <f t="shared" si="10"/>
        <v>2.633333333333332</v>
      </c>
      <c r="J20" s="7">
        <f t="shared" si="11"/>
        <v>176.69850999999989</v>
      </c>
      <c r="K20" s="7">
        <f t="shared" si="0"/>
        <v>73.301490000000115</v>
      </c>
      <c r="L20" s="9">
        <f t="shared" si="12"/>
        <v>0.70679403999999957</v>
      </c>
      <c r="M20" s="19">
        <v>1</v>
      </c>
    </row>
    <row r="21" spans="1:20" ht="25" customHeight="1">
      <c r="A21" s="38">
        <v>45638</v>
      </c>
      <c r="B21" s="15" t="s">
        <v>363</v>
      </c>
      <c r="C21" s="16" t="s">
        <v>184</v>
      </c>
      <c r="D21" s="5">
        <v>0.6020833333333333</v>
      </c>
      <c r="E21" s="5">
        <v>0.65972222222222221</v>
      </c>
      <c r="F21" s="6" t="str">
        <f t="shared" si="7"/>
        <v>No</v>
      </c>
      <c r="G21" s="6">
        <f t="shared" si="9"/>
        <v>5.7638888888888906E-2</v>
      </c>
      <c r="H21" s="7">
        <v>200</v>
      </c>
      <c r="I21" s="8">
        <f t="shared" si="10"/>
        <v>1.3833333333333337</v>
      </c>
      <c r="J21" s="7">
        <f t="shared" si="11"/>
        <v>92.82263500000002</v>
      </c>
      <c r="K21" s="7">
        <f t="shared" si="0"/>
        <v>107.17736499999998</v>
      </c>
      <c r="L21" s="9">
        <f t="shared" si="12"/>
        <v>0.4641131750000001</v>
      </c>
      <c r="M21" s="19">
        <v>1</v>
      </c>
    </row>
    <row r="22" spans="1:20" ht="25" customHeight="1">
      <c r="A22" s="38">
        <v>45639</v>
      </c>
      <c r="B22" s="15" t="s">
        <v>363</v>
      </c>
      <c r="C22" s="16" t="s">
        <v>47</v>
      </c>
      <c r="D22" s="5">
        <v>0.3611111111111111</v>
      </c>
      <c r="E22" s="5">
        <v>0.45347222222222222</v>
      </c>
      <c r="F22" s="6" t="str">
        <f t="shared" si="7"/>
        <v>No</v>
      </c>
      <c r="G22" s="6">
        <f t="shared" si="3"/>
        <v>9.2361111111111116E-2</v>
      </c>
      <c r="H22" s="7">
        <v>200</v>
      </c>
      <c r="I22" s="8">
        <f t="shared" si="4"/>
        <v>2.2166666666666668</v>
      </c>
      <c r="J22" s="7">
        <f t="shared" si="5"/>
        <v>148.73988499999999</v>
      </c>
      <c r="K22" s="7">
        <f t="shared" si="0"/>
        <v>51.260115000000013</v>
      </c>
      <c r="L22" s="9">
        <f t="shared" si="6"/>
        <v>0.74369942499999997</v>
      </c>
      <c r="M22" s="19">
        <v>1</v>
      </c>
    </row>
    <row r="23" spans="1:20" ht="25" customHeight="1">
      <c r="A23" s="38">
        <v>45639</v>
      </c>
      <c r="B23" s="15" t="s">
        <v>363</v>
      </c>
      <c r="C23" s="16" t="s">
        <v>205</v>
      </c>
      <c r="D23" s="5">
        <v>0.45347222222222222</v>
      </c>
      <c r="E23" s="5">
        <v>0.54166666666666663</v>
      </c>
      <c r="F23" s="6" t="str">
        <f t="shared" si="7"/>
        <v>No</v>
      </c>
      <c r="G23" s="6">
        <f t="shared" si="3"/>
        <v>8.8194444444444409E-2</v>
      </c>
      <c r="H23" s="7" t="str">
        <f>_xlfn.IFNA(VLOOKUP(C:C,'Active Jobs'!B:K,8,0),"")</f>
        <v/>
      </c>
      <c r="I23" s="8">
        <f t="shared" si="4"/>
        <v>2.1166666666666658</v>
      </c>
      <c r="J23" s="7">
        <f t="shared" si="5"/>
        <v>142.02981499999993</v>
      </c>
      <c r="K23" s="7" t="str">
        <f t="shared" si="0"/>
        <v/>
      </c>
      <c r="L23" s="9" t="str">
        <f t="shared" si="6"/>
        <v/>
      </c>
      <c r="M23" s="19">
        <v>1</v>
      </c>
    </row>
    <row r="24" spans="1:20" ht="25" customHeight="1">
      <c r="A24" s="38">
        <v>45639</v>
      </c>
      <c r="B24" s="15" t="s">
        <v>363</v>
      </c>
      <c r="C24" s="16" t="s">
        <v>127</v>
      </c>
      <c r="D24" s="5">
        <v>0.54166666666666663</v>
      </c>
      <c r="E24" s="5">
        <v>0.63124999999999998</v>
      </c>
      <c r="F24" s="6" t="s">
        <v>17</v>
      </c>
      <c r="G24" s="6">
        <f t="shared" si="3"/>
        <v>6.8750000000000019E-2</v>
      </c>
      <c r="H24" s="7">
        <f>_xlfn.IFNA(VLOOKUP(C:C,'Active Jobs'!B:K,8,0),"")</f>
        <v>200</v>
      </c>
      <c r="I24" s="8">
        <f t="shared" si="4"/>
        <v>1.6500000000000004</v>
      </c>
      <c r="J24" s="7">
        <f t="shared" si="5"/>
        <v>110.71615500000003</v>
      </c>
      <c r="K24" s="7">
        <f t="shared" si="0"/>
        <v>89.283844999999971</v>
      </c>
      <c r="L24" s="9">
        <f t="shared" si="6"/>
        <v>0.55358077500000014</v>
      </c>
      <c r="M24" s="19">
        <v>1</v>
      </c>
    </row>
    <row r="25" spans="1:20" ht="25" customHeight="1">
      <c r="A25" s="38">
        <v>45639</v>
      </c>
      <c r="B25" s="15" t="s">
        <v>363</v>
      </c>
      <c r="C25" s="16" t="s">
        <v>212</v>
      </c>
      <c r="D25" s="5">
        <v>0.63124999999999998</v>
      </c>
      <c r="E25" s="5">
        <v>0.69444444444444442</v>
      </c>
      <c r="F25" s="6" t="str">
        <f t="shared" si="7"/>
        <v>No</v>
      </c>
      <c r="G25" s="6">
        <f t="shared" si="3"/>
        <v>6.3194444444444442E-2</v>
      </c>
      <c r="H25" s="7" t="str">
        <f>_xlfn.IFNA(VLOOKUP(C:C,'Active Jobs'!B:K,8,0),"")</f>
        <v/>
      </c>
      <c r="I25" s="8">
        <f t="shared" si="4"/>
        <v>1.5166666666666666</v>
      </c>
      <c r="J25" s="7">
        <f t="shared" si="5"/>
        <v>101.76939499999999</v>
      </c>
      <c r="K25" s="7" t="str">
        <f t="shared" si="0"/>
        <v/>
      </c>
      <c r="L25" s="9" t="str">
        <f t="shared" si="6"/>
        <v/>
      </c>
      <c r="M25" s="19">
        <v>1</v>
      </c>
    </row>
    <row r="26" spans="1:20" ht="25" customHeight="1">
      <c r="A26" s="38">
        <v>45639</v>
      </c>
      <c r="B26" s="15" t="s">
        <v>365</v>
      </c>
      <c r="C26" s="16" t="s">
        <v>218</v>
      </c>
      <c r="D26" s="5">
        <v>0.3611111111111111</v>
      </c>
      <c r="E26" s="5">
        <v>0.47499999999999998</v>
      </c>
      <c r="F26" s="6" t="s">
        <v>17</v>
      </c>
      <c r="G26" s="6">
        <f t="shared" si="3"/>
        <v>9.3055555555555544E-2</v>
      </c>
      <c r="H26" s="7">
        <v>220</v>
      </c>
      <c r="I26" s="8">
        <f t="shared" si="4"/>
        <v>2.2333333333333329</v>
      </c>
      <c r="J26" s="7">
        <f t="shared" si="5"/>
        <v>149.85822999999999</v>
      </c>
      <c r="K26" s="7">
        <f t="shared" si="0"/>
        <v>70.141770000000008</v>
      </c>
      <c r="L26" s="9">
        <f t="shared" si="6"/>
        <v>0.68117377272727264</v>
      </c>
      <c r="M26" s="19">
        <v>2</v>
      </c>
    </row>
    <row r="27" spans="1:20" ht="25" customHeight="1">
      <c r="A27" s="38">
        <v>45639</v>
      </c>
      <c r="B27" s="15" t="s">
        <v>365</v>
      </c>
      <c r="C27" s="16" t="s">
        <v>126</v>
      </c>
      <c r="D27" s="46">
        <v>0.47499999999999998</v>
      </c>
      <c r="E27" s="46">
        <v>0.57638888888888884</v>
      </c>
      <c r="F27" s="19" t="str">
        <f t="shared" ref="F27:F28" si="14">IF(E27="","","No")</f>
        <v>No</v>
      </c>
      <c r="G27" s="6">
        <f t="shared" ref="G27:G28" si="15">IF(E27="","",IF(F27="Yes",(E27-D27)-TIME(0,30,0),E27-D27))</f>
        <v>0.10138888888888886</v>
      </c>
      <c r="H27" s="7">
        <f>_xlfn.IFNA(VLOOKUP(C:C,'Active Jobs'!B:K,8,0),"")</f>
        <v>250</v>
      </c>
      <c r="I27" s="8">
        <f t="shared" ref="I27:I28" si="16">IF(F27="Yes",(E27-D27)*24-0.5,IF(F27="No",(E27-D27)*24,""))</f>
        <v>2.4333333333333327</v>
      </c>
      <c r="J27" s="7">
        <f t="shared" ref="J27:J28" si="17">IF(G27="","",G27*24*HourlyRate*2*(1+Super))</f>
        <v>163.27836999999997</v>
      </c>
      <c r="K27" s="7">
        <f t="shared" si="0"/>
        <v>86.721630000000033</v>
      </c>
      <c r="L27" s="9">
        <f t="shared" ref="L27:L28" si="18">IF(K27="","",IF(H27=0,1,J27/H27))</f>
        <v>0.65311347999999991</v>
      </c>
      <c r="M27" s="19">
        <v>2</v>
      </c>
    </row>
    <row r="28" spans="1:20" ht="25" customHeight="1">
      <c r="A28" s="38">
        <v>45639</v>
      </c>
      <c r="B28" s="15" t="s">
        <v>365</v>
      </c>
      <c r="C28" s="16" t="s">
        <v>100</v>
      </c>
      <c r="D28" s="46">
        <v>0.57638888888888884</v>
      </c>
      <c r="E28" s="46">
        <v>0.64583333333333337</v>
      </c>
      <c r="F28" s="19" t="str">
        <f t="shared" si="14"/>
        <v>No</v>
      </c>
      <c r="G28" s="6">
        <f t="shared" si="15"/>
        <v>6.9444444444444531E-2</v>
      </c>
      <c r="H28" s="7">
        <f>_xlfn.IFNA(VLOOKUP(C:C,'Active Jobs'!B:K,8,0),"")</f>
        <v>200</v>
      </c>
      <c r="I28" s="8">
        <f t="shared" si="16"/>
        <v>1.6666666666666687</v>
      </c>
      <c r="J28" s="7">
        <f t="shared" si="17"/>
        <v>111.83450000000013</v>
      </c>
      <c r="K28" s="7">
        <f t="shared" si="0"/>
        <v>88.165499999999867</v>
      </c>
      <c r="L28" s="9">
        <f t="shared" si="18"/>
        <v>0.55917250000000063</v>
      </c>
      <c r="M28" s="19">
        <v>2</v>
      </c>
    </row>
    <row r="29" spans="1:20" ht="25" customHeight="1">
      <c r="F29" s="16" t="str">
        <f t="shared" ref="F29:F32" si="19">IF(E29="","","No")</f>
        <v/>
      </c>
      <c r="G29" s="16" t="str">
        <f t="shared" ref="G29:G32" si="20">IF(E29="","",IF(F29="Yes",(E29-D29)-TIME(0,30,0),E29-D29))</f>
        <v/>
      </c>
      <c r="H29" s="44" t="str">
        <f>_xlfn.IFNA(VLOOKUP(C:C,'Active Jobs'!B:K,8,0),"")</f>
        <v/>
      </c>
      <c r="I29" s="45" t="str">
        <f t="shared" ref="I29:I32" si="21">IF(F29="Yes",(E29-D29)*24-0.5,IF(F29="No",(E29-D29)*24,""))</f>
        <v/>
      </c>
      <c r="J29" s="44" t="str">
        <f>IF(G29="","",G29*24*HourlyRate*2*(1+Super))</f>
        <v/>
      </c>
      <c r="K29" s="44" t="str">
        <f t="shared" si="0"/>
        <v/>
      </c>
      <c r="L29" s="45" t="str">
        <f t="shared" ref="L29:L32" si="22">IF(K29="","",IF(H29=0,1,J29/H29))</f>
        <v/>
      </c>
    </row>
    <row r="30" spans="1:20" ht="25" customHeight="1">
      <c r="F30" s="16" t="str">
        <f t="shared" si="19"/>
        <v/>
      </c>
      <c r="G30" s="16" t="str">
        <f t="shared" si="20"/>
        <v/>
      </c>
      <c r="H30" s="44" t="str">
        <f>_xlfn.IFNA(VLOOKUP(C:C,'Active Jobs'!B:K,8,0),"")</f>
        <v/>
      </c>
      <c r="I30" s="45" t="str">
        <f t="shared" si="21"/>
        <v/>
      </c>
      <c r="J30" s="44" t="str">
        <f>IF(G30="","",G30*24*HourlyRate*2*(1+Super))</f>
        <v/>
      </c>
      <c r="K30" s="44" t="str">
        <f t="shared" si="0"/>
        <v/>
      </c>
      <c r="L30" s="45" t="str">
        <f t="shared" si="22"/>
        <v/>
      </c>
    </row>
    <row r="31" spans="1:20" ht="25" customHeight="1">
      <c r="F31" s="16" t="str">
        <f t="shared" si="19"/>
        <v/>
      </c>
      <c r="G31" s="16" t="str">
        <f t="shared" si="20"/>
        <v/>
      </c>
      <c r="H31" s="44" t="str">
        <f>_xlfn.IFNA(VLOOKUP(C:C,'Active Jobs'!B:K,8,0),"")</f>
        <v/>
      </c>
      <c r="I31" s="45" t="str">
        <f t="shared" si="21"/>
        <v/>
      </c>
      <c r="J31" s="44" t="str">
        <f>IF(G31="","",G31*24*HourlyRate*2*(1+Super))</f>
        <v/>
      </c>
      <c r="K31" s="44" t="str">
        <f t="shared" si="0"/>
        <v/>
      </c>
      <c r="L31" s="45" t="str">
        <f t="shared" si="22"/>
        <v/>
      </c>
    </row>
    <row r="32" spans="1:20" ht="25" customHeight="1">
      <c r="F32" s="16" t="str">
        <f t="shared" si="19"/>
        <v/>
      </c>
      <c r="G32" s="16" t="str">
        <f t="shared" si="20"/>
        <v/>
      </c>
      <c r="H32" s="44" t="str">
        <f>_xlfn.IFNA(VLOOKUP(C:C,'Active Jobs'!B:K,8,0),"")</f>
        <v/>
      </c>
      <c r="I32" s="45" t="str">
        <f t="shared" si="21"/>
        <v/>
      </c>
      <c r="J32" s="44" t="str">
        <f>IF(G32="","",G32*24*HourlyRate*2*(1+Super))</f>
        <v/>
      </c>
      <c r="K32" s="44" t="str">
        <f t="shared" si="0"/>
        <v/>
      </c>
      <c r="L32" s="45" t="str">
        <f t="shared" si="22"/>
        <v/>
      </c>
    </row>
    <row r="33" spans="1:12" ht="25" customHeight="1">
      <c r="A33" s="39"/>
      <c r="B33" s="29"/>
      <c r="C33" s="30"/>
      <c r="D33" s="1"/>
      <c r="E33" s="1"/>
      <c r="F33" s="31"/>
      <c r="G33" s="32"/>
      <c r="H33" s="33">
        <f>SUBTOTAL(109,Table22[Quoted])</f>
        <v>6955</v>
      </c>
      <c r="I33" s="34">
        <f>SUBTOTAL(109,Table22[Hours Payable])</f>
        <v>59.083333333333336</v>
      </c>
      <c r="J33" s="33">
        <f>SUBTOTAL(109,Table22[Wages (Incl. Super)])</f>
        <v>3964.5330249999988</v>
      </c>
      <c r="K33" s="33">
        <f>SUBTOTAL(109,Table22[Profit])</f>
        <v>2568.793110000001</v>
      </c>
      <c r="L33" s="35">
        <f>SUBTOTAL(101,Table22[Quote/Wages])</f>
        <v>0.57183375037775741</v>
      </c>
    </row>
  </sheetData>
  <conditionalFormatting sqref="B1:B32 B34:B254">
    <cfRule type="expression" dxfId="17" priority="1">
      <formula>AND(ROW()&gt;1, E1&lt;&gt;"", COUNTIFS(A:A, $A1, B:B, $B1, F:F, "Yes")=0)</formula>
    </cfRule>
  </conditionalFormatting>
  <conditionalFormatting sqref="F1:F32 F34:F254">
    <cfRule type="expression" dxfId="16" priority="2" stopIfTrue="1">
      <formula>AND(ROW()&gt;1, E1&lt;&gt;"", COUNTIFS(A:A, $A1, B:B, $B1, F:F, "Yes")=0)</formula>
    </cfRule>
  </conditionalFormatting>
  <dataValidations count="1">
    <dataValidation type="list" allowBlank="1" showErrorMessage="1" promptTitle="Select" sqref="B2:B32" xr:uid="{C61F65CF-E436-A545-9421-7B4D94CFA74D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1C20ED4-922A-1145-8E35-7949717E5A4A}">
          <x14:formula1>
            <xm:f>'Active Jobs'!$B$2:$B$154</xm:f>
          </x14:formula1>
          <xm:sqref>C2:C32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BD795-1B21-D24A-B1A4-6E1089FCE869}">
  <sheetPr codeName="Sheet10"/>
  <dimension ref="A1:Z22"/>
  <sheetViews>
    <sheetView zoomScale="125" zoomScaleNormal="125" workbookViewId="0">
      <selection activeCell="B13" sqref="B13"/>
    </sheetView>
  </sheetViews>
  <sheetFormatPr baseColWidth="10" defaultColWidth="10.7109375" defaultRowHeight="25" customHeight="1"/>
  <cols>
    <col min="1" max="1" width="13.42578125" style="38" bestFit="1" customWidth="1"/>
    <col min="2" max="2" width="27.140625" style="17" customWidth="1"/>
    <col min="3" max="3" width="15.85546875" style="16" bestFit="1" customWidth="1"/>
    <col min="4" max="5" width="7.140625" style="16" customWidth="1"/>
    <col min="6" max="6" width="11.85546875" style="16" customWidth="1"/>
    <col min="7" max="7" width="16.5703125" style="16" customWidth="1"/>
    <col min="8" max="8" width="9" style="16" customWidth="1"/>
    <col min="9" max="9" width="13.140625" style="16" customWidth="1"/>
    <col min="10" max="10" width="16.85546875" style="16" customWidth="1"/>
    <col min="11" max="11" width="9" style="16" bestFit="1" customWidth="1"/>
    <col min="12" max="12" width="12.42578125" style="16" customWidth="1"/>
    <col min="13" max="13" width="10.7109375" style="19"/>
    <col min="14" max="14" width="11.85546875" style="43" customWidth="1"/>
    <col min="15" max="15" width="14.42578125" style="16" customWidth="1"/>
    <col min="16" max="17" width="14.28515625" style="16" customWidth="1"/>
    <col min="18" max="20" width="14.28515625" style="19" customWidth="1"/>
    <col min="21" max="22" width="16.5703125" style="19" bestFit="1" customWidth="1"/>
    <col min="23" max="23" width="10" style="16" bestFit="1" customWidth="1"/>
    <col min="24" max="24" width="10.7109375" style="16"/>
    <col min="25" max="25" width="18.140625" style="16" bestFit="1" customWidth="1"/>
    <col min="26" max="26" width="8.5703125" style="16" bestFit="1" customWidth="1"/>
    <col min="27" max="16384" width="10.7109375" style="16"/>
  </cols>
  <sheetData>
    <row r="1" spans="1:26" ht="25" customHeight="1" thickBot="1">
      <c r="A1" s="36" t="s">
        <v>6</v>
      </c>
      <c r="B1" s="2" t="s">
        <v>7</v>
      </c>
      <c r="C1" s="2" t="s">
        <v>8</v>
      </c>
      <c r="D1" s="1" t="s">
        <v>9</v>
      </c>
      <c r="E1" s="1" t="s">
        <v>10</v>
      </c>
      <c r="F1" s="1" t="s">
        <v>11</v>
      </c>
      <c r="G1" s="1" t="s">
        <v>18</v>
      </c>
      <c r="H1" s="4" t="s">
        <v>2</v>
      </c>
      <c r="I1" s="1" t="s">
        <v>13</v>
      </c>
      <c r="J1" s="1" t="s">
        <v>3</v>
      </c>
      <c r="K1" s="1" t="s">
        <v>4</v>
      </c>
      <c r="L1" s="1" t="s">
        <v>5</v>
      </c>
      <c r="M1" s="19" t="s">
        <v>341</v>
      </c>
      <c r="N1" s="40"/>
      <c r="O1" s="28" cm="1">
        <f t="array" ref="O1:S1">TRANSPOSE(_xlfn._xlws.FILTER(_xlfn.UNIQUE(A2:A199), _xlfn.UNIQUE(A2:A199)&lt;&gt;""))</f>
        <v>45628</v>
      </c>
      <c r="P1" s="28">
        <v>45629</v>
      </c>
      <c r="Q1" s="28">
        <v>45630</v>
      </c>
      <c r="R1" s="28">
        <v>45631</v>
      </c>
      <c r="S1" s="28">
        <v>45632</v>
      </c>
      <c r="T1" s="27" t="s">
        <v>14</v>
      </c>
      <c r="U1" s="21"/>
      <c r="V1" s="22" t="s">
        <v>15</v>
      </c>
      <c r="W1" s="20" t="s">
        <v>16</v>
      </c>
    </row>
    <row r="2" spans="1:26" ht="25" customHeight="1">
      <c r="A2" s="37">
        <v>45628</v>
      </c>
      <c r="B2" s="15" t="s">
        <v>339</v>
      </c>
      <c r="C2" s="16" t="s">
        <v>133</v>
      </c>
      <c r="D2" s="5">
        <v>0.36458333333333331</v>
      </c>
      <c r="E2" s="5">
        <v>0.46527777777777779</v>
      </c>
      <c r="F2" s="6" t="str">
        <f>IF(E2="","","No")</f>
        <v>No</v>
      </c>
      <c r="G2" s="6">
        <f>IF(E2="","",IF(F2="Yes",(E2-D2)-TIME(0,30,0),E2-D2))</f>
        <v>0.10069444444444448</v>
      </c>
      <c r="H2" s="7">
        <f>_xlfn.IFNA(VLOOKUP(C:C,'Active Jobs'!B:K,8,0),"")</f>
        <v>250</v>
      </c>
      <c r="I2" s="8">
        <f>IF(F2="Yes",(E2-D2)*24-0.5,IF(F2="No",(E2-D2)*24,""))</f>
        <v>2.4166666666666674</v>
      </c>
      <c r="J2" s="7">
        <f>IF(G2="","",G2*24*HourlyRate*2*(1+Super))</f>
        <v>162.16002500000002</v>
      </c>
      <c r="K2" s="7">
        <f>IF(H2="","",H2-J2)</f>
        <v>87.839974999999981</v>
      </c>
      <c r="L2" s="9">
        <f>IF(K2="","",IF(H2=0,1,J2/H2))</f>
        <v>0.64864010000000005</v>
      </c>
      <c r="M2" s="19">
        <v>1</v>
      </c>
      <c r="N2" s="41" t="str" cm="1">
        <f t="array" ref="N2:N5">_xlfn.UNIQUE(TRANSPOSE(_xlfn.TEXTSPLIT(_xlfn.TEXTJOIN(" &amp; ", TRUE, B2:B199), " &amp; ")))</f>
        <v>Orla Shelly</v>
      </c>
      <c r="O2" s="23">
        <f t="shared" ref="O2:S2" si="0">IF(N2="","",ROUND(SUMIFS($I:$I,$A:$A,O$1,$B:$B,"*"&amp;$N2&amp;"*"),2))</f>
        <v>6.58</v>
      </c>
      <c r="P2" s="23">
        <f t="shared" si="0"/>
        <v>6.25</v>
      </c>
      <c r="Q2" s="23">
        <f t="shared" si="0"/>
        <v>8.1300000000000008</v>
      </c>
      <c r="R2" s="23">
        <f t="shared" si="0"/>
        <v>6.75</v>
      </c>
      <c r="S2" s="23">
        <f t="shared" si="0"/>
        <v>6.17</v>
      </c>
      <c r="T2" s="10">
        <f t="shared" ref="T2:T6" si="1">IF(N2="","",SUM(O2:S2))</f>
        <v>33.880000000000003</v>
      </c>
      <c r="U2" s="21"/>
      <c r="V2" s="24">
        <f>T2*HourlyRate</f>
        <v>1019.4492</v>
      </c>
      <c r="W2" s="25">
        <f>V2*Super</f>
        <v>117.23665800000001</v>
      </c>
    </row>
    <row r="3" spans="1:26" ht="25" customHeight="1">
      <c r="A3" s="38">
        <v>45628</v>
      </c>
      <c r="B3" s="17" t="s">
        <v>339</v>
      </c>
      <c r="C3" s="16" t="s">
        <v>159</v>
      </c>
      <c r="D3" s="5">
        <v>0.46527777777777779</v>
      </c>
      <c r="E3" s="5">
        <v>0.5625</v>
      </c>
      <c r="F3" s="6" t="s">
        <v>17</v>
      </c>
      <c r="G3" s="6">
        <f t="shared" ref="G3:G21" si="2">IF(E3="","",IF(F3="Yes",(E3-D3)-TIME(0,30,0),E3-D3))</f>
        <v>7.6388888888888881E-2</v>
      </c>
      <c r="H3" s="7">
        <f>_xlfn.IFNA(VLOOKUP(C:C,'Active Jobs'!B:K,8,0),"")</f>
        <v>200</v>
      </c>
      <c r="I3" s="8">
        <f t="shared" ref="I3:I21" si="3">IF(F3="Yes",(E3-D3)*24-0.5,IF(F3="No",(E3-D3)*24,""))</f>
        <v>1.833333333333333</v>
      </c>
      <c r="J3" s="7">
        <f t="shared" ref="J3:J21" si="4">IF(G3="","",G3*24*HourlyRate*2*(1+Super))</f>
        <v>123.01794999999998</v>
      </c>
      <c r="K3" s="7">
        <f t="shared" ref="K3:K21" si="5">IF(H3="","",H3-J3)</f>
        <v>76.982050000000015</v>
      </c>
      <c r="L3" s="9">
        <f t="shared" ref="L3:L21" si="6">IF(K3="","",IF(H3=0,1,J3/H3))</f>
        <v>0.61508974999999988</v>
      </c>
      <c r="M3" s="19">
        <v>1</v>
      </c>
      <c r="N3" s="42" t="str">
        <v>Julie Roccati</v>
      </c>
      <c r="O3" s="23">
        <f t="shared" ref="O3:S3" si="7">IF(N3="","",ROUND(SUMIFS($I:$I,$A:$A,O$1,$B:$B,"*"&amp;$N3&amp;"*"),2))</f>
        <v>6.58</v>
      </c>
      <c r="P3" s="23">
        <f t="shared" si="7"/>
        <v>6.25</v>
      </c>
      <c r="Q3" s="23">
        <f t="shared" si="7"/>
        <v>8.1300000000000008</v>
      </c>
      <c r="R3" s="23">
        <f t="shared" si="7"/>
        <v>8.58</v>
      </c>
      <c r="S3" s="23">
        <f t="shared" si="7"/>
        <v>3.93</v>
      </c>
      <c r="T3" s="10">
        <f t="shared" si="1"/>
        <v>33.47</v>
      </c>
      <c r="U3" s="21"/>
      <c r="V3" s="24">
        <f>T3*HourlyRate</f>
        <v>1007.1123</v>
      </c>
      <c r="W3" s="25">
        <f>V3*Super</f>
        <v>115.8179145</v>
      </c>
    </row>
    <row r="4" spans="1:26" ht="25" customHeight="1">
      <c r="A4" s="38">
        <v>45628</v>
      </c>
      <c r="B4" s="17" t="s">
        <v>339</v>
      </c>
      <c r="C4" s="16" t="s">
        <v>96</v>
      </c>
      <c r="D4" s="5">
        <v>0.5625</v>
      </c>
      <c r="E4" s="5">
        <v>0.65972222222222221</v>
      </c>
      <c r="F4" s="6" t="s">
        <v>53</v>
      </c>
      <c r="G4" s="6">
        <f t="shared" si="2"/>
        <v>9.722222222222221E-2</v>
      </c>
      <c r="H4" s="18">
        <v>295</v>
      </c>
      <c r="I4" s="8">
        <f t="shared" si="3"/>
        <v>2.333333333333333</v>
      </c>
      <c r="J4" s="7">
        <f t="shared" si="4"/>
        <v>156.56829999999999</v>
      </c>
      <c r="K4" s="7">
        <f t="shared" si="5"/>
        <v>138.43170000000001</v>
      </c>
      <c r="L4" s="9">
        <f t="shared" si="6"/>
        <v>0.53073999999999999</v>
      </c>
      <c r="M4" s="19">
        <v>1</v>
      </c>
      <c r="N4" s="42" t="str">
        <v>Sheyda Watermann</v>
      </c>
      <c r="O4" s="23">
        <f t="shared" ref="O4:S4" si="8">IF(N4="","",ROUND(SUMIFS($I:$I,$A:$A,O$1,$B:$B,"*"&amp;$N4&amp;"*"),2))</f>
        <v>0</v>
      </c>
      <c r="P4" s="23">
        <f t="shared" si="8"/>
        <v>0</v>
      </c>
      <c r="Q4" s="23">
        <f t="shared" si="8"/>
        <v>0</v>
      </c>
      <c r="R4" s="23">
        <f t="shared" si="8"/>
        <v>8.58</v>
      </c>
      <c r="S4" s="23">
        <f t="shared" si="8"/>
        <v>3.93</v>
      </c>
      <c r="T4" s="10">
        <f t="shared" si="1"/>
        <v>12.51</v>
      </c>
      <c r="U4" s="21"/>
      <c r="V4" s="24">
        <f>T4*HourlyRate</f>
        <v>376.42590000000001</v>
      </c>
      <c r="W4" s="25">
        <f>V4*Super</f>
        <v>43.288978500000006</v>
      </c>
    </row>
    <row r="5" spans="1:26" ht="25" customHeight="1">
      <c r="A5" s="38">
        <v>45629</v>
      </c>
      <c r="B5" s="17" t="s">
        <v>339</v>
      </c>
      <c r="C5" s="16" t="s">
        <v>136</v>
      </c>
      <c r="D5" s="5">
        <v>0.36458333333333331</v>
      </c>
      <c r="E5" s="5">
        <v>0.4375</v>
      </c>
      <c r="F5" s="6" t="str">
        <f>IF(E5="","","No")</f>
        <v>No</v>
      </c>
      <c r="G5" s="6">
        <f t="shared" si="2"/>
        <v>7.2916666666666685E-2</v>
      </c>
      <c r="H5" s="7">
        <f>_xlfn.IFNA(VLOOKUP(C:C,'Active Jobs'!B:K,8,0),"")</f>
        <v>220</v>
      </c>
      <c r="I5" s="8">
        <f t="shared" si="3"/>
        <v>1.7500000000000004</v>
      </c>
      <c r="J5" s="7">
        <f t="shared" si="4"/>
        <v>117.42622500000003</v>
      </c>
      <c r="K5" s="7">
        <f t="shared" si="5"/>
        <v>102.57377499999997</v>
      </c>
      <c r="L5" s="9">
        <f t="shared" si="6"/>
        <v>0.53375556818181835</v>
      </c>
      <c r="M5" s="19">
        <v>1</v>
      </c>
      <c r="N5" s="42" t="str">
        <v>Tia Campbell</v>
      </c>
      <c r="O5" s="23">
        <f t="shared" ref="O5:S6" si="9">IF(N5="","",ROUND(SUMIFS($I:$I,$A:$A,O$1,$B:$B,"*"&amp;$N5&amp;"*"),2))</f>
        <v>0</v>
      </c>
      <c r="P5" s="23">
        <f t="shared" si="9"/>
        <v>0</v>
      </c>
      <c r="Q5" s="23">
        <f t="shared" si="9"/>
        <v>0</v>
      </c>
      <c r="R5" s="23">
        <f t="shared" si="9"/>
        <v>6.75</v>
      </c>
      <c r="S5" s="23">
        <f t="shared" si="9"/>
        <v>6.17</v>
      </c>
      <c r="T5" s="10">
        <f t="shared" si="1"/>
        <v>12.92</v>
      </c>
      <c r="U5" s="21"/>
      <c r="V5" s="24">
        <f>T5*HourlyRate</f>
        <v>388.76279999999997</v>
      </c>
      <c r="W5" s="25">
        <f>V5*Super</f>
        <v>44.707721999999997</v>
      </c>
    </row>
    <row r="6" spans="1:26" ht="25" customHeight="1">
      <c r="A6" s="38">
        <v>45629</v>
      </c>
      <c r="B6" s="17" t="s">
        <v>339</v>
      </c>
      <c r="C6" s="16" t="s">
        <v>142</v>
      </c>
      <c r="D6" s="5">
        <v>0.4375</v>
      </c>
      <c r="E6" s="5">
        <v>0.52083333333333337</v>
      </c>
      <c r="F6" s="6" t="str">
        <f t="shared" ref="F6:F18" si="10">IF(E6="","","No")</f>
        <v>No</v>
      </c>
      <c r="G6" s="6">
        <f t="shared" si="2"/>
        <v>8.333333333333337E-2</v>
      </c>
      <c r="H6" s="7">
        <f>_xlfn.IFNA(VLOOKUP(C:C,'Active Jobs'!B:K,8,0),"")</f>
        <v>220</v>
      </c>
      <c r="I6" s="8">
        <f t="shared" si="3"/>
        <v>2.0000000000000009</v>
      </c>
      <c r="J6" s="7">
        <f t="shared" si="4"/>
        <v>134.20140000000006</v>
      </c>
      <c r="K6" s="7">
        <f t="shared" si="5"/>
        <v>85.798599999999936</v>
      </c>
      <c r="L6" s="9">
        <f t="shared" si="6"/>
        <v>0.61000636363636396</v>
      </c>
      <c r="M6" s="19">
        <v>1</v>
      </c>
      <c r="O6" s="23" t="str">
        <f t="shared" si="9"/>
        <v/>
      </c>
      <c r="P6" s="23" t="str">
        <f t="shared" si="9"/>
        <v/>
      </c>
      <c r="Q6" s="23" t="str">
        <f t="shared" si="9"/>
        <v/>
      </c>
      <c r="R6" s="23" t="str">
        <f t="shared" si="9"/>
        <v/>
      </c>
      <c r="S6" s="23" t="str">
        <f t="shared" si="9"/>
        <v/>
      </c>
      <c r="T6" s="10" t="str">
        <f t="shared" si="1"/>
        <v/>
      </c>
      <c r="U6" s="21"/>
      <c r="V6" s="24"/>
      <c r="W6" s="25"/>
    </row>
    <row r="7" spans="1:26" ht="25" customHeight="1">
      <c r="A7" s="38">
        <v>45629</v>
      </c>
      <c r="B7" s="17" t="s">
        <v>339</v>
      </c>
      <c r="C7" s="16" t="s">
        <v>146</v>
      </c>
      <c r="D7" s="5">
        <v>0.52083333333333337</v>
      </c>
      <c r="E7" s="5">
        <v>0.625</v>
      </c>
      <c r="F7" s="6" t="s">
        <v>17</v>
      </c>
      <c r="G7" s="6">
        <f t="shared" si="2"/>
        <v>8.3333333333333301E-2</v>
      </c>
      <c r="H7" s="7">
        <f>_xlfn.IFNA(VLOOKUP(C:C,'Active Jobs'!B:K,8,0),"")</f>
        <v>250</v>
      </c>
      <c r="I7" s="8">
        <f t="shared" si="3"/>
        <v>1.9999999999999991</v>
      </c>
      <c r="J7" s="7">
        <f t="shared" si="4"/>
        <v>134.20139999999992</v>
      </c>
      <c r="K7" s="7">
        <f t="shared" si="5"/>
        <v>115.79860000000008</v>
      </c>
      <c r="L7" s="9">
        <f t="shared" si="6"/>
        <v>0.53680559999999966</v>
      </c>
      <c r="M7" s="19">
        <v>1</v>
      </c>
      <c r="N7" s="41"/>
      <c r="O7" s="23" t="str">
        <f t="shared" ref="O7:S7" si="11">IF(N7="","",ROUND(SUMIFS($I:$I,$A:$A,O$1,$B:$B,"*"&amp;$N7&amp;"*"),2))</f>
        <v/>
      </c>
      <c r="P7" s="23" t="str">
        <f t="shared" si="11"/>
        <v/>
      </c>
      <c r="Q7" s="23" t="str">
        <f t="shared" si="11"/>
        <v/>
      </c>
      <c r="R7" s="23" t="str">
        <f t="shared" si="11"/>
        <v/>
      </c>
      <c r="S7" s="23" t="str">
        <f t="shared" si="11"/>
        <v/>
      </c>
      <c r="T7" s="10" t="str">
        <f t="shared" ref="T7:T14" si="12">IF(N7="","",SUM(O7:S7))</f>
        <v/>
      </c>
      <c r="U7" s="21"/>
      <c r="V7" s="26">
        <f>SUM(V2:V5)</f>
        <v>2791.7501999999999</v>
      </c>
      <c r="W7" s="26">
        <f>SUM(W2:W5)</f>
        <v>321.05127299999998</v>
      </c>
    </row>
    <row r="8" spans="1:26" ht="25" customHeight="1">
      <c r="A8" s="38">
        <v>45629</v>
      </c>
      <c r="B8" s="17" t="s">
        <v>339</v>
      </c>
      <c r="C8" s="16" t="s">
        <v>133</v>
      </c>
      <c r="D8" s="5">
        <v>0.625</v>
      </c>
      <c r="E8" s="5">
        <v>0.64583333333333337</v>
      </c>
      <c r="F8" s="6" t="str">
        <f t="shared" si="10"/>
        <v>No</v>
      </c>
      <c r="G8" s="6">
        <f t="shared" si="2"/>
        <v>2.083333333333337E-2</v>
      </c>
      <c r="H8" s="7">
        <v>0</v>
      </c>
      <c r="I8" s="8">
        <f t="shared" si="3"/>
        <v>0.50000000000000089</v>
      </c>
      <c r="J8" s="7">
        <f t="shared" si="4"/>
        <v>33.550350000000059</v>
      </c>
      <c r="K8" s="7">
        <f t="shared" si="5"/>
        <v>-33.550350000000059</v>
      </c>
      <c r="L8" s="9">
        <f t="shared" si="6"/>
        <v>1</v>
      </c>
      <c r="M8" s="19">
        <v>1</v>
      </c>
      <c r="N8" s="41"/>
      <c r="O8" s="23" t="str">
        <f t="shared" ref="O8:S8" si="13">IF(N8="","",ROUND(SUMIFS($I:$I,$A:$A,O$1,$B:$B,"*"&amp;$N8&amp;"*"),2))</f>
        <v/>
      </c>
      <c r="P8" s="23" t="str">
        <f t="shared" si="13"/>
        <v/>
      </c>
      <c r="Q8" s="23" t="str">
        <f t="shared" si="13"/>
        <v/>
      </c>
      <c r="R8" s="23" t="str">
        <f t="shared" si="13"/>
        <v/>
      </c>
      <c r="S8" s="23" t="str">
        <f t="shared" si="13"/>
        <v/>
      </c>
      <c r="T8" s="10" t="str">
        <f t="shared" si="12"/>
        <v/>
      </c>
      <c r="U8" s="21"/>
      <c r="V8" s="21"/>
      <c r="W8" s="21"/>
    </row>
    <row r="9" spans="1:26" ht="25" customHeight="1">
      <c r="A9" s="38">
        <v>45630</v>
      </c>
      <c r="B9" s="17" t="s">
        <v>339</v>
      </c>
      <c r="C9" s="16" t="s">
        <v>23</v>
      </c>
      <c r="D9" s="5">
        <v>0.36458333333333331</v>
      </c>
      <c r="E9" s="5">
        <v>0.53263888888888888</v>
      </c>
      <c r="F9" s="6" t="str">
        <f t="shared" si="10"/>
        <v>No</v>
      </c>
      <c r="G9" s="6">
        <f t="shared" si="2"/>
        <v>0.16805555555555557</v>
      </c>
      <c r="H9" s="7">
        <f>_xlfn.IFNA(VLOOKUP(C:C,'Active Jobs'!B:K,8,0),"")</f>
        <v>380</v>
      </c>
      <c r="I9" s="8">
        <f t="shared" si="3"/>
        <v>4.0333333333333332</v>
      </c>
      <c r="J9" s="7">
        <f t="shared" si="4"/>
        <v>270.63949000000002</v>
      </c>
      <c r="K9" s="7">
        <f t="shared" si="5"/>
        <v>109.36050999999998</v>
      </c>
      <c r="L9" s="9">
        <f t="shared" si="6"/>
        <v>0.71220918421052637</v>
      </c>
      <c r="M9" s="19">
        <v>1</v>
      </c>
      <c r="N9" s="38">
        <v>45632</v>
      </c>
      <c r="O9" s="17" t="s">
        <v>365</v>
      </c>
      <c r="P9" s="16" t="s">
        <v>221</v>
      </c>
      <c r="Q9" s="5">
        <v>0.55277777777777781</v>
      </c>
      <c r="R9" s="5">
        <v>0.61805555555555558</v>
      </c>
      <c r="S9" s="6" t="str">
        <f>IF(R9="","","No")</f>
        <v>No</v>
      </c>
      <c r="T9" s="6">
        <f>IF(R9="","",IF(S9="Yes",(R9-Q9)-TIME(0,30,0),R9-Q9))</f>
        <v>6.5277777777777768E-2</v>
      </c>
      <c r="U9" s="7">
        <v>220</v>
      </c>
      <c r="V9" s="8">
        <f>IF(S9="Yes",(R9-Q9)*24-0.5,IF(S9="No",(R9-Q9)*24,""))</f>
        <v>1.5666666666666664</v>
      </c>
      <c r="W9" s="7">
        <f>IF(T9="","",T9*24*HourlyRate*2*(1+Super))</f>
        <v>105.12442999999998</v>
      </c>
      <c r="X9" s="7">
        <f>IF(U9="","",U9-W9)</f>
        <v>114.87557000000002</v>
      </c>
      <c r="Y9" s="9">
        <f>IF(X9="","",IF(U9=0,1,W9/U9))</f>
        <v>0.47783831818181804</v>
      </c>
      <c r="Z9" s="19">
        <v>2</v>
      </c>
    </row>
    <row r="10" spans="1:26" ht="25" customHeight="1">
      <c r="A10" s="38">
        <v>45630</v>
      </c>
      <c r="B10" s="17" t="s">
        <v>339</v>
      </c>
      <c r="C10" s="16" t="s">
        <v>144</v>
      </c>
      <c r="D10" s="5">
        <v>0.53263888888888888</v>
      </c>
      <c r="E10" s="5">
        <v>0.65138888888888891</v>
      </c>
      <c r="F10" s="6" t="s">
        <v>17</v>
      </c>
      <c r="G10" s="6">
        <f t="shared" si="2"/>
        <v>9.7916666666666693E-2</v>
      </c>
      <c r="H10" s="7">
        <f>_xlfn.IFNA(VLOOKUP(C:C,'Active Jobs'!B:K,8,0),"")</f>
        <v>250</v>
      </c>
      <c r="I10" s="8">
        <f t="shared" si="3"/>
        <v>2.3500000000000005</v>
      </c>
      <c r="J10" s="7">
        <f t="shared" si="4"/>
        <v>157.68664500000003</v>
      </c>
      <c r="K10" s="7">
        <f t="shared" si="5"/>
        <v>92.313354999999973</v>
      </c>
      <c r="L10" s="9">
        <f t="shared" si="6"/>
        <v>0.63074658000000006</v>
      </c>
      <c r="M10" s="19">
        <v>1</v>
      </c>
      <c r="O10" s="23" t="str">
        <f t="shared" ref="O10:S10" si="14">IF(N10="","",ROUND(SUMIFS($I:$I,$A:$A,O$1,$B:$B,"*"&amp;$N10&amp;"*"),2))</f>
        <v/>
      </c>
      <c r="P10" s="23" t="str">
        <f t="shared" si="14"/>
        <v/>
      </c>
      <c r="Q10" s="23" t="str">
        <f t="shared" si="14"/>
        <v/>
      </c>
      <c r="R10" s="23" t="str">
        <f t="shared" si="14"/>
        <v/>
      </c>
      <c r="S10" s="23" t="str">
        <f t="shared" si="14"/>
        <v/>
      </c>
      <c r="T10" s="10" t="str">
        <f t="shared" si="12"/>
        <v/>
      </c>
      <c r="U10" s="21"/>
      <c r="V10" s="21"/>
      <c r="W10" s="10"/>
    </row>
    <row r="11" spans="1:26" ht="25" customHeight="1">
      <c r="A11" s="38">
        <v>45630</v>
      </c>
      <c r="B11" s="17" t="s">
        <v>339</v>
      </c>
      <c r="C11" s="16" t="s">
        <v>44</v>
      </c>
      <c r="D11" s="5">
        <v>0.65138888888888891</v>
      </c>
      <c r="E11" s="5">
        <v>0.72430555555555554</v>
      </c>
      <c r="F11" s="6" t="str">
        <f t="shared" si="10"/>
        <v>No</v>
      </c>
      <c r="G11" s="6">
        <f t="shared" si="2"/>
        <v>7.291666666666663E-2</v>
      </c>
      <c r="H11" s="7">
        <f>_xlfn.IFNA(VLOOKUP(C:C,'Active Jobs'!B:K,8,0),"")</f>
        <v>200</v>
      </c>
      <c r="I11" s="8">
        <f t="shared" si="3"/>
        <v>1.7499999999999991</v>
      </c>
      <c r="J11" s="7">
        <f t="shared" si="4"/>
        <v>117.42622499999993</v>
      </c>
      <c r="K11" s="7">
        <f t="shared" si="5"/>
        <v>82.573775000000069</v>
      </c>
      <c r="L11" s="9">
        <f t="shared" si="6"/>
        <v>0.58713112499999964</v>
      </c>
      <c r="M11" s="19">
        <v>1</v>
      </c>
      <c r="O11" s="23" t="str">
        <f t="shared" ref="O11:S11" si="15">IF(N11="","",ROUND(SUMIFS($I:$I,$A:$A,O$1,$B:$B,"*"&amp;$N11&amp;"*"),2))</f>
        <v/>
      </c>
      <c r="P11" s="23" t="str">
        <f t="shared" si="15"/>
        <v/>
      </c>
      <c r="Q11" s="23" t="str">
        <f t="shared" si="15"/>
        <v/>
      </c>
      <c r="R11" s="23" t="str">
        <f t="shared" si="15"/>
        <v/>
      </c>
      <c r="S11" s="23" t="str">
        <f t="shared" si="15"/>
        <v/>
      </c>
      <c r="T11" s="10" t="str">
        <f t="shared" si="12"/>
        <v/>
      </c>
      <c r="U11" s="21"/>
      <c r="V11" s="21"/>
      <c r="W11" s="21"/>
    </row>
    <row r="12" spans="1:26" ht="25" customHeight="1">
      <c r="A12" s="38">
        <v>45631</v>
      </c>
      <c r="B12" s="17" t="s">
        <v>365</v>
      </c>
      <c r="C12" s="16" t="s">
        <v>151</v>
      </c>
      <c r="D12" s="5">
        <v>0.36458333333333331</v>
      </c>
      <c r="E12" s="5">
        <v>0.50138888888888888</v>
      </c>
      <c r="F12" s="6" t="s">
        <v>17</v>
      </c>
      <c r="G12" s="6">
        <f t="shared" si="2"/>
        <v>0.11597222222222224</v>
      </c>
      <c r="H12" s="7">
        <f>_xlfn.IFNA(VLOOKUP(C:C,'Active Jobs'!B:K,8,0),"")</f>
        <v>250</v>
      </c>
      <c r="I12" s="8">
        <f t="shared" si="3"/>
        <v>2.7833333333333337</v>
      </c>
      <c r="J12" s="7">
        <f t="shared" si="4"/>
        <v>186.76361500000002</v>
      </c>
      <c r="K12" s="7">
        <f t="shared" si="5"/>
        <v>63.236384999999984</v>
      </c>
      <c r="L12" s="9">
        <f t="shared" si="6"/>
        <v>0.74705446000000009</v>
      </c>
      <c r="M12" s="19">
        <v>2</v>
      </c>
      <c r="O12" s="23" t="str">
        <f t="shared" ref="O12:S12" si="16">IF(N12="","",ROUND(SUMIFS($I:$I,$A:$A,O$1,$B:$B,"*"&amp;$N12&amp;"*"),2))</f>
        <v/>
      </c>
      <c r="P12" s="23" t="str">
        <f t="shared" si="16"/>
        <v/>
      </c>
      <c r="Q12" s="23" t="str">
        <f t="shared" si="16"/>
        <v/>
      </c>
      <c r="R12" s="23" t="str">
        <f t="shared" si="16"/>
        <v/>
      </c>
      <c r="S12" s="23" t="str">
        <f t="shared" si="16"/>
        <v/>
      </c>
      <c r="T12" s="10" t="str">
        <f t="shared" si="12"/>
        <v/>
      </c>
    </row>
    <row r="13" spans="1:26" ht="25" customHeight="1">
      <c r="A13" s="38">
        <v>45631</v>
      </c>
      <c r="B13" s="17" t="s">
        <v>365</v>
      </c>
      <c r="C13" s="16" t="s">
        <v>219</v>
      </c>
      <c r="D13" s="5">
        <v>0.50138888888888888</v>
      </c>
      <c r="E13" s="5">
        <v>0.57638888888888884</v>
      </c>
      <c r="F13" s="6" t="str">
        <f t="shared" si="10"/>
        <v>No</v>
      </c>
      <c r="G13" s="6">
        <f t="shared" si="2"/>
        <v>7.4999999999999956E-2</v>
      </c>
      <c r="H13" s="18">
        <v>230</v>
      </c>
      <c r="I13" s="8">
        <f t="shared" si="3"/>
        <v>1.7999999999999989</v>
      </c>
      <c r="J13" s="7">
        <f t="shared" si="4"/>
        <v>120.78125999999993</v>
      </c>
      <c r="K13" s="7">
        <f t="shared" si="5"/>
        <v>109.21874000000007</v>
      </c>
      <c r="L13" s="9">
        <f t="shared" si="6"/>
        <v>0.52513591304347795</v>
      </c>
      <c r="M13" s="19">
        <v>2</v>
      </c>
      <c r="O13" s="23" t="str">
        <f t="shared" ref="O13:S13" si="17">IF(N13="","",ROUND(SUMIFS($I:$I,$A:$A,O$1,$B:$B,"*"&amp;$N13&amp;"*"),2))</f>
        <v/>
      </c>
      <c r="P13" s="23" t="str">
        <f t="shared" si="17"/>
        <v/>
      </c>
      <c r="Q13" s="23" t="str">
        <f t="shared" si="17"/>
        <v/>
      </c>
      <c r="R13" s="23" t="str">
        <f t="shared" si="17"/>
        <v/>
      </c>
      <c r="S13" s="23" t="str">
        <f t="shared" si="17"/>
        <v/>
      </c>
      <c r="T13" s="10" t="str">
        <f t="shared" si="12"/>
        <v/>
      </c>
    </row>
    <row r="14" spans="1:26" ht="25" customHeight="1">
      <c r="A14" s="38">
        <v>45631</v>
      </c>
      <c r="B14" s="17" t="s">
        <v>365</v>
      </c>
      <c r="C14" s="16" t="s">
        <v>51</v>
      </c>
      <c r="D14" s="5">
        <v>0.57638888888888884</v>
      </c>
      <c r="E14" s="5">
        <v>0.65972222222222221</v>
      </c>
      <c r="F14" s="6" t="str">
        <f t="shared" si="10"/>
        <v>No</v>
      </c>
      <c r="G14" s="6">
        <f t="shared" si="2"/>
        <v>8.333333333333337E-2</v>
      </c>
      <c r="H14" s="7">
        <f>_xlfn.IFNA(VLOOKUP(C:C,'Active Jobs'!B:K,8,0),"")</f>
        <v>250</v>
      </c>
      <c r="I14" s="8">
        <f t="shared" si="3"/>
        <v>2.0000000000000009</v>
      </c>
      <c r="J14" s="7">
        <f t="shared" si="4"/>
        <v>134.20140000000006</v>
      </c>
      <c r="K14" s="7">
        <f t="shared" si="5"/>
        <v>115.79859999999994</v>
      </c>
      <c r="L14" s="9">
        <f t="shared" si="6"/>
        <v>0.53680560000000022</v>
      </c>
      <c r="M14" s="19">
        <v>2</v>
      </c>
      <c r="O14" s="23" t="str">
        <f t="shared" ref="O14:S14" si="18">IF(N14="","",ROUND(SUMIFS($I:$I,$A:$A,O$1,$B:$B,"*"&amp;$N14&amp;"*"),2))</f>
        <v/>
      </c>
      <c r="P14" s="23" t="str">
        <f t="shared" si="18"/>
        <v/>
      </c>
      <c r="Q14" s="23" t="str">
        <f t="shared" si="18"/>
        <v/>
      </c>
      <c r="R14" s="23" t="str">
        <f t="shared" si="18"/>
        <v/>
      </c>
      <c r="S14" s="23" t="str">
        <f t="shared" si="18"/>
        <v/>
      </c>
      <c r="T14" s="10" t="str">
        <f t="shared" si="12"/>
        <v/>
      </c>
    </row>
    <row r="15" spans="1:26" ht="25" customHeight="1">
      <c r="A15" s="38">
        <v>45631</v>
      </c>
      <c r="B15" s="17" t="s">
        <v>365</v>
      </c>
      <c r="C15" s="16" t="s">
        <v>152</v>
      </c>
      <c r="D15" s="5">
        <v>0.65972222222222221</v>
      </c>
      <c r="E15" s="5">
        <v>0.74305555555555558</v>
      </c>
      <c r="F15" s="6" t="str">
        <f t="shared" si="10"/>
        <v>No</v>
      </c>
      <c r="G15" s="6">
        <f t="shared" si="2"/>
        <v>8.333333333333337E-2</v>
      </c>
      <c r="H15" s="7">
        <f>_xlfn.IFNA(VLOOKUP(C:C,'Active Jobs'!B:K,8,0),"")</f>
        <v>220</v>
      </c>
      <c r="I15" s="8">
        <f t="shared" si="3"/>
        <v>2.0000000000000009</v>
      </c>
      <c r="J15" s="7">
        <f t="shared" si="4"/>
        <v>134.20140000000006</v>
      </c>
      <c r="K15" s="7">
        <f t="shared" si="5"/>
        <v>85.798599999999936</v>
      </c>
      <c r="L15" s="9">
        <f t="shared" si="6"/>
        <v>0.61000636363636396</v>
      </c>
      <c r="M15" s="19">
        <v>2</v>
      </c>
    </row>
    <row r="16" spans="1:26" ht="25" customHeight="1">
      <c r="A16" s="38">
        <v>45631</v>
      </c>
      <c r="B16" s="17" t="s">
        <v>363</v>
      </c>
      <c r="C16" s="16" t="s">
        <v>147</v>
      </c>
      <c r="D16" s="5">
        <v>0.36458333333333331</v>
      </c>
      <c r="E16" s="5">
        <v>0.45416666666666666</v>
      </c>
      <c r="F16" s="6" t="str">
        <f t="shared" si="10"/>
        <v>No</v>
      </c>
      <c r="G16" s="6">
        <f t="shared" si="2"/>
        <v>8.9583333333333348E-2</v>
      </c>
      <c r="H16" s="7">
        <f>_xlfn.IFNA(VLOOKUP(C:C,'Active Jobs'!B:K,8,0),"")</f>
        <v>200</v>
      </c>
      <c r="I16" s="8">
        <f t="shared" si="3"/>
        <v>2.1500000000000004</v>
      </c>
      <c r="J16" s="7">
        <f t="shared" si="4"/>
        <v>144.26650500000002</v>
      </c>
      <c r="K16" s="7">
        <f t="shared" si="5"/>
        <v>55.733494999999976</v>
      </c>
      <c r="L16" s="9">
        <f t="shared" si="6"/>
        <v>0.72133252500000011</v>
      </c>
      <c r="M16" s="19">
        <v>1</v>
      </c>
    </row>
    <row r="17" spans="1:13" ht="25" customHeight="1">
      <c r="A17" s="38">
        <v>45631</v>
      </c>
      <c r="B17" s="17" t="s">
        <v>363</v>
      </c>
      <c r="C17" s="16" t="s">
        <v>220</v>
      </c>
      <c r="D17" s="5">
        <v>0.45416666666666666</v>
      </c>
      <c r="E17" s="5">
        <v>0.66666666666666663</v>
      </c>
      <c r="F17" s="6" t="s">
        <v>17</v>
      </c>
      <c r="G17" s="6">
        <f t="shared" si="2"/>
        <v>0.19166666666666662</v>
      </c>
      <c r="H17" s="18">
        <v>850</v>
      </c>
      <c r="I17" s="8">
        <f t="shared" si="3"/>
        <v>4.5999999999999996</v>
      </c>
      <c r="J17" s="7">
        <f t="shared" si="4"/>
        <v>308.66321999999991</v>
      </c>
      <c r="K17" s="7">
        <f t="shared" si="5"/>
        <v>541.33678000000009</v>
      </c>
      <c r="L17" s="9">
        <f t="shared" si="6"/>
        <v>0.36313319999999988</v>
      </c>
      <c r="M17" s="19">
        <v>1</v>
      </c>
    </row>
    <row r="18" spans="1:13" ht="25" customHeight="1">
      <c r="A18" s="38">
        <v>45632</v>
      </c>
      <c r="B18" s="17" t="s">
        <v>365</v>
      </c>
      <c r="C18" s="16" t="s">
        <v>155</v>
      </c>
      <c r="D18" s="5">
        <v>0.36805555555555558</v>
      </c>
      <c r="E18" s="5">
        <v>0.46111111111111114</v>
      </c>
      <c r="F18" s="6" t="str">
        <f t="shared" si="10"/>
        <v>No</v>
      </c>
      <c r="G18" s="6">
        <f t="shared" si="2"/>
        <v>9.3055555555555558E-2</v>
      </c>
      <c r="H18" s="7">
        <f>_xlfn.IFNA(VLOOKUP(C:C,'Active Jobs'!B:K,8,0),"")</f>
        <v>220</v>
      </c>
      <c r="I18" s="8">
        <f t="shared" si="3"/>
        <v>2.2333333333333334</v>
      </c>
      <c r="J18" s="7">
        <f t="shared" si="4"/>
        <v>149.85823000000002</v>
      </c>
      <c r="K18" s="7">
        <f t="shared" si="5"/>
        <v>70.14176999999998</v>
      </c>
      <c r="L18" s="9">
        <f t="shared" si="6"/>
        <v>0.68117377272727286</v>
      </c>
      <c r="M18" s="19">
        <v>2</v>
      </c>
    </row>
    <row r="19" spans="1:13" ht="25" customHeight="1">
      <c r="A19" s="38">
        <v>45632</v>
      </c>
      <c r="B19" s="17" t="s">
        <v>365</v>
      </c>
      <c r="C19" s="16" t="s">
        <v>212</v>
      </c>
      <c r="D19" s="5">
        <v>0.46111111111111114</v>
      </c>
      <c r="E19" s="5">
        <v>0.55277777777777781</v>
      </c>
      <c r="F19" s="6" t="s">
        <v>17</v>
      </c>
      <c r="G19" s="6">
        <f t="shared" si="2"/>
        <v>7.0833333333333345E-2</v>
      </c>
      <c r="H19" s="7" t="str">
        <f>_xlfn.IFNA(VLOOKUP(C:C,'Active Jobs'!B:K,8,0),"")</f>
        <v/>
      </c>
      <c r="I19" s="8">
        <f t="shared" si="3"/>
        <v>1.7000000000000002</v>
      </c>
      <c r="J19" s="7">
        <f t="shared" si="4"/>
        <v>114.07119000000002</v>
      </c>
      <c r="K19" s="7" t="str">
        <f t="shared" si="5"/>
        <v/>
      </c>
      <c r="L19" s="9" t="str">
        <f t="shared" si="6"/>
        <v/>
      </c>
      <c r="M19" s="19">
        <v>2</v>
      </c>
    </row>
    <row r="21" spans="1:13" ht="25" customHeight="1">
      <c r="A21" s="38">
        <v>45632</v>
      </c>
      <c r="B21" s="17" t="s">
        <v>363</v>
      </c>
      <c r="C21" s="16" t="s">
        <v>354</v>
      </c>
      <c r="D21" s="5">
        <v>0.36805555555555558</v>
      </c>
      <c r="E21" s="5">
        <v>0.64583333333333337</v>
      </c>
      <c r="F21" s="6" t="s">
        <v>17</v>
      </c>
      <c r="G21" s="6">
        <f t="shared" si="2"/>
        <v>0.25694444444444448</v>
      </c>
      <c r="H21" s="18">
        <v>695</v>
      </c>
      <c r="I21" s="8">
        <f t="shared" si="3"/>
        <v>6.166666666666667</v>
      </c>
      <c r="J21" s="7">
        <f t="shared" si="4"/>
        <v>413.7876500000001</v>
      </c>
      <c r="K21" s="7">
        <f t="shared" si="5"/>
        <v>281.2123499999999</v>
      </c>
      <c r="L21" s="9">
        <f t="shared" si="6"/>
        <v>0.5953779136690649</v>
      </c>
      <c r="M21" s="19">
        <v>1</v>
      </c>
    </row>
    <row r="22" spans="1:13" ht="25" customHeight="1">
      <c r="A22" s="39"/>
      <c r="B22" s="29"/>
      <c r="C22" s="30"/>
      <c r="D22" s="1"/>
      <c r="E22" s="1"/>
      <c r="F22" s="31"/>
      <c r="G22" s="32"/>
      <c r="H22" s="33">
        <f>SUBTOTAL(109,Table2[Quoted])</f>
        <v>5180</v>
      </c>
      <c r="I22" s="34">
        <f>SUBTOTAL(109,Table2[Hours Payable])</f>
        <v>46.400000000000006</v>
      </c>
      <c r="J22" s="33">
        <f>SUBTOTAL(109,Table2[Wages (Incl. Super)])</f>
        <v>3113.4724800000004</v>
      </c>
      <c r="K22" s="33">
        <f>SUBTOTAL(109,Table2[Profit])</f>
        <v>2180.5987099999998</v>
      </c>
      <c r="L22" s="35">
        <f>SUBTOTAL(101,Table2[Quote/Wages])</f>
        <v>0.62139688995027165</v>
      </c>
    </row>
  </sheetData>
  <conditionalFormatting sqref="B1:B19 B21 B23:B249">
    <cfRule type="expression" dxfId="15" priority="3">
      <formula>AND(ROW()&gt;1, E1&lt;&gt;"", COUNTIFS(A:A, $A1, B:B, $B1, F:F, "Yes")=0)</formula>
    </cfRule>
  </conditionalFormatting>
  <conditionalFormatting sqref="F1:F19 F21 F23:F249">
    <cfRule type="expression" dxfId="14" priority="4" stopIfTrue="1">
      <formula>AND(ROW()&gt;1, E1&lt;&gt;"", COUNTIFS(A:A, $A1, B:B, $B1, F:F, "Yes")=0)</formula>
    </cfRule>
  </conditionalFormatting>
  <conditionalFormatting sqref="O9">
    <cfRule type="expression" dxfId="13" priority="13">
      <formula>AND(ROW()&gt;1, R9&lt;&gt;"", COUNTIFS(A:A, $N9, B:B, $O9, F:F, "Yes")=0)</formula>
    </cfRule>
  </conditionalFormatting>
  <conditionalFormatting sqref="S9">
    <cfRule type="expression" dxfId="12" priority="16" stopIfTrue="1">
      <formula>AND(ROW()&gt;1, R9&lt;&gt;"", COUNTIFS(A:A, $N9, B:B, $O9, F:F, "Yes")=0)</formula>
    </cfRule>
  </conditionalFormatting>
  <dataValidations count="1">
    <dataValidation type="list" allowBlank="1" showErrorMessage="1" promptTitle="Select" sqref="B2" xr:uid="{2A80BD03-8073-DC4D-955E-B4479CB0AC5F}">
      <formula1>Teams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2B4BF-7DDC-BC41-B72C-E8C974C2868D}">
  <sheetPr codeName="Sheet11"/>
  <dimension ref="A1:D4"/>
  <sheetViews>
    <sheetView zoomScale="200" zoomScaleNormal="200" workbookViewId="0">
      <selection activeCell="A3" sqref="A3"/>
    </sheetView>
  </sheetViews>
  <sheetFormatPr baseColWidth="10" defaultColWidth="11.5703125" defaultRowHeight="16"/>
  <cols>
    <col min="1" max="1" width="13.140625" bestFit="1" customWidth="1"/>
  </cols>
  <sheetData>
    <row r="1" spans="1:4">
      <c r="A1" s="11" t="s">
        <v>7</v>
      </c>
      <c r="B1" s="3"/>
      <c r="C1" s="3" t="s">
        <v>222</v>
      </c>
      <c r="D1" s="13">
        <v>30.09</v>
      </c>
    </row>
    <row r="2" spans="1:4">
      <c r="A2" s="3" t="s">
        <v>332</v>
      </c>
      <c r="B2" s="3"/>
      <c r="C2" s="3" t="s">
        <v>223</v>
      </c>
      <c r="D2" s="14">
        <v>0.115</v>
      </c>
    </row>
    <row r="3" spans="1:4">
      <c r="A3" s="3" t="s">
        <v>338</v>
      </c>
      <c r="B3" s="3"/>
      <c r="C3" s="3"/>
      <c r="D3" s="3"/>
    </row>
    <row r="4" spans="1:4">
      <c r="A4" s="3" t="s">
        <v>334</v>
      </c>
      <c r="B4" s="3"/>
      <c r="C4" s="3"/>
      <c r="D4" s="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625C1-3E55-DD4B-AE7B-8CE3EF211710}">
  <sheetPr codeName="Sheet12"/>
  <dimension ref="A1:K87"/>
  <sheetViews>
    <sheetView workbookViewId="0">
      <pane ySplit="1" topLeftCell="A53" activePane="bottomLeft" state="frozen"/>
      <selection pane="bottomLeft" activeCell="F62" sqref="F62"/>
    </sheetView>
  </sheetViews>
  <sheetFormatPr baseColWidth="10" defaultColWidth="11.5703125" defaultRowHeight="16"/>
  <cols>
    <col min="1" max="1" width="12" bestFit="1" customWidth="1"/>
    <col min="2" max="2" width="19" bestFit="1" customWidth="1"/>
    <col min="3" max="3" width="14.7109375" bestFit="1" customWidth="1"/>
    <col min="4" max="4" width="13.85546875" bestFit="1" customWidth="1"/>
    <col min="5" max="5" width="12" bestFit="1" customWidth="1"/>
    <col min="6" max="6" width="14.42578125" bestFit="1" customWidth="1"/>
    <col min="7" max="7" width="9.7109375" bestFit="1" customWidth="1"/>
    <col min="8" max="8" width="5" bestFit="1" customWidth="1"/>
    <col min="9" max="10" width="7.42578125" bestFit="1" customWidth="1"/>
    <col min="11" max="11" width="10.5703125" bestFit="1" customWidth="1"/>
  </cols>
  <sheetData>
    <row r="1" spans="1:11" s="12" customFormat="1">
      <c r="A1" s="12" t="s">
        <v>224</v>
      </c>
      <c r="B1" s="12" t="s">
        <v>225</v>
      </c>
      <c r="C1" s="12" t="s">
        <v>226</v>
      </c>
      <c r="D1" s="12" t="s">
        <v>227</v>
      </c>
      <c r="E1" s="12" t="s">
        <v>228</v>
      </c>
      <c r="F1" s="12" t="s">
        <v>229</v>
      </c>
      <c r="G1" s="12" t="s">
        <v>230</v>
      </c>
      <c r="H1" s="12" t="s">
        <v>231</v>
      </c>
      <c r="I1" s="12" t="s">
        <v>232</v>
      </c>
      <c r="J1" s="12" t="s">
        <v>233</v>
      </c>
      <c r="K1" s="12" t="s">
        <v>234</v>
      </c>
    </row>
    <row r="2" spans="1:11">
      <c r="A2" s="146">
        <v>45720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</row>
    <row r="3" spans="1:11" ht="18">
      <c r="A3" s="77" t="s">
        <v>235</v>
      </c>
      <c r="B3" s="143" t="s">
        <v>143</v>
      </c>
      <c r="C3" s="77" t="s">
        <v>236</v>
      </c>
      <c r="D3" s="78"/>
      <c r="E3" s="78"/>
      <c r="F3" s="77" t="s">
        <v>237</v>
      </c>
      <c r="G3" s="77" t="s">
        <v>238</v>
      </c>
      <c r="H3" s="77">
        <v>0</v>
      </c>
      <c r="I3" s="79">
        <v>220</v>
      </c>
      <c r="J3" s="79">
        <v>477</v>
      </c>
      <c r="K3" s="79">
        <v>0</v>
      </c>
    </row>
    <row r="4" spans="1:11">
      <c r="A4" s="77" t="s">
        <v>239</v>
      </c>
      <c r="B4" s="77" t="s">
        <v>176</v>
      </c>
      <c r="C4" s="77" t="s">
        <v>236</v>
      </c>
      <c r="D4" s="77" t="s">
        <v>240</v>
      </c>
      <c r="E4" s="78"/>
      <c r="F4" s="77" t="s">
        <v>241</v>
      </c>
      <c r="G4" s="77" t="s">
        <v>233</v>
      </c>
      <c r="H4" s="77">
        <v>0</v>
      </c>
      <c r="I4" s="79">
        <v>130</v>
      </c>
      <c r="J4" s="79">
        <v>141</v>
      </c>
      <c r="K4" s="79">
        <v>0</v>
      </c>
    </row>
    <row r="5" spans="1:11">
      <c r="A5" s="77" t="s">
        <v>239</v>
      </c>
      <c r="B5" s="77" t="s">
        <v>42</v>
      </c>
      <c r="C5" s="77" t="s">
        <v>236</v>
      </c>
      <c r="D5" s="77" t="s">
        <v>240</v>
      </c>
      <c r="E5" s="78"/>
      <c r="F5" s="77" t="s">
        <v>241</v>
      </c>
      <c r="G5" s="77" t="s">
        <v>238</v>
      </c>
      <c r="H5" s="77">
        <v>0</v>
      </c>
      <c r="I5" s="79">
        <v>200</v>
      </c>
      <c r="J5" s="79">
        <v>433</v>
      </c>
      <c r="K5" s="79">
        <v>0</v>
      </c>
    </row>
    <row r="6" spans="1:11">
      <c r="A6" s="77" t="s">
        <v>242</v>
      </c>
      <c r="B6" s="77" t="s">
        <v>139</v>
      </c>
      <c r="C6" s="77" t="s">
        <v>236</v>
      </c>
      <c r="D6" s="77" t="s">
        <v>243</v>
      </c>
      <c r="E6" s="78"/>
      <c r="F6" s="77" t="s">
        <v>244</v>
      </c>
      <c r="G6" s="77" t="s">
        <v>233</v>
      </c>
      <c r="H6" s="77">
        <v>0</v>
      </c>
      <c r="I6" s="79">
        <v>200</v>
      </c>
      <c r="J6" s="79">
        <v>217</v>
      </c>
      <c r="K6" s="79">
        <v>0</v>
      </c>
    </row>
    <row r="7" spans="1:11">
      <c r="A7" s="77" t="s">
        <v>245</v>
      </c>
      <c r="B7" s="77" t="s">
        <v>102</v>
      </c>
      <c r="C7" s="77" t="s">
        <v>236</v>
      </c>
      <c r="D7" s="78"/>
      <c r="E7" s="78"/>
      <c r="F7" s="77" t="s">
        <v>237</v>
      </c>
      <c r="G7" s="77" t="s">
        <v>246</v>
      </c>
      <c r="H7" s="77">
        <v>0</v>
      </c>
      <c r="I7" s="79">
        <v>240</v>
      </c>
      <c r="J7" s="79">
        <v>1040</v>
      </c>
      <c r="K7" s="79">
        <v>0</v>
      </c>
    </row>
    <row r="8" spans="1:11">
      <c r="A8" s="77" t="s">
        <v>247</v>
      </c>
      <c r="B8" s="77" t="s">
        <v>167</v>
      </c>
      <c r="C8" s="77" t="s">
        <v>236</v>
      </c>
      <c r="D8" s="77" t="s">
        <v>243</v>
      </c>
      <c r="E8" s="77" t="s">
        <v>248</v>
      </c>
      <c r="F8" s="77" t="s">
        <v>249</v>
      </c>
      <c r="G8" s="77" t="s">
        <v>233</v>
      </c>
      <c r="H8" s="77">
        <v>1</v>
      </c>
      <c r="I8" s="79">
        <v>200</v>
      </c>
      <c r="J8" s="79">
        <v>217</v>
      </c>
      <c r="K8" s="79">
        <v>200</v>
      </c>
    </row>
    <row r="9" spans="1:11">
      <c r="A9" s="77" t="s">
        <v>250</v>
      </c>
      <c r="B9" s="77" t="s">
        <v>48</v>
      </c>
      <c r="C9" s="77" t="s">
        <v>236</v>
      </c>
      <c r="D9" s="78"/>
      <c r="E9" s="78"/>
      <c r="F9" s="77" t="s">
        <v>251</v>
      </c>
      <c r="G9" s="77" t="s">
        <v>238</v>
      </c>
      <c r="H9" s="77">
        <v>0</v>
      </c>
      <c r="I9" s="79">
        <v>215</v>
      </c>
      <c r="J9" s="79">
        <v>466</v>
      </c>
      <c r="K9" s="79">
        <v>0</v>
      </c>
    </row>
    <row r="10" spans="1:11">
      <c r="A10" s="77" t="s">
        <v>250</v>
      </c>
      <c r="B10" s="77" t="s">
        <v>132</v>
      </c>
      <c r="C10" s="77" t="s">
        <v>236</v>
      </c>
      <c r="D10" s="77" t="s">
        <v>243</v>
      </c>
      <c r="E10" s="77" t="s">
        <v>247</v>
      </c>
      <c r="F10" s="77" t="s">
        <v>252</v>
      </c>
      <c r="G10" s="77" t="s">
        <v>238</v>
      </c>
      <c r="H10" s="77">
        <v>1</v>
      </c>
      <c r="I10" s="79">
        <v>220</v>
      </c>
      <c r="J10" s="79">
        <v>477</v>
      </c>
      <c r="K10" s="79">
        <v>220</v>
      </c>
    </row>
    <row r="11" spans="1:11">
      <c r="A11" s="77" t="s">
        <v>250</v>
      </c>
      <c r="B11" s="77" t="s">
        <v>110</v>
      </c>
      <c r="C11" s="77" t="s">
        <v>236</v>
      </c>
      <c r="D11" s="78"/>
      <c r="E11" s="78"/>
      <c r="F11" s="77" t="s">
        <v>253</v>
      </c>
      <c r="G11" s="77" t="s">
        <v>233</v>
      </c>
      <c r="H11" s="77">
        <v>0</v>
      </c>
      <c r="I11" s="79">
        <v>250</v>
      </c>
      <c r="J11" s="79">
        <v>271</v>
      </c>
      <c r="K11" s="79">
        <v>0</v>
      </c>
    </row>
    <row r="12" spans="1:11">
      <c r="A12" s="77" t="s">
        <v>250</v>
      </c>
      <c r="B12" s="77" t="s">
        <v>27</v>
      </c>
      <c r="C12" s="77" t="s">
        <v>236</v>
      </c>
      <c r="D12" s="77" t="s">
        <v>254</v>
      </c>
      <c r="E12" s="77" t="s">
        <v>248</v>
      </c>
      <c r="F12" s="77" t="s">
        <v>251</v>
      </c>
      <c r="G12" s="77" t="s">
        <v>246</v>
      </c>
      <c r="H12" s="77">
        <v>1</v>
      </c>
      <c r="I12" s="79">
        <v>240</v>
      </c>
      <c r="J12" s="79">
        <v>1040</v>
      </c>
      <c r="K12" s="79">
        <v>240</v>
      </c>
    </row>
    <row r="13" spans="1:11">
      <c r="A13" s="77" t="s">
        <v>255</v>
      </c>
      <c r="B13" s="77" t="s">
        <v>153</v>
      </c>
      <c r="C13" s="77" t="s">
        <v>236</v>
      </c>
      <c r="D13" s="77" t="s">
        <v>240</v>
      </c>
      <c r="E13" s="78"/>
      <c r="F13" s="77" t="s">
        <v>244</v>
      </c>
      <c r="G13" s="77" t="s">
        <v>246</v>
      </c>
      <c r="H13" s="77">
        <v>0</v>
      </c>
      <c r="I13" s="79">
        <v>150</v>
      </c>
      <c r="J13" s="79">
        <v>650</v>
      </c>
      <c r="K13" s="79">
        <v>0</v>
      </c>
    </row>
    <row r="14" spans="1:11">
      <c r="A14" s="77" t="s">
        <v>256</v>
      </c>
      <c r="B14" s="77" t="s">
        <v>54</v>
      </c>
      <c r="C14" s="77" t="s">
        <v>236</v>
      </c>
      <c r="D14" s="78"/>
      <c r="E14" s="78"/>
      <c r="F14" s="77" t="s">
        <v>257</v>
      </c>
      <c r="G14" s="77" t="s">
        <v>238</v>
      </c>
      <c r="H14" s="77">
        <v>0</v>
      </c>
      <c r="I14" s="79">
        <v>200</v>
      </c>
      <c r="J14" s="79">
        <v>433</v>
      </c>
      <c r="K14" s="79">
        <v>0</v>
      </c>
    </row>
    <row r="15" spans="1:11">
      <c r="A15" s="77" t="s">
        <v>258</v>
      </c>
      <c r="B15" s="77" t="s">
        <v>111</v>
      </c>
      <c r="C15" s="77" t="s">
        <v>236</v>
      </c>
      <c r="D15" s="77" t="s">
        <v>243</v>
      </c>
      <c r="E15" s="77" t="s">
        <v>259</v>
      </c>
      <c r="F15" s="77" t="s">
        <v>251</v>
      </c>
      <c r="G15" s="77" t="s">
        <v>238</v>
      </c>
      <c r="H15" s="77">
        <v>1</v>
      </c>
      <c r="I15" s="79">
        <v>220</v>
      </c>
      <c r="J15" s="79">
        <v>477</v>
      </c>
      <c r="K15" s="79">
        <v>220</v>
      </c>
    </row>
    <row r="16" spans="1:11">
      <c r="A16" s="77" t="s">
        <v>258</v>
      </c>
      <c r="B16" s="77" t="s">
        <v>177</v>
      </c>
      <c r="C16" s="77" t="s">
        <v>236</v>
      </c>
      <c r="D16" s="77" t="s">
        <v>243</v>
      </c>
      <c r="E16" s="77" t="s">
        <v>245</v>
      </c>
      <c r="F16" s="77" t="s">
        <v>260</v>
      </c>
      <c r="G16" s="77" t="s">
        <v>261</v>
      </c>
      <c r="H16" s="77">
        <v>1</v>
      </c>
      <c r="I16" s="79">
        <v>200</v>
      </c>
      <c r="J16" s="79">
        <v>289</v>
      </c>
      <c r="K16" s="79">
        <v>200</v>
      </c>
    </row>
    <row r="17" spans="1:11">
      <c r="A17" s="77" t="s">
        <v>258</v>
      </c>
      <c r="B17" s="77" t="s">
        <v>173</v>
      </c>
      <c r="C17" s="77" t="s">
        <v>236</v>
      </c>
      <c r="D17" s="78"/>
      <c r="E17" s="78"/>
      <c r="F17" s="77" t="s">
        <v>237</v>
      </c>
      <c r="G17" s="77" t="s">
        <v>233</v>
      </c>
      <c r="H17" s="77">
        <v>0</v>
      </c>
      <c r="I17" s="79">
        <v>240</v>
      </c>
      <c r="J17" s="79">
        <v>260</v>
      </c>
      <c r="K17" s="79">
        <v>0</v>
      </c>
    </row>
    <row r="18" spans="1:11">
      <c r="A18" s="77" t="s">
        <v>258</v>
      </c>
      <c r="B18" s="77" t="s">
        <v>156</v>
      </c>
      <c r="C18" s="77" t="s">
        <v>236</v>
      </c>
      <c r="D18" s="78"/>
      <c r="E18" s="78"/>
      <c r="F18" s="77" t="s">
        <v>262</v>
      </c>
      <c r="G18" s="77" t="s">
        <v>233</v>
      </c>
      <c r="H18" s="77">
        <v>0</v>
      </c>
      <c r="I18" s="79">
        <v>215</v>
      </c>
      <c r="J18" s="79">
        <v>233</v>
      </c>
      <c r="K18" s="79">
        <v>0</v>
      </c>
    </row>
    <row r="19" spans="1:11">
      <c r="A19" s="77" t="s">
        <v>263</v>
      </c>
      <c r="B19" s="77" t="s">
        <v>38</v>
      </c>
      <c r="C19" s="77" t="s">
        <v>236</v>
      </c>
      <c r="D19" s="77" t="s">
        <v>240</v>
      </c>
      <c r="E19" s="77" t="s">
        <v>255</v>
      </c>
      <c r="F19" s="77" t="s">
        <v>251</v>
      </c>
      <c r="G19" s="77" t="s">
        <v>238</v>
      </c>
      <c r="H19" s="77">
        <v>2</v>
      </c>
      <c r="I19" s="79">
        <v>200</v>
      </c>
      <c r="J19" s="79">
        <v>433</v>
      </c>
      <c r="K19" s="79">
        <v>400</v>
      </c>
    </row>
    <row r="20" spans="1:11">
      <c r="A20" s="77" t="s">
        <v>263</v>
      </c>
      <c r="B20" s="77" t="s">
        <v>39</v>
      </c>
      <c r="C20" s="77" t="s">
        <v>236</v>
      </c>
      <c r="D20" s="78"/>
      <c r="E20" s="77" t="s">
        <v>264</v>
      </c>
      <c r="F20" s="77" t="s">
        <v>251</v>
      </c>
      <c r="G20" s="77" t="s">
        <v>238</v>
      </c>
      <c r="H20" s="77">
        <v>1</v>
      </c>
      <c r="I20" s="79">
        <v>200</v>
      </c>
      <c r="J20" s="79">
        <v>433</v>
      </c>
      <c r="K20" s="79">
        <v>200</v>
      </c>
    </row>
    <row r="21" spans="1:11">
      <c r="A21" s="77" t="s">
        <v>265</v>
      </c>
      <c r="B21" s="77" t="s">
        <v>31</v>
      </c>
      <c r="C21" s="77" t="s">
        <v>236</v>
      </c>
      <c r="D21" s="77" t="s">
        <v>243</v>
      </c>
      <c r="E21" s="77" t="s">
        <v>258</v>
      </c>
      <c r="F21" s="77" t="s">
        <v>266</v>
      </c>
      <c r="G21" s="77" t="s">
        <v>238</v>
      </c>
      <c r="H21" s="77">
        <v>1</v>
      </c>
      <c r="I21" s="79">
        <v>220</v>
      </c>
      <c r="J21" s="79">
        <v>477</v>
      </c>
      <c r="K21" s="79">
        <v>220</v>
      </c>
    </row>
    <row r="22" spans="1:11">
      <c r="A22" s="77" t="s">
        <v>265</v>
      </c>
      <c r="B22" s="77" t="s">
        <v>19</v>
      </c>
      <c r="C22" s="77" t="s">
        <v>236</v>
      </c>
      <c r="D22" s="78"/>
      <c r="E22" s="77" t="s">
        <v>235</v>
      </c>
      <c r="F22" s="77" t="s">
        <v>260</v>
      </c>
      <c r="G22" s="77" t="s">
        <v>238</v>
      </c>
      <c r="H22" s="77">
        <v>2</v>
      </c>
      <c r="I22" s="79">
        <v>250</v>
      </c>
      <c r="J22" s="79">
        <v>542</v>
      </c>
      <c r="K22" s="79">
        <v>500</v>
      </c>
    </row>
    <row r="23" spans="1:11">
      <c r="A23" s="77" t="s">
        <v>267</v>
      </c>
      <c r="B23" s="77" t="s">
        <v>34</v>
      </c>
      <c r="C23" s="77" t="s">
        <v>236</v>
      </c>
      <c r="D23" s="77" t="s">
        <v>243</v>
      </c>
      <c r="E23" s="77" t="s">
        <v>268</v>
      </c>
      <c r="F23" s="77" t="s">
        <v>244</v>
      </c>
      <c r="G23" s="77" t="s">
        <v>238</v>
      </c>
      <c r="H23" s="77">
        <v>1</v>
      </c>
      <c r="I23" s="79">
        <v>250</v>
      </c>
      <c r="J23" s="79">
        <v>542</v>
      </c>
      <c r="K23" s="79">
        <v>250</v>
      </c>
    </row>
    <row r="24" spans="1:11">
      <c r="A24" s="77" t="s">
        <v>267</v>
      </c>
      <c r="B24" s="77" t="s">
        <v>123</v>
      </c>
      <c r="C24" s="77" t="s">
        <v>236</v>
      </c>
      <c r="D24" s="77" t="s">
        <v>254</v>
      </c>
      <c r="E24" s="77" t="s">
        <v>255</v>
      </c>
      <c r="F24" s="77" t="s">
        <v>251</v>
      </c>
      <c r="G24" s="77" t="s">
        <v>238</v>
      </c>
      <c r="H24" s="77">
        <v>2</v>
      </c>
      <c r="I24" s="79">
        <v>220</v>
      </c>
      <c r="J24" s="79">
        <v>477</v>
      </c>
      <c r="K24" s="79">
        <v>440</v>
      </c>
    </row>
    <row r="25" spans="1:11">
      <c r="A25" s="77" t="s">
        <v>267</v>
      </c>
      <c r="B25" s="77" t="s">
        <v>56</v>
      </c>
      <c r="C25" s="77" t="s">
        <v>236</v>
      </c>
      <c r="D25" s="78"/>
      <c r="E25" s="77" t="s">
        <v>263</v>
      </c>
      <c r="F25" s="77" t="s">
        <v>269</v>
      </c>
      <c r="G25" s="77" t="s">
        <v>233</v>
      </c>
      <c r="H25" s="77">
        <v>1</v>
      </c>
      <c r="I25" s="79">
        <v>220</v>
      </c>
      <c r="J25" s="79">
        <v>238</v>
      </c>
      <c r="K25" s="79">
        <v>220</v>
      </c>
    </row>
    <row r="26" spans="1:11">
      <c r="A26" s="77" t="s">
        <v>267</v>
      </c>
      <c r="B26" s="77" t="s">
        <v>270</v>
      </c>
      <c r="C26" s="77" t="s">
        <v>236</v>
      </c>
      <c r="D26" s="77" t="s">
        <v>243</v>
      </c>
      <c r="E26" s="77" t="s">
        <v>271</v>
      </c>
      <c r="F26" s="77" t="s">
        <v>269</v>
      </c>
      <c r="G26" s="77" t="s">
        <v>238</v>
      </c>
      <c r="H26" s="77">
        <v>1</v>
      </c>
      <c r="I26" s="79">
        <v>200</v>
      </c>
      <c r="J26" s="79">
        <v>433</v>
      </c>
      <c r="K26" s="79">
        <v>200</v>
      </c>
    </row>
    <row r="27" spans="1:11">
      <c r="A27" s="77" t="s">
        <v>272</v>
      </c>
      <c r="B27" s="77" t="s">
        <v>22</v>
      </c>
      <c r="C27" s="77" t="s">
        <v>236</v>
      </c>
      <c r="D27" s="77" t="s">
        <v>240</v>
      </c>
      <c r="E27" s="77" t="s">
        <v>250</v>
      </c>
      <c r="F27" s="77" t="s">
        <v>266</v>
      </c>
      <c r="G27" s="77" t="s">
        <v>238</v>
      </c>
      <c r="H27" s="77">
        <v>2</v>
      </c>
      <c r="I27" s="79">
        <v>380</v>
      </c>
      <c r="J27" s="79">
        <v>823</v>
      </c>
      <c r="K27" s="79">
        <v>760</v>
      </c>
    </row>
    <row r="28" spans="1:11">
      <c r="A28" s="77" t="s">
        <v>273</v>
      </c>
      <c r="B28" s="77" t="s">
        <v>171</v>
      </c>
      <c r="C28" s="77" t="s">
        <v>236</v>
      </c>
      <c r="D28" s="77" t="s">
        <v>243</v>
      </c>
      <c r="E28" s="77" t="s">
        <v>250</v>
      </c>
      <c r="F28" s="77" t="s">
        <v>241</v>
      </c>
      <c r="G28" s="77" t="s">
        <v>238</v>
      </c>
      <c r="H28" s="77">
        <v>2</v>
      </c>
      <c r="I28" s="79">
        <v>220</v>
      </c>
      <c r="J28" s="79">
        <v>477</v>
      </c>
      <c r="K28" s="79">
        <v>440</v>
      </c>
    </row>
    <row r="29" spans="1:11">
      <c r="A29" s="77" t="s">
        <v>274</v>
      </c>
      <c r="B29" s="77" t="s">
        <v>180</v>
      </c>
      <c r="C29" s="77" t="s">
        <v>236</v>
      </c>
      <c r="D29" s="77" t="s">
        <v>243</v>
      </c>
      <c r="E29" s="77" t="s">
        <v>250</v>
      </c>
      <c r="F29" s="77" t="s">
        <v>275</v>
      </c>
      <c r="G29" s="77" t="s">
        <v>233</v>
      </c>
      <c r="H29" s="77">
        <v>1</v>
      </c>
      <c r="I29" s="79">
        <v>200</v>
      </c>
      <c r="J29" s="79">
        <v>217</v>
      </c>
      <c r="K29" s="79">
        <v>200</v>
      </c>
    </row>
    <row r="30" spans="1:11">
      <c r="A30" s="77" t="s">
        <v>274</v>
      </c>
      <c r="B30" s="77" t="s">
        <v>174</v>
      </c>
      <c r="C30" s="77" t="s">
        <v>236</v>
      </c>
      <c r="D30" s="77" t="s">
        <v>240</v>
      </c>
      <c r="E30" s="77" t="s">
        <v>248</v>
      </c>
      <c r="F30" s="77" t="s">
        <v>276</v>
      </c>
      <c r="G30" s="77" t="s">
        <v>238</v>
      </c>
      <c r="H30" s="77">
        <v>3</v>
      </c>
      <c r="I30" s="79">
        <v>220</v>
      </c>
      <c r="J30" s="79">
        <v>477</v>
      </c>
      <c r="K30" s="79">
        <v>660</v>
      </c>
    </row>
    <row r="31" spans="1:11">
      <c r="A31" s="77" t="s">
        <v>274</v>
      </c>
      <c r="B31" s="77" t="s">
        <v>277</v>
      </c>
      <c r="C31" s="77" t="s">
        <v>236</v>
      </c>
      <c r="D31" s="77" t="s">
        <v>243</v>
      </c>
      <c r="E31" s="77" t="s">
        <v>255</v>
      </c>
      <c r="F31" s="77" t="s">
        <v>251</v>
      </c>
      <c r="G31" s="77" t="s">
        <v>238</v>
      </c>
      <c r="H31" s="77">
        <v>2</v>
      </c>
      <c r="I31" s="79">
        <v>195</v>
      </c>
      <c r="J31" s="79">
        <v>423</v>
      </c>
      <c r="K31" s="79">
        <v>390</v>
      </c>
    </row>
    <row r="32" spans="1:11">
      <c r="A32" s="77" t="s">
        <v>278</v>
      </c>
      <c r="B32" s="77" t="s">
        <v>109</v>
      </c>
      <c r="C32" s="77" t="s">
        <v>236</v>
      </c>
      <c r="D32" s="77" t="s">
        <v>240</v>
      </c>
      <c r="E32" s="77" t="s">
        <v>256</v>
      </c>
      <c r="F32" s="77" t="s">
        <v>279</v>
      </c>
      <c r="G32" s="77" t="s">
        <v>233</v>
      </c>
      <c r="H32" s="77">
        <v>2</v>
      </c>
      <c r="I32" s="79">
        <v>200</v>
      </c>
      <c r="J32" s="79">
        <v>217</v>
      </c>
      <c r="K32" s="79">
        <v>400</v>
      </c>
    </row>
    <row r="33" spans="1:11">
      <c r="A33" s="77" t="s">
        <v>278</v>
      </c>
      <c r="B33" s="77" t="s">
        <v>130</v>
      </c>
      <c r="C33" s="77" t="s">
        <v>236</v>
      </c>
      <c r="D33" s="77" t="s">
        <v>243</v>
      </c>
      <c r="E33" s="77" t="s">
        <v>256</v>
      </c>
      <c r="F33" s="77" t="s">
        <v>253</v>
      </c>
      <c r="G33" s="77" t="s">
        <v>233</v>
      </c>
      <c r="H33" s="77">
        <v>1</v>
      </c>
      <c r="I33" s="79">
        <v>220</v>
      </c>
      <c r="J33" s="79">
        <v>238</v>
      </c>
      <c r="K33" s="79">
        <v>220</v>
      </c>
    </row>
    <row r="34" spans="1:11">
      <c r="A34" s="77" t="s">
        <v>280</v>
      </c>
      <c r="B34" s="77" t="s">
        <v>135</v>
      </c>
      <c r="C34" s="77" t="s">
        <v>236</v>
      </c>
      <c r="D34" s="77" t="s">
        <v>240</v>
      </c>
      <c r="E34" s="77" t="s">
        <v>247</v>
      </c>
      <c r="F34" s="77" t="s">
        <v>252</v>
      </c>
      <c r="G34" s="77" t="s">
        <v>238</v>
      </c>
      <c r="H34" s="77">
        <v>3</v>
      </c>
      <c r="I34" s="79">
        <v>220</v>
      </c>
      <c r="J34" s="79">
        <v>477</v>
      </c>
      <c r="K34" s="79">
        <v>660</v>
      </c>
    </row>
    <row r="35" spans="1:11">
      <c r="A35" s="77" t="s">
        <v>280</v>
      </c>
      <c r="B35" s="77" t="s">
        <v>120</v>
      </c>
      <c r="C35" s="77" t="s">
        <v>236</v>
      </c>
      <c r="D35" s="77" t="s">
        <v>240</v>
      </c>
      <c r="E35" s="77" t="s">
        <v>235</v>
      </c>
      <c r="F35" s="77" t="s">
        <v>260</v>
      </c>
      <c r="G35" s="77" t="s">
        <v>238</v>
      </c>
      <c r="H35" s="77">
        <v>3</v>
      </c>
      <c r="I35" s="79">
        <v>230</v>
      </c>
      <c r="J35" s="79">
        <v>498</v>
      </c>
      <c r="K35" s="79">
        <v>690</v>
      </c>
    </row>
    <row r="36" spans="1:11">
      <c r="A36" s="77" t="s">
        <v>281</v>
      </c>
      <c r="B36" s="77" t="s">
        <v>95</v>
      </c>
      <c r="C36" s="77" t="s">
        <v>236</v>
      </c>
      <c r="D36" s="77" t="s">
        <v>243</v>
      </c>
      <c r="E36" s="77" t="s">
        <v>258</v>
      </c>
      <c r="F36" s="77" t="s">
        <v>266</v>
      </c>
      <c r="G36" s="77" t="s">
        <v>238</v>
      </c>
      <c r="H36" s="77">
        <v>2</v>
      </c>
      <c r="I36" s="79">
        <v>210</v>
      </c>
      <c r="J36" s="79">
        <v>455</v>
      </c>
      <c r="K36" s="79">
        <v>420</v>
      </c>
    </row>
    <row r="37" spans="1:11">
      <c r="A37" s="77" t="s">
        <v>282</v>
      </c>
      <c r="B37" s="77" t="s">
        <v>108</v>
      </c>
      <c r="C37" s="77" t="s">
        <v>236</v>
      </c>
      <c r="D37" s="78"/>
      <c r="E37" s="77" t="s">
        <v>239</v>
      </c>
      <c r="F37" s="77" t="s">
        <v>279</v>
      </c>
      <c r="G37" s="77" t="s">
        <v>238</v>
      </c>
      <c r="H37" s="77">
        <v>4</v>
      </c>
      <c r="I37" s="79">
        <v>200</v>
      </c>
      <c r="J37" s="79">
        <v>433</v>
      </c>
      <c r="K37" s="79">
        <v>800</v>
      </c>
    </row>
    <row r="38" spans="1:11">
      <c r="A38" s="77" t="s">
        <v>283</v>
      </c>
      <c r="B38" s="77" t="s">
        <v>112</v>
      </c>
      <c r="C38" s="77" t="s">
        <v>236</v>
      </c>
      <c r="D38" s="77" t="s">
        <v>254</v>
      </c>
      <c r="E38" s="77" t="s">
        <v>284</v>
      </c>
      <c r="F38" s="77" t="s">
        <v>251</v>
      </c>
      <c r="G38" s="77" t="s">
        <v>238</v>
      </c>
      <c r="H38" s="77">
        <v>2</v>
      </c>
      <c r="I38" s="79">
        <v>200</v>
      </c>
      <c r="J38" s="79">
        <v>433</v>
      </c>
      <c r="K38" s="79">
        <v>400</v>
      </c>
    </row>
    <row r="39" spans="1:11">
      <c r="A39" s="77" t="s">
        <v>283</v>
      </c>
      <c r="B39" s="77" t="s">
        <v>175</v>
      </c>
      <c r="C39" s="77" t="s">
        <v>236</v>
      </c>
      <c r="D39" s="77" t="s">
        <v>240</v>
      </c>
      <c r="E39" s="77" t="s">
        <v>258</v>
      </c>
      <c r="F39" s="77" t="s">
        <v>266</v>
      </c>
      <c r="G39" s="77" t="s">
        <v>238</v>
      </c>
      <c r="H39" s="77">
        <v>2</v>
      </c>
      <c r="I39" s="79">
        <v>275</v>
      </c>
      <c r="J39" s="79">
        <v>596</v>
      </c>
      <c r="K39" s="79">
        <v>550</v>
      </c>
    </row>
    <row r="40" spans="1:11">
      <c r="A40" s="77" t="s">
        <v>285</v>
      </c>
      <c r="B40" s="77" t="s">
        <v>45</v>
      </c>
      <c r="C40" s="77" t="s">
        <v>236</v>
      </c>
      <c r="D40" s="77" t="s">
        <v>243</v>
      </c>
      <c r="E40" s="77" t="s">
        <v>245</v>
      </c>
      <c r="F40" s="77" t="s">
        <v>266</v>
      </c>
      <c r="G40" s="77" t="s">
        <v>246</v>
      </c>
      <c r="H40" s="77">
        <v>5</v>
      </c>
      <c r="I40" s="79">
        <v>275</v>
      </c>
      <c r="J40" s="79">
        <v>1192</v>
      </c>
      <c r="K40" s="79">
        <v>1375</v>
      </c>
    </row>
    <row r="41" spans="1:11">
      <c r="A41" s="77" t="s">
        <v>285</v>
      </c>
      <c r="B41" s="77" t="s">
        <v>50</v>
      </c>
      <c r="C41" s="77" t="s">
        <v>236</v>
      </c>
      <c r="D41" s="77" t="s">
        <v>243</v>
      </c>
      <c r="E41" s="77" t="s">
        <v>239</v>
      </c>
      <c r="F41" s="77" t="s">
        <v>286</v>
      </c>
      <c r="G41" s="77" t="s">
        <v>238</v>
      </c>
      <c r="H41" s="77">
        <v>4</v>
      </c>
      <c r="I41" s="79">
        <v>250</v>
      </c>
      <c r="J41" s="79">
        <v>542</v>
      </c>
      <c r="K41" s="79">
        <v>1000</v>
      </c>
    </row>
    <row r="42" spans="1:11">
      <c r="A42" s="77" t="s">
        <v>285</v>
      </c>
      <c r="B42" s="77" t="s">
        <v>49</v>
      </c>
      <c r="C42" s="77" t="s">
        <v>236</v>
      </c>
      <c r="D42" s="77" t="s">
        <v>243</v>
      </c>
      <c r="E42" s="77" t="s">
        <v>239</v>
      </c>
      <c r="F42" s="77" t="s">
        <v>286</v>
      </c>
      <c r="G42" s="77" t="s">
        <v>238</v>
      </c>
      <c r="H42" s="77">
        <v>4</v>
      </c>
      <c r="I42" s="79">
        <v>240</v>
      </c>
      <c r="J42" s="79">
        <v>520</v>
      </c>
      <c r="K42" s="79">
        <v>960</v>
      </c>
    </row>
    <row r="43" spans="1:11">
      <c r="A43" s="77" t="s">
        <v>287</v>
      </c>
      <c r="B43" s="77" t="s">
        <v>288</v>
      </c>
      <c r="C43" s="77" t="s">
        <v>236</v>
      </c>
      <c r="D43" s="77" t="s">
        <v>243</v>
      </c>
      <c r="E43" s="77" t="s">
        <v>289</v>
      </c>
      <c r="F43" s="77" t="s">
        <v>257</v>
      </c>
      <c r="G43" s="77" t="s">
        <v>246</v>
      </c>
      <c r="H43" s="77">
        <v>3</v>
      </c>
      <c r="I43" s="79">
        <v>250</v>
      </c>
      <c r="J43" s="79">
        <v>1083</v>
      </c>
      <c r="K43" s="79">
        <v>750</v>
      </c>
    </row>
    <row r="44" spans="1:11">
      <c r="A44" s="77" t="s">
        <v>290</v>
      </c>
      <c r="B44" s="77" t="s">
        <v>178</v>
      </c>
      <c r="C44" s="77" t="s">
        <v>236</v>
      </c>
      <c r="D44" s="77" t="s">
        <v>243</v>
      </c>
      <c r="E44" s="77" t="s">
        <v>291</v>
      </c>
      <c r="F44" s="77" t="s">
        <v>241</v>
      </c>
      <c r="G44" s="77" t="s">
        <v>233</v>
      </c>
      <c r="H44" s="77">
        <v>2</v>
      </c>
      <c r="I44" s="79">
        <v>295</v>
      </c>
      <c r="J44" s="79">
        <v>320</v>
      </c>
      <c r="K44" s="79">
        <v>590</v>
      </c>
    </row>
    <row r="45" spans="1:11">
      <c r="A45" s="77" t="s">
        <v>290</v>
      </c>
      <c r="B45" s="77" t="s">
        <v>134</v>
      </c>
      <c r="C45" s="77" t="s">
        <v>236</v>
      </c>
      <c r="D45" s="77" t="s">
        <v>240</v>
      </c>
      <c r="E45" s="77" t="s">
        <v>247</v>
      </c>
      <c r="F45" s="77" t="s">
        <v>252</v>
      </c>
      <c r="G45" s="77" t="s">
        <v>238</v>
      </c>
      <c r="H45" s="77">
        <v>4</v>
      </c>
      <c r="I45" s="79">
        <v>220</v>
      </c>
      <c r="J45" s="79">
        <v>477</v>
      </c>
      <c r="K45" s="79">
        <v>880</v>
      </c>
    </row>
    <row r="46" spans="1:11">
      <c r="A46" s="77" t="s">
        <v>292</v>
      </c>
      <c r="B46" s="77" t="s">
        <v>129</v>
      </c>
      <c r="C46" s="77" t="s">
        <v>236</v>
      </c>
      <c r="D46" s="78"/>
      <c r="E46" s="77" t="s">
        <v>293</v>
      </c>
      <c r="F46" s="77" t="s">
        <v>279</v>
      </c>
      <c r="G46" s="77" t="s">
        <v>233</v>
      </c>
      <c r="H46" s="77">
        <v>1</v>
      </c>
      <c r="I46" s="79">
        <v>200</v>
      </c>
      <c r="J46" s="79">
        <v>217</v>
      </c>
      <c r="K46" s="79">
        <v>200</v>
      </c>
    </row>
    <row r="47" spans="1:11">
      <c r="A47" s="77" t="s">
        <v>294</v>
      </c>
      <c r="B47" s="77" t="s">
        <v>140</v>
      </c>
      <c r="C47" s="77" t="s">
        <v>236</v>
      </c>
      <c r="D47" s="77" t="s">
        <v>243</v>
      </c>
      <c r="E47" s="77" t="s">
        <v>245</v>
      </c>
      <c r="F47" s="77" t="s">
        <v>269</v>
      </c>
      <c r="G47" s="77" t="s">
        <v>238</v>
      </c>
      <c r="H47" s="77">
        <v>4</v>
      </c>
      <c r="I47" s="79">
        <v>215</v>
      </c>
      <c r="J47" s="79">
        <v>466</v>
      </c>
      <c r="K47" s="79">
        <v>860</v>
      </c>
    </row>
    <row r="48" spans="1:11">
      <c r="A48" s="77" t="s">
        <v>295</v>
      </c>
      <c r="B48" s="77" t="s">
        <v>113</v>
      </c>
      <c r="C48" s="77" t="s">
        <v>236</v>
      </c>
      <c r="D48" s="77" t="s">
        <v>243</v>
      </c>
      <c r="E48" s="77" t="s">
        <v>248</v>
      </c>
      <c r="F48" s="77" t="s">
        <v>251</v>
      </c>
      <c r="G48" s="77" t="s">
        <v>246</v>
      </c>
      <c r="H48" s="77">
        <v>7</v>
      </c>
      <c r="I48" s="79">
        <v>230</v>
      </c>
      <c r="J48" s="79">
        <v>997</v>
      </c>
      <c r="K48" s="79">
        <v>1610</v>
      </c>
    </row>
    <row r="49" spans="1:11">
      <c r="A49" s="77" t="s">
        <v>296</v>
      </c>
      <c r="B49" s="77" t="s">
        <v>98</v>
      </c>
      <c r="C49" s="77" t="s">
        <v>236</v>
      </c>
      <c r="D49" s="77" t="s">
        <v>243</v>
      </c>
      <c r="E49" s="77" t="s">
        <v>259</v>
      </c>
      <c r="F49" s="77" t="s">
        <v>279</v>
      </c>
      <c r="G49" s="77" t="s">
        <v>261</v>
      </c>
      <c r="H49" s="77">
        <v>2</v>
      </c>
      <c r="I49" s="79">
        <v>250</v>
      </c>
      <c r="J49" s="79">
        <v>361</v>
      </c>
      <c r="K49" s="79">
        <v>500</v>
      </c>
    </row>
    <row r="50" spans="1:11">
      <c r="A50" s="77" t="s">
        <v>297</v>
      </c>
      <c r="B50" s="77" t="s">
        <v>148</v>
      </c>
      <c r="C50" s="77" t="s">
        <v>236</v>
      </c>
      <c r="D50" s="78"/>
      <c r="E50" s="77" t="s">
        <v>298</v>
      </c>
      <c r="F50" s="77" t="s">
        <v>276</v>
      </c>
      <c r="G50" s="77" t="s">
        <v>233</v>
      </c>
      <c r="H50" s="77">
        <v>2</v>
      </c>
      <c r="I50" s="79">
        <v>200</v>
      </c>
      <c r="J50" s="79">
        <v>217</v>
      </c>
      <c r="K50" s="79">
        <v>400</v>
      </c>
    </row>
    <row r="51" spans="1:11">
      <c r="A51" s="77" t="s">
        <v>297</v>
      </c>
      <c r="B51" s="77" t="s">
        <v>25</v>
      </c>
      <c r="C51" s="77" t="s">
        <v>236</v>
      </c>
      <c r="D51" s="77" t="s">
        <v>240</v>
      </c>
      <c r="E51" s="77" t="s">
        <v>259</v>
      </c>
      <c r="F51" s="77" t="s">
        <v>244</v>
      </c>
      <c r="G51" s="77" t="s">
        <v>246</v>
      </c>
      <c r="H51" s="77">
        <v>10</v>
      </c>
      <c r="I51" s="79">
        <v>220</v>
      </c>
      <c r="J51" s="79">
        <v>953</v>
      </c>
      <c r="K51" s="79">
        <v>2200</v>
      </c>
    </row>
    <row r="52" spans="1:11">
      <c r="A52" s="77" t="s">
        <v>299</v>
      </c>
      <c r="B52" s="77" t="s">
        <v>114</v>
      </c>
      <c r="C52" s="77" t="s">
        <v>236</v>
      </c>
      <c r="D52" s="77" t="s">
        <v>240</v>
      </c>
      <c r="E52" s="77" t="s">
        <v>255</v>
      </c>
      <c r="F52" s="77" t="s">
        <v>251</v>
      </c>
      <c r="G52" s="77" t="s">
        <v>238</v>
      </c>
      <c r="H52" s="77">
        <v>5</v>
      </c>
      <c r="I52" s="79">
        <v>220</v>
      </c>
      <c r="J52" s="79">
        <v>477</v>
      </c>
      <c r="K52" s="79">
        <v>1100</v>
      </c>
    </row>
    <row r="53" spans="1:11">
      <c r="A53" s="77" t="s">
        <v>300</v>
      </c>
      <c r="B53" s="77" t="s">
        <v>217</v>
      </c>
      <c r="C53" s="77" t="s">
        <v>236</v>
      </c>
      <c r="D53" s="77" t="s">
        <v>240</v>
      </c>
      <c r="E53" s="77" t="s">
        <v>292</v>
      </c>
      <c r="F53" s="77" t="s">
        <v>286</v>
      </c>
      <c r="G53" s="77" t="s">
        <v>238</v>
      </c>
      <c r="H53" s="77">
        <v>1</v>
      </c>
      <c r="I53" s="79">
        <v>250</v>
      </c>
      <c r="J53" s="79">
        <v>542</v>
      </c>
      <c r="K53" s="79">
        <v>250</v>
      </c>
    </row>
    <row r="54" spans="1:11">
      <c r="A54" s="77" t="s">
        <v>300</v>
      </c>
      <c r="B54" s="77" t="s">
        <v>104</v>
      </c>
      <c r="C54" s="77" t="s">
        <v>236</v>
      </c>
      <c r="D54" s="77" t="s">
        <v>243</v>
      </c>
      <c r="E54" s="77" t="s">
        <v>256</v>
      </c>
      <c r="F54" s="77" t="s">
        <v>244</v>
      </c>
      <c r="G54" s="77" t="s">
        <v>238</v>
      </c>
      <c r="H54" s="77">
        <v>3</v>
      </c>
      <c r="I54" s="79">
        <v>250</v>
      </c>
      <c r="J54" s="79">
        <v>282</v>
      </c>
      <c r="K54" s="79">
        <v>390</v>
      </c>
    </row>
    <row r="55" spans="1:11">
      <c r="A55" s="77" t="s">
        <v>301</v>
      </c>
      <c r="B55" s="77" t="s">
        <v>115</v>
      </c>
      <c r="C55" s="77" t="s">
        <v>236</v>
      </c>
      <c r="D55" s="77" t="s">
        <v>243</v>
      </c>
      <c r="E55" s="77" t="s">
        <v>247</v>
      </c>
      <c r="F55" s="77" t="s">
        <v>252</v>
      </c>
      <c r="G55" s="77" t="s">
        <v>238</v>
      </c>
      <c r="H55" s="77">
        <v>6</v>
      </c>
      <c r="I55" s="79">
        <v>230</v>
      </c>
      <c r="J55" s="79">
        <v>498</v>
      </c>
      <c r="K55" s="79">
        <v>1380</v>
      </c>
    </row>
    <row r="56" spans="1:11">
      <c r="A56" s="77" t="s">
        <v>302</v>
      </c>
      <c r="B56" s="77" t="s">
        <v>184</v>
      </c>
      <c r="C56" s="77" t="s">
        <v>236</v>
      </c>
      <c r="D56" s="78"/>
      <c r="E56" s="77" t="s">
        <v>273</v>
      </c>
      <c r="F56" s="77" t="s">
        <v>251</v>
      </c>
      <c r="G56" s="77" t="s">
        <v>261</v>
      </c>
      <c r="H56" s="77">
        <v>3</v>
      </c>
      <c r="I56" s="79">
        <v>200</v>
      </c>
      <c r="J56" s="79">
        <v>289</v>
      </c>
      <c r="K56" s="79">
        <v>600</v>
      </c>
    </row>
    <row r="57" spans="1:11">
      <c r="A57" s="77" t="s">
        <v>302</v>
      </c>
      <c r="B57" s="77" t="s">
        <v>47</v>
      </c>
      <c r="C57" s="77" t="s">
        <v>236</v>
      </c>
      <c r="D57" s="77" t="s">
        <v>243</v>
      </c>
      <c r="E57" s="77" t="s">
        <v>242</v>
      </c>
      <c r="F57" s="77" t="s">
        <v>257</v>
      </c>
      <c r="G57" s="77" t="s">
        <v>238</v>
      </c>
      <c r="H57" s="77">
        <v>6</v>
      </c>
      <c r="I57" s="79">
        <v>200</v>
      </c>
      <c r="J57" s="79">
        <v>433</v>
      </c>
      <c r="K57" s="79">
        <v>1200</v>
      </c>
    </row>
    <row r="58" spans="1:11">
      <c r="A58" s="77" t="s">
        <v>303</v>
      </c>
      <c r="B58" s="77" t="s">
        <v>93</v>
      </c>
      <c r="C58" s="77" t="s">
        <v>236</v>
      </c>
      <c r="D58" s="77" t="s">
        <v>243</v>
      </c>
      <c r="E58" s="77" t="s">
        <v>239</v>
      </c>
      <c r="F58" s="77" t="s">
        <v>286</v>
      </c>
      <c r="G58" s="77" t="s">
        <v>238</v>
      </c>
      <c r="H58" s="77">
        <v>5</v>
      </c>
      <c r="I58" s="79">
        <v>230</v>
      </c>
      <c r="J58" s="79">
        <v>498</v>
      </c>
      <c r="K58" s="79">
        <v>1150</v>
      </c>
    </row>
    <row r="59" spans="1:11">
      <c r="A59" s="77" t="s">
        <v>304</v>
      </c>
      <c r="B59" s="77" t="s">
        <v>141</v>
      </c>
      <c r="C59" s="77" t="s">
        <v>236</v>
      </c>
      <c r="D59" s="77" t="s">
        <v>240</v>
      </c>
      <c r="E59" s="77" t="s">
        <v>245</v>
      </c>
      <c r="F59" s="77" t="s">
        <v>305</v>
      </c>
      <c r="G59" s="77" t="s">
        <v>238</v>
      </c>
      <c r="H59" s="77">
        <v>5</v>
      </c>
      <c r="I59" s="79">
        <v>250</v>
      </c>
      <c r="J59" s="79">
        <v>542</v>
      </c>
      <c r="K59" s="79">
        <v>1250</v>
      </c>
    </row>
    <row r="60" spans="1:11">
      <c r="A60" s="77" t="s">
        <v>306</v>
      </c>
      <c r="B60" s="77" t="s">
        <v>23</v>
      </c>
      <c r="C60" s="77" t="s">
        <v>236</v>
      </c>
      <c r="D60" s="77" t="s">
        <v>240</v>
      </c>
      <c r="E60" s="77" t="s">
        <v>280</v>
      </c>
      <c r="F60" s="77" t="s">
        <v>244</v>
      </c>
      <c r="G60" s="77" t="s">
        <v>233</v>
      </c>
      <c r="H60" s="77">
        <v>2</v>
      </c>
      <c r="I60" s="79">
        <v>380</v>
      </c>
      <c r="J60" s="79">
        <v>412</v>
      </c>
      <c r="K60" s="79">
        <v>760</v>
      </c>
    </row>
    <row r="61" spans="1:11">
      <c r="A61" s="77" t="s">
        <v>307</v>
      </c>
      <c r="B61" s="77" t="s">
        <v>21</v>
      </c>
      <c r="C61" s="77" t="s">
        <v>236</v>
      </c>
      <c r="D61" s="77" t="s">
        <v>240</v>
      </c>
      <c r="E61" s="77" t="s">
        <v>258</v>
      </c>
      <c r="F61" s="77" t="s">
        <v>266</v>
      </c>
      <c r="G61" s="77" t="s">
        <v>238</v>
      </c>
      <c r="H61" s="77">
        <v>6</v>
      </c>
      <c r="I61" s="79">
        <v>220</v>
      </c>
      <c r="J61" s="79">
        <v>477</v>
      </c>
      <c r="K61" s="79">
        <v>1320</v>
      </c>
    </row>
    <row r="62" spans="1:11">
      <c r="A62" s="77" t="s">
        <v>308</v>
      </c>
      <c r="B62" s="77" t="s">
        <v>29</v>
      </c>
      <c r="C62" s="77" t="s">
        <v>236</v>
      </c>
      <c r="D62" s="77" t="s">
        <v>240</v>
      </c>
      <c r="E62" s="77" t="s">
        <v>239</v>
      </c>
      <c r="F62" s="77" t="s">
        <v>286</v>
      </c>
      <c r="G62" s="77" t="s">
        <v>238</v>
      </c>
      <c r="H62" s="77">
        <v>6</v>
      </c>
      <c r="I62" s="79">
        <v>200</v>
      </c>
      <c r="J62" s="79">
        <v>433</v>
      </c>
      <c r="K62" s="79">
        <v>1200</v>
      </c>
    </row>
    <row r="63" spans="1:11">
      <c r="A63" s="77" t="s">
        <v>309</v>
      </c>
      <c r="B63" s="77" t="s">
        <v>20</v>
      </c>
      <c r="C63" s="77" t="s">
        <v>236</v>
      </c>
      <c r="D63" s="77" t="s">
        <v>240</v>
      </c>
      <c r="E63" s="77" t="s">
        <v>245</v>
      </c>
      <c r="F63" s="77" t="s">
        <v>269</v>
      </c>
      <c r="G63" s="77" t="s">
        <v>238</v>
      </c>
      <c r="H63" s="77">
        <v>7</v>
      </c>
      <c r="I63" s="79">
        <v>250</v>
      </c>
      <c r="J63" s="79">
        <v>542</v>
      </c>
      <c r="K63" s="79">
        <v>1750</v>
      </c>
    </row>
    <row r="64" spans="1:11">
      <c r="A64" s="77" t="s">
        <v>310</v>
      </c>
      <c r="B64" s="77" t="s">
        <v>147</v>
      </c>
      <c r="C64" s="77" t="s">
        <v>236</v>
      </c>
      <c r="D64" s="77" t="s">
        <v>240</v>
      </c>
      <c r="E64" s="77" t="s">
        <v>259</v>
      </c>
      <c r="F64" s="77" t="s">
        <v>237</v>
      </c>
      <c r="G64" s="77" t="s">
        <v>238</v>
      </c>
      <c r="H64" s="77">
        <v>7</v>
      </c>
      <c r="I64" s="79">
        <v>200</v>
      </c>
      <c r="J64" s="79">
        <v>433</v>
      </c>
      <c r="K64" s="79">
        <v>1400</v>
      </c>
    </row>
    <row r="65" spans="1:11">
      <c r="A65" s="77" t="s">
        <v>310</v>
      </c>
      <c r="B65" s="77" t="s">
        <v>136</v>
      </c>
      <c r="C65" s="77" t="s">
        <v>236</v>
      </c>
      <c r="D65" s="77" t="s">
        <v>240</v>
      </c>
      <c r="E65" s="77" t="s">
        <v>245</v>
      </c>
      <c r="F65" s="77" t="s">
        <v>305</v>
      </c>
      <c r="G65" s="77" t="s">
        <v>238</v>
      </c>
      <c r="H65" s="77">
        <v>6</v>
      </c>
      <c r="I65" s="79">
        <v>220</v>
      </c>
      <c r="J65" s="79">
        <v>477</v>
      </c>
      <c r="K65" s="79">
        <v>1320</v>
      </c>
    </row>
    <row r="66" spans="1:11">
      <c r="A66" s="77" t="s">
        <v>311</v>
      </c>
      <c r="B66" s="77" t="s">
        <v>146</v>
      </c>
      <c r="C66" s="77" t="s">
        <v>236</v>
      </c>
      <c r="D66" s="78"/>
      <c r="E66" s="77" t="s">
        <v>259</v>
      </c>
      <c r="F66" s="77" t="s">
        <v>237</v>
      </c>
      <c r="G66" s="77" t="s">
        <v>238</v>
      </c>
      <c r="H66" s="77">
        <v>8</v>
      </c>
      <c r="I66" s="79">
        <v>250</v>
      </c>
      <c r="J66" s="79">
        <v>542</v>
      </c>
      <c r="K66" s="79">
        <v>2000</v>
      </c>
    </row>
    <row r="67" spans="1:11">
      <c r="A67" s="77" t="s">
        <v>311</v>
      </c>
      <c r="B67" s="77" t="s">
        <v>152</v>
      </c>
      <c r="C67" s="77" t="s">
        <v>236</v>
      </c>
      <c r="D67" s="77" t="s">
        <v>240</v>
      </c>
      <c r="E67" s="77" t="s">
        <v>248</v>
      </c>
      <c r="F67" s="77" t="s">
        <v>276</v>
      </c>
      <c r="G67" s="77" t="s">
        <v>238</v>
      </c>
      <c r="H67" s="77">
        <v>8</v>
      </c>
      <c r="I67" s="79">
        <v>220</v>
      </c>
      <c r="J67" s="79">
        <v>477</v>
      </c>
      <c r="K67" s="79">
        <v>1760</v>
      </c>
    </row>
    <row r="68" spans="1:11">
      <c r="A68" s="77" t="s">
        <v>312</v>
      </c>
      <c r="B68" s="77" t="s">
        <v>126</v>
      </c>
      <c r="C68" s="77" t="s">
        <v>236</v>
      </c>
      <c r="D68" s="77" t="s">
        <v>240</v>
      </c>
      <c r="E68" s="77" t="s">
        <v>242</v>
      </c>
      <c r="F68" s="77" t="s">
        <v>251</v>
      </c>
      <c r="G68" s="77" t="s">
        <v>246</v>
      </c>
      <c r="H68" s="77">
        <v>9</v>
      </c>
      <c r="I68" s="79">
        <v>250</v>
      </c>
      <c r="J68" s="79">
        <v>1083</v>
      </c>
      <c r="K68" s="79">
        <v>2250</v>
      </c>
    </row>
    <row r="69" spans="1:11">
      <c r="A69" s="77" t="s">
        <v>312</v>
      </c>
      <c r="B69" s="77" t="s">
        <v>127</v>
      </c>
      <c r="C69" s="77" t="s">
        <v>236</v>
      </c>
      <c r="D69" s="78"/>
      <c r="E69" s="77" t="s">
        <v>250</v>
      </c>
      <c r="F69" s="77" t="s">
        <v>241</v>
      </c>
      <c r="G69" s="77" t="s">
        <v>246</v>
      </c>
      <c r="H69" s="77">
        <v>9</v>
      </c>
      <c r="I69" s="79">
        <v>200</v>
      </c>
      <c r="J69" s="79">
        <v>867</v>
      </c>
      <c r="K69" s="79">
        <v>1800</v>
      </c>
    </row>
    <row r="70" spans="1:11">
      <c r="A70" s="77" t="s">
        <v>313</v>
      </c>
      <c r="B70" s="77" t="s">
        <v>44</v>
      </c>
      <c r="C70" s="77" t="s">
        <v>236</v>
      </c>
      <c r="D70" s="77" t="s">
        <v>243</v>
      </c>
      <c r="E70" s="77" t="s">
        <v>245</v>
      </c>
      <c r="F70" s="77" t="s">
        <v>269</v>
      </c>
      <c r="G70" s="77" t="s">
        <v>238</v>
      </c>
      <c r="H70" s="77">
        <v>7</v>
      </c>
      <c r="I70" s="79">
        <v>200</v>
      </c>
      <c r="J70" s="79">
        <v>433</v>
      </c>
      <c r="K70" s="79">
        <v>1400</v>
      </c>
    </row>
    <row r="71" spans="1:11">
      <c r="A71" s="77" t="s">
        <v>313</v>
      </c>
      <c r="B71" s="77" t="s">
        <v>144</v>
      </c>
      <c r="C71" s="77" t="s">
        <v>236</v>
      </c>
      <c r="D71" s="77" t="s">
        <v>243</v>
      </c>
      <c r="E71" s="77" t="s">
        <v>259</v>
      </c>
      <c r="F71" s="77" t="s">
        <v>237</v>
      </c>
      <c r="G71" s="77" t="s">
        <v>238</v>
      </c>
      <c r="H71" s="77">
        <v>7</v>
      </c>
      <c r="I71" s="79">
        <v>250</v>
      </c>
      <c r="J71" s="79">
        <v>542</v>
      </c>
      <c r="K71" s="79">
        <v>1750</v>
      </c>
    </row>
    <row r="72" spans="1:11">
      <c r="A72" s="77" t="s">
        <v>313</v>
      </c>
      <c r="B72" s="77" t="s">
        <v>155</v>
      </c>
      <c r="C72" s="77" t="s">
        <v>236</v>
      </c>
      <c r="D72" s="77" t="s">
        <v>240</v>
      </c>
      <c r="E72" s="77" t="s">
        <v>242</v>
      </c>
      <c r="F72" s="77" t="s">
        <v>257</v>
      </c>
      <c r="G72" s="77" t="s">
        <v>238</v>
      </c>
      <c r="H72" s="77">
        <v>8</v>
      </c>
      <c r="I72" s="79">
        <v>220</v>
      </c>
      <c r="J72" s="79">
        <v>477</v>
      </c>
      <c r="K72" s="79">
        <v>1760</v>
      </c>
    </row>
    <row r="73" spans="1:11">
      <c r="A73" s="77" t="s">
        <v>313</v>
      </c>
      <c r="B73" s="77" t="s">
        <v>100</v>
      </c>
      <c r="C73" s="77" t="s">
        <v>236</v>
      </c>
      <c r="D73" s="77" t="s">
        <v>243</v>
      </c>
      <c r="E73" s="77" t="s">
        <v>255</v>
      </c>
      <c r="F73" s="77" t="s">
        <v>241</v>
      </c>
      <c r="G73" s="77" t="s">
        <v>238</v>
      </c>
      <c r="H73" s="77">
        <v>8</v>
      </c>
      <c r="I73" s="79">
        <v>200</v>
      </c>
      <c r="J73" s="79">
        <v>433</v>
      </c>
      <c r="K73" s="79">
        <v>1600</v>
      </c>
    </row>
    <row r="74" spans="1:11">
      <c r="A74" s="77" t="s">
        <v>314</v>
      </c>
      <c r="B74" s="77" t="s">
        <v>133</v>
      </c>
      <c r="C74" s="77" t="s">
        <v>236</v>
      </c>
      <c r="D74" s="77" t="s">
        <v>240</v>
      </c>
      <c r="E74" s="77" t="s">
        <v>247</v>
      </c>
      <c r="F74" s="77" t="s">
        <v>252</v>
      </c>
      <c r="G74" s="77" t="s">
        <v>238</v>
      </c>
      <c r="H74" s="77">
        <v>7</v>
      </c>
      <c r="I74" s="79">
        <v>250</v>
      </c>
      <c r="J74" s="79">
        <v>542</v>
      </c>
      <c r="K74" s="79">
        <v>1750</v>
      </c>
    </row>
    <row r="75" spans="1:11">
      <c r="A75" s="77" t="s">
        <v>315</v>
      </c>
      <c r="B75" s="77" t="s">
        <v>316</v>
      </c>
      <c r="C75" s="77" t="s">
        <v>236</v>
      </c>
      <c r="D75" s="78"/>
      <c r="E75" s="77" t="s">
        <v>313</v>
      </c>
      <c r="F75" s="77" t="s">
        <v>317</v>
      </c>
      <c r="G75" s="77" t="s">
        <v>233</v>
      </c>
      <c r="H75" s="77">
        <v>1</v>
      </c>
      <c r="I75" s="79">
        <v>185</v>
      </c>
      <c r="J75" s="79">
        <v>200</v>
      </c>
      <c r="K75" s="79">
        <v>185</v>
      </c>
    </row>
    <row r="76" spans="1:11">
      <c r="A76" s="77" t="s">
        <v>318</v>
      </c>
      <c r="B76" s="77" t="s">
        <v>99</v>
      </c>
      <c r="C76" s="77" t="s">
        <v>236</v>
      </c>
      <c r="D76" s="77" t="s">
        <v>240</v>
      </c>
      <c r="E76" s="77" t="s">
        <v>250</v>
      </c>
      <c r="F76" s="77" t="s">
        <v>275</v>
      </c>
      <c r="G76" s="77" t="s">
        <v>233</v>
      </c>
      <c r="H76" s="77">
        <v>4</v>
      </c>
      <c r="I76" s="79">
        <v>200</v>
      </c>
      <c r="J76" s="79">
        <v>217</v>
      </c>
      <c r="K76" s="79">
        <v>800</v>
      </c>
    </row>
    <row r="77" spans="1:11">
      <c r="A77" s="77" t="s">
        <v>319</v>
      </c>
      <c r="B77" s="77" t="s">
        <v>161</v>
      </c>
      <c r="C77" s="77" t="s">
        <v>236</v>
      </c>
      <c r="D77" s="77" t="s">
        <v>243</v>
      </c>
      <c r="E77" s="77" t="s">
        <v>320</v>
      </c>
      <c r="F77" s="77" t="s">
        <v>321</v>
      </c>
      <c r="G77" s="77" t="s">
        <v>261</v>
      </c>
      <c r="H77" s="77">
        <v>2</v>
      </c>
      <c r="I77" s="79">
        <v>250</v>
      </c>
      <c r="J77" s="79">
        <v>361</v>
      </c>
      <c r="K77" s="79">
        <v>500</v>
      </c>
    </row>
    <row r="78" spans="1:11">
      <c r="A78" s="77" t="s">
        <v>319</v>
      </c>
      <c r="B78" s="77" t="s">
        <v>118</v>
      </c>
      <c r="C78" s="77" t="s">
        <v>236</v>
      </c>
      <c r="D78" s="77" t="s">
        <v>240</v>
      </c>
      <c r="E78" s="77" t="s">
        <v>239</v>
      </c>
      <c r="F78" s="77" t="s">
        <v>286</v>
      </c>
      <c r="G78" s="77" t="s">
        <v>238</v>
      </c>
      <c r="H78" s="77">
        <v>10</v>
      </c>
      <c r="I78" s="79">
        <v>200</v>
      </c>
      <c r="J78" s="79">
        <v>433</v>
      </c>
      <c r="K78" s="79">
        <v>2000</v>
      </c>
    </row>
    <row r="79" spans="1:11">
      <c r="A79" s="77" t="s">
        <v>322</v>
      </c>
      <c r="B79" s="77" t="s">
        <v>28</v>
      </c>
      <c r="C79" s="77" t="s">
        <v>236</v>
      </c>
      <c r="D79" s="77" t="s">
        <v>240</v>
      </c>
      <c r="E79" s="77" t="s">
        <v>255</v>
      </c>
      <c r="F79" s="77" t="s">
        <v>251</v>
      </c>
      <c r="G79" s="77" t="s">
        <v>238</v>
      </c>
      <c r="H79" s="77">
        <v>8</v>
      </c>
      <c r="I79" s="79">
        <v>200</v>
      </c>
      <c r="J79" s="79">
        <v>433</v>
      </c>
      <c r="K79" s="79">
        <v>1600</v>
      </c>
    </row>
    <row r="80" spans="1:11">
      <c r="A80" s="77" t="s">
        <v>323</v>
      </c>
      <c r="B80" s="77" t="s">
        <v>324</v>
      </c>
      <c r="C80" s="77" t="s">
        <v>236</v>
      </c>
      <c r="D80" s="77" t="s">
        <v>240</v>
      </c>
      <c r="E80" s="77" t="s">
        <v>264</v>
      </c>
      <c r="F80" s="77" t="s">
        <v>251</v>
      </c>
      <c r="G80" s="77" t="s">
        <v>238</v>
      </c>
      <c r="H80" s="77">
        <v>3</v>
      </c>
      <c r="I80" s="79">
        <v>200</v>
      </c>
      <c r="J80" s="79">
        <v>433</v>
      </c>
      <c r="K80" s="79">
        <v>600</v>
      </c>
    </row>
    <row r="81" spans="1:11">
      <c r="A81" s="77" t="s">
        <v>325</v>
      </c>
      <c r="B81" s="77" t="s">
        <v>159</v>
      </c>
      <c r="C81" s="77" t="s">
        <v>236</v>
      </c>
      <c r="D81" s="77" t="s">
        <v>240</v>
      </c>
      <c r="E81" s="77" t="s">
        <v>247</v>
      </c>
      <c r="F81" s="77" t="s">
        <v>262</v>
      </c>
      <c r="G81" s="77" t="s">
        <v>233</v>
      </c>
      <c r="H81" s="77">
        <v>5</v>
      </c>
      <c r="I81" s="79">
        <v>200</v>
      </c>
      <c r="J81" s="79">
        <v>217</v>
      </c>
      <c r="K81" s="79">
        <v>1000</v>
      </c>
    </row>
    <row r="82" spans="1:11">
      <c r="A82" s="77" t="s">
        <v>325</v>
      </c>
      <c r="B82" s="77" t="s">
        <v>142</v>
      </c>
      <c r="C82" s="77" t="s">
        <v>236</v>
      </c>
      <c r="D82" s="77" t="s">
        <v>240</v>
      </c>
      <c r="E82" s="77" t="s">
        <v>245</v>
      </c>
      <c r="F82" s="77" t="s">
        <v>305</v>
      </c>
      <c r="G82" s="77" t="s">
        <v>238</v>
      </c>
      <c r="H82" s="77">
        <v>8</v>
      </c>
      <c r="I82" s="79">
        <v>220</v>
      </c>
      <c r="J82" s="79">
        <v>477</v>
      </c>
      <c r="K82" s="79">
        <v>1760</v>
      </c>
    </row>
    <row r="83" spans="1:11">
      <c r="A83" s="77" t="s">
        <v>326</v>
      </c>
      <c r="B83" s="77" t="s">
        <v>52</v>
      </c>
      <c r="C83" s="77" t="s">
        <v>236</v>
      </c>
      <c r="D83" s="77" t="s">
        <v>240</v>
      </c>
      <c r="E83" s="77" t="s">
        <v>289</v>
      </c>
      <c r="F83" s="77" t="s">
        <v>257</v>
      </c>
      <c r="G83" s="77" t="s">
        <v>233</v>
      </c>
      <c r="H83" s="77">
        <v>5</v>
      </c>
      <c r="I83" s="79">
        <v>220</v>
      </c>
      <c r="J83" s="79">
        <v>238</v>
      </c>
      <c r="K83" s="79">
        <v>1100</v>
      </c>
    </row>
    <row r="84" spans="1:11">
      <c r="A84" s="77" t="s">
        <v>327</v>
      </c>
      <c r="B84" s="77" t="s">
        <v>124</v>
      </c>
      <c r="C84" s="77" t="s">
        <v>236</v>
      </c>
      <c r="D84" s="77" t="s">
        <v>240</v>
      </c>
      <c r="E84" s="77" t="s">
        <v>242</v>
      </c>
      <c r="F84" s="77" t="s">
        <v>328</v>
      </c>
      <c r="G84" s="77" t="s">
        <v>233</v>
      </c>
      <c r="H84" s="77">
        <v>5</v>
      </c>
      <c r="I84" s="79">
        <v>250</v>
      </c>
      <c r="J84" s="79">
        <v>271</v>
      </c>
      <c r="K84" s="79">
        <v>1250</v>
      </c>
    </row>
    <row r="85" spans="1:11">
      <c r="A85" s="77" t="s">
        <v>329</v>
      </c>
      <c r="B85" s="77" t="s">
        <v>151</v>
      </c>
      <c r="C85" s="77" t="s">
        <v>236</v>
      </c>
      <c r="D85" s="77" t="s">
        <v>240</v>
      </c>
      <c r="E85" s="77" t="s">
        <v>248</v>
      </c>
      <c r="F85" s="77" t="s">
        <v>276</v>
      </c>
      <c r="G85" s="77" t="s">
        <v>238</v>
      </c>
      <c r="H85" s="77">
        <v>8</v>
      </c>
      <c r="I85" s="79">
        <v>250</v>
      </c>
      <c r="J85" s="79">
        <v>542</v>
      </c>
      <c r="K85" s="79">
        <v>2000</v>
      </c>
    </row>
    <row r="86" spans="1:11">
      <c r="A86" s="77" t="s">
        <v>330</v>
      </c>
      <c r="B86" s="77" t="s">
        <v>51</v>
      </c>
      <c r="C86" s="77" t="s">
        <v>236</v>
      </c>
      <c r="D86" s="77" t="s">
        <v>243</v>
      </c>
      <c r="E86" s="77" t="s">
        <v>248</v>
      </c>
      <c r="F86" s="77" t="s">
        <v>276</v>
      </c>
      <c r="G86" s="77" t="s">
        <v>238</v>
      </c>
      <c r="H86" s="77">
        <v>11</v>
      </c>
      <c r="I86" s="79">
        <v>250</v>
      </c>
      <c r="J86" s="79">
        <v>542</v>
      </c>
      <c r="K86" s="79">
        <v>2750</v>
      </c>
    </row>
    <row r="87" spans="1:11">
      <c r="A87" s="77" t="s">
        <v>331</v>
      </c>
      <c r="B87" s="77" t="s">
        <v>55</v>
      </c>
      <c r="C87" s="77" t="s">
        <v>236</v>
      </c>
      <c r="D87" s="77" t="s">
        <v>243</v>
      </c>
      <c r="E87" s="77" t="s">
        <v>242</v>
      </c>
      <c r="F87" s="77" t="s">
        <v>241</v>
      </c>
      <c r="G87" s="77" t="s">
        <v>246</v>
      </c>
      <c r="H87" s="77">
        <v>14</v>
      </c>
      <c r="I87" s="79">
        <v>220</v>
      </c>
      <c r="J87" s="79">
        <v>802</v>
      </c>
      <c r="K87" s="79">
        <v>2590</v>
      </c>
    </row>
  </sheetData>
  <mergeCells count="1">
    <mergeCell ref="A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4</vt:i4>
      </vt:variant>
    </vt:vector>
  </HeadingPairs>
  <TitlesOfParts>
    <vt:vector size="39" baseType="lpstr">
      <vt:lpstr>Totals</vt:lpstr>
      <vt:lpstr>11 July 25</vt:lpstr>
      <vt:lpstr>4 July 25 </vt:lpstr>
      <vt:lpstr>27 June 25</vt:lpstr>
      <vt:lpstr>20 June 25</vt:lpstr>
      <vt:lpstr>13 June 25</vt:lpstr>
      <vt:lpstr>6 June 25</vt:lpstr>
      <vt:lpstr>23 May 25</vt:lpstr>
      <vt:lpstr>30 May 25</vt:lpstr>
      <vt:lpstr>17 May 25</vt:lpstr>
      <vt:lpstr>9 May 25</vt:lpstr>
      <vt:lpstr>2 May 25</vt:lpstr>
      <vt:lpstr>25 April 25</vt:lpstr>
      <vt:lpstr>18 April 25</vt:lpstr>
      <vt:lpstr>11 April 25</vt:lpstr>
      <vt:lpstr>4 April 25</vt:lpstr>
      <vt:lpstr>28 March 25</vt:lpstr>
      <vt:lpstr>21 March 25</vt:lpstr>
      <vt:lpstr>14 March 25</vt:lpstr>
      <vt:lpstr>07 March 25</vt:lpstr>
      <vt:lpstr>28 Feb 25</vt:lpstr>
      <vt:lpstr>21 Feb 25</vt:lpstr>
      <vt:lpstr>14 Feb 25</vt:lpstr>
      <vt:lpstr>07 Feb 25</vt:lpstr>
      <vt:lpstr>31 Jan 25</vt:lpstr>
      <vt:lpstr>24 Jan 25</vt:lpstr>
      <vt:lpstr>17 Jan 25</vt:lpstr>
      <vt:lpstr>10 Jan 25</vt:lpstr>
      <vt:lpstr>03 Jan 25</vt:lpstr>
      <vt:lpstr>27 Dec 24</vt:lpstr>
      <vt:lpstr>20 Dec 24</vt:lpstr>
      <vt:lpstr>13 Dec 24</vt:lpstr>
      <vt:lpstr>06 Dec 24</vt:lpstr>
      <vt:lpstr>Parameters</vt:lpstr>
      <vt:lpstr>Active Jobs</vt:lpstr>
      <vt:lpstr>CustomerName</vt:lpstr>
      <vt:lpstr>HourlyRate</vt:lpstr>
      <vt:lpstr>Super</vt:lpstr>
      <vt:lpstr>Teams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.</dc:creator>
  <cp:keywords/>
  <dc:description/>
  <cp:lastModifiedBy>Daniel .</cp:lastModifiedBy>
  <cp:revision/>
  <dcterms:created xsi:type="dcterms:W3CDTF">2024-12-10T21:13:02Z</dcterms:created>
  <dcterms:modified xsi:type="dcterms:W3CDTF">2025-07-18T03:15:24Z</dcterms:modified>
  <cp:category/>
  <cp:contentStatus/>
</cp:coreProperties>
</file>